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ek" sheetId="1" state="visible" r:id="rId3"/>
    <sheet name="lot" sheetId="2" state="visible" r:id="rId4"/>
    <sheet name="pemakai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<sst xmlns="http://schemas.openxmlformats.org/spreadsheetml/2006/main" count="6008" uniqueCount="1217">
  <si>
    <t xml:space="preserve">bulan (yyyymm)</t>
  </si>
  <si>
    <t xml:space="preserve">supplier</t>
  </si>
  <si>
    <t xml:space="preserve">unit</t>
  </si>
  <si>
    <t xml:space="preserve">NG</t>
  </si>
  <si>
    <t xml:space="preserve">NG rate</t>
  </si>
  <si>
    <t xml:space="preserve">ranking (1 = NG rate tertinggi)</t>
  </si>
  <si>
    <t xml:space="preserve">SUP-A</t>
  </si>
  <si>
    <t xml:space="preserve">SUP-B</t>
  </si>
  <si>
    <t xml:space="preserve">SUP-C</t>
  </si>
  <si>
    <t xml:space="preserve">SUP-D</t>
  </si>
  <si>
    <t xml:space="preserve">SUP-E</t>
  </si>
  <si>
    <t xml:space="preserve">lot_code</t>
  </si>
  <si>
    <t xml:space="preserve">supplier_code</t>
  </si>
  <si>
    <t xml:space="preserve">L-003D</t>
  </si>
  <si>
    <t xml:space="preserve">L-005D</t>
  </si>
  <si>
    <t xml:space="preserve">L-008B</t>
  </si>
  <si>
    <t xml:space="preserve">L-00A8</t>
  </si>
  <si>
    <t xml:space="preserve">L-0154</t>
  </si>
  <si>
    <t xml:space="preserve">L-01AD</t>
  </si>
  <si>
    <t xml:space="preserve">L-01B7</t>
  </si>
  <si>
    <t xml:space="preserve">L-01E3</t>
  </si>
  <si>
    <t xml:space="preserve">L-022A</t>
  </si>
  <si>
    <t xml:space="preserve">L-022C</t>
  </si>
  <si>
    <t xml:space="preserve">L-025D</t>
  </si>
  <si>
    <t xml:space="preserve">L-027B</t>
  </si>
  <si>
    <t xml:space="preserve">L-0295</t>
  </si>
  <si>
    <t xml:space="preserve">L-02EE</t>
  </si>
  <si>
    <t xml:space="preserve">L-0313</t>
  </si>
  <si>
    <t xml:space="preserve">L-0341</t>
  </si>
  <si>
    <t xml:space="preserve">L-0371</t>
  </si>
  <si>
    <t xml:space="preserve">L-0396</t>
  </si>
  <si>
    <t xml:space="preserve">L-03A0</t>
  </si>
  <si>
    <t xml:space="preserve">L-03F3</t>
  </si>
  <si>
    <t xml:space="preserve">L-03F9</t>
  </si>
  <si>
    <t xml:space="preserve">L-0422</t>
  </si>
  <si>
    <t xml:space="preserve">L-0451</t>
  </si>
  <si>
    <t xml:space="preserve">L-0490</t>
  </si>
  <si>
    <t xml:space="preserve">L-04C7</t>
  </si>
  <si>
    <t xml:space="preserve">L-04CB</t>
  </si>
  <si>
    <t xml:space="preserve">L-04E6</t>
  </si>
  <si>
    <t xml:space="preserve">L-050D</t>
  </si>
  <si>
    <t xml:space="preserve">L-051B</t>
  </si>
  <si>
    <t xml:space="preserve">L-0591</t>
  </si>
  <si>
    <t xml:space="preserve">L-05A5</t>
  </si>
  <si>
    <t xml:space="preserve">L-062F</t>
  </si>
  <si>
    <t xml:space="preserve">L-068E</t>
  </si>
  <si>
    <t xml:space="preserve">L-0699</t>
  </si>
  <si>
    <t xml:space="preserve">L-06C7</t>
  </si>
  <si>
    <t xml:space="preserve">L-06F6</t>
  </si>
  <si>
    <t xml:space="preserve">L-075E</t>
  </si>
  <si>
    <t xml:space="preserve">L-07B0</t>
  </si>
  <si>
    <t xml:space="preserve">L-07F1</t>
  </si>
  <si>
    <t xml:space="preserve">L-07F8</t>
  </si>
  <si>
    <t xml:space="preserve">L-0842</t>
  </si>
  <si>
    <t xml:space="preserve">L-0870</t>
  </si>
  <si>
    <t xml:space="preserve">L-0890</t>
  </si>
  <si>
    <t xml:space="preserve">L-08F1</t>
  </si>
  <si>
    <t xml:space="preserve">L-0916</t>
  </si>
  <si>
    <t xml:space="preserve">L-092D</t>
  </si>
  <si>
    <t xml:space="preserve">L-0939</t>
  </si>
  <si>
    <t xml:space="preserve">L-093F</t>
  </si>
  <si>
    <t xml:space="preserve">L-0984</t>
  </si>
  <si>
    <t xml:space="preserve">L-099F</t>
  </si>
  <si>
    <t xml:space="preserve">L-09A0</t>
  </si>
  <si>
    <t xml:space="preserve">L-09E4</t>
  </si>
  <si>
    <t xml:space="preserve">L-09EF</t>
  </si>
  <si>
    <t xml:space="preserve">L-0A80</t>
  </si>
  <si>
    <t xml:space="preserve">L-0A87</t>
  </si>
  <si>
    <t xml:space="preserve">L-0AAD</t>
  </si>
  <si>
    <t xml:space="preserve">L-0ABD</t>
  </si>
  <si>
    <t xml:space="preserve">L-0AF6</t>
  </si>
  <si>
    <t xml:space="preserve">L-0B54</t>
  </si>
  <si>
    <t xml:space="preserve">L-0B58</t>
  </si>
  <si>
    <t xml:space="preserve">L-0B8C</t>
  </si>
  <si>
    <t xml:space="preserve">L-0B92</t>
  </si>
  <si>
    <t xml:space="preserve">L-0BD4</t>
  </si>
  <si>
    <t xml:space="preserve">L-0BD9</t>
  </si>
  <si>
    <t xml:space="preserve">L-0BE2</t>
  </si>
  <si>
    <t xml:space="preserve">L-0C40</t>
  </si>
  <si>
    <t xml:space="preserve">L-0C48</t>
  </si>
  <si>
    <t xml:space="preserve">L-0C52</t>
  </si>
  <si>
    <t xml:space="preserve">L-0C84</t>
  </si>
  <si>
    <t xml:space="preserve">L-0C98</t>
  </si>
  <si>
    <t xml:space="preserve">L-0D07</t>
  </si>
  <si>
    <t xml:space="preserve">L-0D7A</t>
  </si>
  <si>
    <t xml:space="preserve">L-0DAA</t>
  </si>
  <si>
    <t xml:space="preserve">L-0DE8</t>
  </si>
  <si>
    <t xml:space="preserve">L-0E0C</t>
  </si>
  <si>
    <t xml:space="preserve">L-0E2F</t>
  </si>
  <si>
    <t xml:space="preserve">L-0E3D</t>
  </si>
  <si>
    <t xml:space="preserve">L-0E41</t>
  </si>
  <si>
    <t xml:space="preserve">L-0E4D</t>
  </si>
  <si>
    <t xml:space="preserve">L-0E51</t>
  </si>
  <si>
    <t xml:space="preserve">L-0EAC</t>
  </si>
  <si>
    <t xml:space="preserve">L-0ECE</t>
  </si>
  <si>
    <t xml:space="preserve">L-0ED1</t>
  </si>
  <si>
    <t xml:space="preserve">L-0F0E</t>
  </si>
  <si>
    <t xml:space="preserve">L-0F43</t>
  </si>
  <si>
    <t xml:space="preserve">L-0F49</t>
  </si>
  <si>
    <t xml:space="preserve">L-0F9B</t>
  </si>
  <si>
    <t xml:space="preserve">L-0FA9</t>
  </si>
  <si>
    <t xml:space="preserve">L-0FC6</t>
  </si>
  <si>
    <t xml:space="preserve">L-0FEA</t>
  </si>
  <si>
    <t xml:space="preserve">L-1023</t>
  </si>
  <si>
    <t xml:space="preserve">L-1036</t>
  </si>
  <si>
    <t xml:space="preserve">L-105A</t>
  </si>
  <si>
    <t xml:space="preserve">L-106C</t>
  </si>
  <si>
    <t xml:space="preserve">L-1070</t>
  </si>
  <si>
    <t xml:space="preserve">L-1084</t>
  </si>
  <si>
    <t xml:space="preserve">L-10A7</t>
  </si>
  <si>
    <t xml:space="preserve">L-1156</t>
  </si>
  <si>
    <t xml:space="preserve">L-11B4</t>
  </si>
  <si>
    <t xml:space="preserve">L-11E7</t>
  </si>
  <si>
    <t xml:space="preserve">L-127A</t>
  </si>
  <si>
    <t xml:space="preserve">L-132C</t>
  </si>
  <si>
    <t xml:space="preserve">L-1347</t>
  </si>
  <si>
    <t xml:space="preserve">L-137F</t>
  </si>
  <si>
    <t xml:space="preserve">L-13A2</t>
  </si>
  <si>
    <t xml:space="preserve">L-13A9</t>
  </si>
  <si>
    <t xml:space="preserve">L-13C1</t>
  </si>
  <si>
    <t xml:space="preserve">L-13D3</t>
  </si>
  <si>
    <t xml:space="preserve">L-13DD</t>
  </si>
  <si>
    <t xml:space="preserve">L-13F6</t>
  </si>
  <si>
    <t xml:space="preserve">L-1412</t>
  </si>
  <si>
    <t xml:space="preserve">L-1445</t>
  </si>
  <si>
    <t xml:space="preserve">L-145E</t>
  </si>
  <si>
    <t xml:space="preserve">L-1461</t>
  </si>
  <si>
    <t xml:space="preserve">L-14B3</t>
  </si>
  <si>
    <t xml:space="preserve">L-14E0</t>
  </si>
  <si>
    <t xml:space="preserve">L-1504</t>
  </si>
  <si>
    <t xml:space="preserve">L-1525</t>
  </si>
  <si>
    <t xml:space="preserve">L-15A2</t>
  </si>
  <si>
    <t xml:space="preserve">L-15AA</t>
  </si>
  <si>
    <t xml:space="preserve">L-15C5</t>
  </si>
  <si>
    <t xml:space="preserve">L-15C7</t>
  </si>
  <si>
    <t xml:space="preserve">L-163C</t>
  </si>
  <si>
    <t xml:space="preserve">L-165C</t>
  </si>
  <si>
    <t xml:space="preserve">L-1673</t>
  </si>
  <si>
    <t xml:space="preserve">L-1679</t>
  </si>
  <si>
    <t xml:space="preserve">L-16D1</t>
  </si>
  <si>
    <t xml:space="preserve">L-177A</t>
  </si>
  <si>
    <t xml:space="preserve">L-178F</t>
  </si>
  <si>
    <t xml:space="preserve">L-1793</t>
  </si>
  <si>
    <t xml:space="preserve">L-17A3</t>
  </si>
  <si>
    <t xml:space="preserve">L-17DC</t>
  </si>
  <si>
    <t xml:space="preserve">L-17EB</t>
  </si>
  <si>
    <t xml:space="preserve">L-186A</t>
  </si>
  <si>
    <t xml:space="preserve">L-188F</t>
  </si>
  <si>
    <t xml:space="preserve">L-195E</t>
  </si>
  <si>
    <t xml:space="preserve">L-1982</t>
  </si>
  <si>
    <t xml:space="preserve">L-19B4</t>
  </si>
  <si>
    <t xml:space="preserve">L-19DB</t>
  </si>
  <si>
    <t xml:space="preserve">L-19E5</t>
  </si>
  <si>
    <t xml:space="preserve">L-1A75</t>
  </si>
  <si>
    <t xml:space="preserve">L-1A7B</t>
  </si>
  <si>
    <t xml:space="preserve">L-1AA9</t>
  </si>
  <si>
    <t xml:space="preserve">L-1ACF</t>
  </si>
  <si>
    <t xml:space="preserve">L-1AD2</t>
  </si>
  <si>
    <t xml:space="preserve">L-1B13</t>
  </si>
  <si>
    <t xml:space="preserve">L-1B78</t>
  </si>
  <si>
    <t xml:space="preserve">L-1B92</t>
  </si>
  <si>
    <t xml:space="preserve">L-1BE7</t>
  </si>
  <si>
    <t xml:space="preserve">L-1BEA</t>
  </si>
  <si>
    <t xml:space="preserve">L-1C0A</t>
  </si>
  <si>
    <t xml:space="preserve">L-1C0F</t>
  </si>
  <si>
    <t xml:space="preserve">L-1C6E</t>
  </si>
  <si>
    <t xml:space="preserve">L-1CB2</t>
  </si>
  <si>
    <t xml:space="preserve">L-1CE1</t>
  </si>
  <si>
    <t xml:space="preserve">L-1D02</t>
  </si>
  <si>
    <t xml:space="preserve">L-1D51</t>
  </si>
  <si>
    <t xml:space="preserve">L-1D53</t>
  </si>
  <si>
    <t xml:space="preserve">L-1DBD</t>
  </si>
  <si>
    <t xml:space="preserve">L-1DD6</t>
  </si>
  <si>
    <t xml:space="preserve">L-1E01</t>
  </si>
  <si>
    <t xml:space="preserve">L-1E21</t>
  </si>
  <si>
    <t xml:space="preserve">L-1E36</t>
  </si>
  <si>
    <t xml:space="preserve">L-1EA9</t>
  </si>
  <si>
    <t xml:space="preserve">L-1ECA</t>
  </si>
  <si>
    <t xml:space="preserve">L-1EF3</t>
  </si>
  <si>
    <t xml:space="preserve">L-1F41</t>
  </si>
  <si>
    <t xml:space="preserve">L-1F55</t>
  </si>
  <si>
    <t xml:space="preserve">L-1FA2</t>
  </si>
  <si>
    <t xml:space="preserve">L-202F</t>
  </si>
  <si>
    <t xml:space="preserve">L-213C</t>
  </si>
  <si>
    <t xml:space="preserve">L-214C</t>
  </si>
  <si>
    <t xml:space="preserve">L-21B8</t>
  </si>
  <si>
    <t xml:space="preserve">L-21DB</t>
  </si>
  <si>
    <t xml:space="preserve">L-21E7</t>
  </si>
  <si>
    <t xml:space="preserve">L-2208</t>
  </si>
  <si>
    <t xml:space="preserve">L-2221</t>
  </si>
  <si>
    <t xml:space="preserve">L-2226</t>
  </si>
  <si>
    <t xml:space="preserve">L-222D</t>
  </si>
  <si>
    <t xml:space="preserve">L-2244</t>
  </si>
  <si>
    <t xml:space="preserve">L-2258</t>
  </si>
  <si>
    <t xml:space="preserve">L-225D</t>
  </si>
  <si>
    <t xml:space="preserve">L-2286</t>
  </si>
  <si>
    <t xml:space="preserve">L-22A7</t>
  </si>
  <si>
    <t xml:space="preserve">L-22BF</t>
  </si>
  <si>
    <t xml:space="preserve">L-22F5</t>
  </si>
  <si>
    <t xml:space="preserve">L-2317</t>
  </si>
  <si>
    <t xml:space="preserve">L-235E</t>
  </si>
  <si>
    <t xml:space="preserve">L-2378</t>
  </si>
  <si>
    <t xml:space="preserve">L-23CC</t>
  </si>
  <si>
    <t xml:space="preserve">L-23CD</t>
  </si>
  <si>
    <t xml:space="preserve">L-23EF</t>
  </si>
  <si>
    <t xml:space="preserve">L-2409</t>
  </si>
  <si>
    <t xml:space="preserve">L-246D</t>
  </si>
  <si>
    <t xml:space="preserve">L-24A6</t>
  </si>
  <si>
    <t xml:space="preserve">L-24B8</t>
  </si>
  <si>
    <t xml:space="preserve">L-24FB</t>
  </si>
  <si>
    <t xml:space="preserve">L-2557</t>
  </si>
  <si>
    <t xml:space="preserve">L-255C</t>
  </si>
  <si>
    <t xml:space="preserve">L-2595</t>
  </si>
  <si>
    <t xml:space="preserve">L-25BE</t>
  </si>
  <si>
    <t xml:space="preserve">L-25D0</t>
  </si>
  <si>
    <t xml:space="preserve">L-2603</t>
  </si>
  <si>
    <t xml:space="preserve">L-264C</t>
  </si>
  <si>
    <t xml:space="preserve">L-26FD</t>
  </si>
  <si>
    <t xml:space="preserve">L-2701</t>
  </si>
  <si>
    <t xml:space="preserve">L-2763</t>
  </si>
  <si>
    <t xml:space="preserve">L-2797</t>
  </si>
  <si>
    <t xml:space="preserve">L-27FA</t>
  </si>
  <si>
    <t xml:space="preserve">L-2800</t>
  </si>
  <si>
    <t xml:space="preserve">L-2843</t>
  </si>
  <si>
    <t xml:space="preserve">L-2873</t>
  </si>
  <si>
    <t xml:space="preserve">L-287C</t>
  </si>
  <si>
    <t xml:space="preserve">L-28A0</t>
  </si>
  <si>
    <t xml:space="preserve">L-28E7</t>
  </si>
  <si>
    <t xml:space="preserve">L-291E</t>
  </si>
  <si>
    <t xml:space="preserve">L-294C</t>
  </si>
  <si>
    <t xml:space="preserve">L-2973</t>
  </si>
  <si>
    <t xml:space="preserve">L-299E</t>
  </si>
  <si>
    <t xml:space="preserve">L-29FC</t>
  </si>
  <si>
    <t xml:space="preserve">L-2A30</t>
  </si>
  <si>
    <t xml:space="preserve">L-2A37</t>
  </si>
  <si>
    <t xml:space="preserve">L-2B41</t>
  </si>
  <si>
    <t xml:space="preserve">L-2B5A</t>
  </si>
  <si>
    <t xml:space="preserve">L-2C03</t>
  </si>
  <si>
    <t xml:space="preserve">L-2C46</t>
  </si>
  <si>
    <t xml:space="preserve">L-2C66</t>
  </si>
  <si>
    <t xml:space="preserve">L-2C80</t>
  </si>
  <si>
    <t xml:space="preserve">L-2CB0</t>
  </si>
  <si>
    <t xml:space="preserve">L-2CBF</t>
  </si>
  <si>
    <t xml:space="preserve">L-2CFF</t>
  </si>
  <si>
    <t xml:space="preserve">L-2D33</t>
  </si>
  <si>
    <t xml:space="preserve">L-2D39</t>
  </si>
  <si>
    <t xml:space="preserve">L-2D8D</t>
  </si>
  <si>
    <t xml:space="preserve">L-2DC3</t>
  </si>
  <si>
    <t xml:space="preserve">L-2E1F</t>
  </si>
  <si>
    <t xml:space="preserve">L-2E22</t>
  </si>
  <si>
    <t xml:space="preserve">L-2E28</t>
  </si>
  <si>
    <t xml:space="preserve">L-2E39</t>
  </si>
  <si>
    <t xml:space="preserve">L-2E3A</t>
  </si>
  <si>
    <t xml:space="preserve">L-2E62</t>
  </si>
  <si>
    <t xml:space="preserve">L-2E69</t>
  </si>
  <si>
    <t xml:space="preserve">L-2ED3</t>
  </si>
  <si>
    <t xml:space="preserve">L-2F9A</t>
  </si>
  <si>
    <t xml:space="preserve">L-2F9D</t>
  </si>
  <si>
    <t xml:space="preserve">L-2FFC</t>
  </si>
  <si>
    <t xml:space="preserve">L-3012</t>
  </si>
  <si>
    <t xml:space="preserve">L-3060</t>
  </si>
  <si>
    <t xml:space="preserve">L-3073</t>
  </si>
  <si>
    <t xml:space="preserve">L-307B</t>
  </si>
  <si>
    <t xml:space="preserve">L-30B2</t>
  </si>
  <si>
    <t xml:space="preserve">L-3107</t>
  </si>
  <si>
    <t xml:space="preserve">L-312C</t>
  </si>
  <si>
    <t xml:space="preserve">L-3195</t>
  </si>
  <si>
    <t xml:space="preserve">L-320A</t>
  </si>
  <si>
    <t xml:space="preserve">L-322D</t>
  </si>
  <si>
    <t xml:space="preserve">L-32CA</t>
  </si>
  <si>
    <t xml:space="preserve">L-334F</t>
  </si>
  <si>
    <t xml:space="preserve">L-3361</t>
  </si>
  <si>
    <t xml:space="preserve">L-33F6</t>
  </si>
  <si>
    <t xml:space="preserve">L-3411</t>
  </si>
  <si>
    <t xml:space="preserve">L-3447</t>
  </si>
  <si>
    <t xml:space="preserve">L-345B</t>
  </si>
  <si>
    <t xml:space="preserve">L-34DA</t>
  </si>
  <si>
    <t xml:space="preserve">L-3508</t>
  </si>
  <si>
    <t xml:space="preserve">L-3554</t>
  </si>
  <si>
    <t xml:space="preserve">L-356C</t>
  </si>
  <si>
    <t xml:space="preserve">L-35A8</t>
  </si>
  <si>
    <t xml:space="preserve">L-35D5</t>
  </si>
  <si>
    <t xml:space="preserve">L-35ED</t>
  </si>
  <si>
    <t xml:space="preserve">L-3622</t>
  </si>
  <si>
    <t xml:space="preserve">L-362A</t>
  </si>
  <si>
    <t xml:space="preserve">L-3641</t>
  </si>
  <si>
    <t xml:space="preserve">L-364C</t>
  </si>
  <si>
    <t xml:space="preserve">L-3672</t>
  </si>
  <si>
    <t xml:space="preserve">L-36EE</t>
  </si>
  <si>
    <t xml:space="preserve">L-36F3</t>
  </si>
  <si>
    <t xml:space="preserve">L-376B</t>
  </si>
  <si>
    <t xml:space="preserve">L-3794</t>
  </si>
  <si>
    <t xml:space="preserve">L-37E3</t>
  </si>
  <si>
    <t xml:space="preserve">L-3815</t>
  </si>
  <si>
    <t xml:space="preserve">L-392E</t>
  </si>
  <si>
    <t xml:space="preserve">L-3983</t>
  </si>
  <si>
    <t xml:space="preserve">L-3996</t>
  </si>
  <si>
    <t xml:space="preserve">L-399E</t>
  </si>
  <si>
    <t xml:space="preserve">L-39A5</t>
  </si>
  <si>
    <t xml:space="preserve">L-39A7</t>
  </si>
  <si>
    <t xml:space="preserve">L-39C7</t>
  </si>
  <si>
    <t xml:space="preserve">L-39E8</t>
  </si>
  <si>
    <t xml:space="preserve">L-3A0F</t>
  </si>
  <si>
    <t xml:space="preserve">L-3A16</t>
  </si>
  <si>
    <t xml:space="preserve">L-3A45</t>
  </si>
  <si>
    <t xml:space="preserve">L-3A46</t>
  </si>
  <si>
    <t xml:space="preserve">L-3A6E</t>
  </si>
  <si>
    <t xml:space="preserve">L-3A7E</t>
  </si>
  <si>
    <t xml:space="preserve">L-3A84</t>
  </si>
  <si>
    <t xml:space="preserve">L-3AD9</t>
  </si>
  <si>
    <t xml:space="preserve">L-3AE4</t>
  </si>
  <si>
    <t xml:space="preserve">L-3BC7</t>
  </si>
  <si>
    <t xml:space="preserve">L-3BD5</t>
  </si>
  <si>
    <t xml:space="preserve">L-3C63</t>
  </si>
  <si>
    <t xml:space="preserve">L-3C6B</t>
  </si>
  <si>
    <t xml:space="preserve">L-3D2F</t>
  </si>
  <si>
    <t xml:space="preserve">L-3D4B</t>
  </si>
  <si>
    <t xml:space="preserve">L-3D6B</t>
  </si>
  <si>
    <t xml:space="preserve">L-3D96</t>
  </si>
  <si>
    <t xml:space="preserve">L-3DA8</t>
  </si>
  <si>
    <t xml:space="preserve">L-3DB4</t>
  </si>
  <si>
    <t xml:space="preserve">L-3DDF</t>
  </si>
  <si>
    <t xml:space="preserve">L-3E34</t>
  </si>
  <si>
    <t xml:space="preserve">L-3E78</t>
  </si>
  <si>
    <t xml:space="preserve">L-3E7B</t>
  </si>
  <si>
    <t xml:space="preserve">L-3E90</t>
  </si>
  <si>
    <t xml:space="preserve">L-3F04</t>
  </si>
  <si>
    <t xml:space="preserve">L-3F3B</t>
  </si>
  <si>
    <t xml:space="preserve">L-3F59</t>
  </si>
  <si>
    <t xml:space="preserve">L-3F6B</t>
  </si>
  <si>
    <t xml:space="preserve">L-3F7E</t>
  </si>
  <si>
    <t xml:space="preserve">L-3FBE</t>
  </si>
  <si>
    <t xml:space="preserve">L-4040</t>
  </si>
  <si>
    <t xml:space="preserve">L-407D</t>
  </si>
  <si>
    <t xml:space="preserve">L-4080</t>
  </si>
  <si>
    <t xml:space="preserve">L-40D6</t>
  </si>
  <si>
    <t xml:space="preserve">L-4119</t>
  </si>
  <si>
    <t xml:space="preserve">L-411D</t>
  </si>
  <si>
    <t xml:space="preserve">L-4152</t>
  </si>
  <si>
    <t xml:space="preserve">L-415A</t>
  </si>
  <si>
    <t xml:space="preserve">L-41A3</t>
  </si>
  <si>
    <t xml:space="preserve">L-41B8</t>
  </si>
  <si>
    <t xml:space="preserve">L-4222</t>
  </si>
  <si>
    <t xml:space="preserve">L-429B</t>
  </si>
  <si>
    <t xml:space="preserve">L-42A3</t>
  </si>
  <si>
    <t xml:space="preserve">L-42B2</t>
  </si>
  <si>
    <t xml:space="preserve">L-42BB</t>
  </si>
  <si>
    <t xml:space="preserve">L-42F4</t>
  </si>
  <si>
    <t xml:space="preserve">L-42F6</t>
  </si>
  <si>
    <t xml:space="preserve">L-431B</t>
  </si>
  <si>
    <t xml:space="preserve">L-4320</t>
  </si>
  <si>
    <t xml:space="preserve">L-4363</t>
  </si>
  <si>
    <t xml:space="preserve">L-43DA</t>
  </si>
  <si>
    <t xml:space="preserve">L-4462</t>
  </si>
  <si>
    <t xml:space="preserve">L-4468</t>
  </si>
  <si>
    <t xml:space="preserve">L-446B</t>
  </si>
  <si>
    <t xml:space="preserve">L-44D5</t>
  </si>
  <si>
    <t xml:space="preserve">L-4515</t>
  </si>
  <si>
    <t xml:space="preserve">L-451D</t>
  </si>
  <si>
    <t xml:space="preserve">L-456A</t>
  </si>
  <si>
    <t xml:space="preserve">L-45AE</t>
  </si>
  <si>
    <t xml:space="preserve">L-45D2</t>
  </si>
  <si>
    <t xml:space="preserve">L-45D6</t>
  </si>
  <si>
    <t xml:space="preserve">L-460C</t>
  </si>
  <si>
    <t xml:space="preserve">L-4619</t>
  </si>
  <si>
    <t xml:space="preserve">L-461B</t>
  </si>
  <si>
    <t xml:space="preserve">L-4677</t>
  </si>
  <si>
    <t xml:space="preserve">L-46D8</t>
  </si>
  <si>
    <t xml:space="preserve">L-46E3</t>
  </si>
  <si>
    <t xml:space="preserve">L-46EE</t>
  </si>
  <si>
    <t xml:space="preserve">L-46F8</t>
  </si>
  <si>
    <t xml:space="preserve">L-473C</t>
  </si>
  <si>
    <t xml:space="preserve">L-4776</t>
  </si>
  <si>
    <t xml:space="preserve">L-479A</t>
  </si>
  <si>
    <t xml:space="preserve">L-48A6</t>
  </si>
  <si>
    <t xml:space="preserve">L-48C3</t>
  </si>
  <si>
    <t xml:space="preserve">L-4907</t>
  </si>
  <si>
    <t xml:space="preserve">L-490C</t>
  </si>
  <si>
    <t xml:space="preserve">L-4914</t>
  </si>
  <si>
    <t xml:space="preserve">L-4922</t>
  </si>
  <si>
    <t xml:space="preserve">L-493C</t>
  </si>
  <si>
    <t xml:space="preserve">L-4998</t>
  </si>
  <si>
    <t xml:space="preserve">L-4999</t>
  </si>
  <si>
    <t xml:space="preserve">L-4A01</t>
  </si>
  <si>
    <t xml:space="preserve">L-4A31</t>
  </si>
  <si>
    <t xml:space="preserve">L-4B03</t>
  </si>
  <si>
    <t xml:space="preserve">L-4B4F</t>
  </si>
  <si>
    <t xml:space="preserve">L-4BDF</t>
  </si>
  <si>
    <t xml:space="preserve">L-4BE5</t>
  </si>
  <si>
    <t xml:space="preserve">L-4BFF</t>
  </si>
  <si>
    <t xml:space="preserve">L-4C4F</t>
  </si>
  <si>
    <t xml:space="preserve">L-4C68</t>
  </si>
  <si>
    <t xml:space="preserve">L-4C6B</t>
  </si>
  <si>
    <t xml:space="preserve">L-4C90</t>
  </si>
  <si>
    <t xml:space="preserve">L-4CA2</t>
  </si>
  <si>
    <t xml:space="preserve">L-4CBE</t>
  </si>
  <si>
    <t xml:space="preserve">L-4CBF</t>
  </si>
  <si>
    <t xml:space="preserve">L-4CD5</t>
  </si>
  <si>
    <t xml:space="preserve">L-4D8E</t>
  </si>
  <si>
    <t xml:space="preserve">L-4DB6</t>
  </si>
  <si>
    <t xml:space="preserve">L-4DF3</t>
  </si>
  <si>
    <t xml:space="preserve">L-4E6D</t>
  </si>
  <si>
    <t xml:space="preserve">L-4E96</t>
  </si>
  <si>
    <t xml:space="preserve">L-4EBF</t>
  </si>
  <si>
    <t xml:space="preserve">L-4ED8</t>
  </si>
  <si>
    <t xml:space="preserve">L-4EED</t>
  </si>
  <si>
    <t xml:space="preserve">L-4F0E</t>
  </si>
  <si>
    <t xml:space="preserve">L-4F20</t>
  </si>
  <si>
    <t xml:space="preserve">L-4F41</t>
  </si>
  <si>
    <t xml:space="preserve">L-4F56</t>
  </si>
  <si>
    <t xml:space="preserve">L-4F88</t>
  </si>
  <si>
    <t xml:space="preserve">L-4FFB</t>
  </si>
  <si>
    <t xml:space="preserve">L-501F</t>
  </si>
  <si>
    <t xml:space="preserve">L-5032</t>
  </si>
  <si>
    <t xml:space="preserve">L-508E</t>
  </si>
  <si>
    <t xml:space="preserve">L-5124</t>
  </si>
  <si>
    <t xml:space="preserve">L-5135</t>
  </si>
  <si>
    <t xml:space="preserve">L-5147</t>
  </si>
  <si>
    <t xml:space="preserve">L-5173</t>
  </si>
  <si>
    <t xml:space="preserve">L-51A9</t>
  </si>
  <si>
    <t xml:space="preserve">L-51D4</t>
  </si>
  <si>
    <t xml:space="preserve">L-5204</t>
  </si>
  <si>
    <t xml:space="preserve">L-5238</t>
  </si>
  <si>
    <t xml:space="preserve">L-52FC</t>
  </si>
  <si>
    <t xml:space="preserve">L-5353</t>
  </si>
  <si>
    <t xml:space="preserve">L-5393</t>
  </si>
  <si>
    <t xml:space="preserve">L-53D3</t>
  </si>
  <si>
    <t xml:space="preserve">L-541E</t>
  </si>
  <si>
    <t xml:space="preserve">L-5438</t>
  </si>
  <si>
    <t xml:space="preserve">L-5479</t>
  </si>
  <si>
    <t xml:space="preserve">L-550C</t>
  </si>
  <si>
    <t xml:space="preserve">L-5513</t>
  </si>
  <si>
    <t xml:space="preserve">L-5547</t>
  </si>
  <si>
    <t xml:space="preserve">L-557B</t>
  </si>
  <si>
    <t xml:space="preserve">L-55FE</t>
  </si>
  <si>
    <t xml:space="preserve">L-560E</t>
  </si>
  <si>
    <t xml:space="preserve">L-564D</t>
  </si>
  <si>
    <t xml:space="preserve">L-56AC</t>
  </si>
  <si>
    <t xml:space="preserve">L-573A</t>
  </si>
  <si>
    <t xml:space="preserve">L-5774</t>
  </si>
  <si>
    <t xml:space="preserve">L-57E5</t>
  </si>
  <si>
    <t xml:space="preserve">L-582D</t>
  </si>
  <si>
    <t xml:space="preserve">L-5864</t>
  </si>
  <si>
    <t xml:space="preserve">L-5868</t>
  </si>
  <si>
    <t xml:space="preserve">L-58C0</t>
  </si>
  <si>
    <t xml:space="preserve">L-5956</t>
  </si>
  <si>
    <t xml:space="preserve">L-5961</t>
  </si>
  <si>
    <t xml:space="preserve">L-596C</t>
  </si>
  <si>
    <t xml:space="preserve">L-5A74</t>
  </si>
  <si>
    <t xml:space="preserve">L-5A8C</t>
  </si>
  <si>
    <t xml:space="preserve">L-5ABA</t>
  </si>
  <si>
    <t xml:space="preserve">L-5AD3</t>
  </si>
  <si>
    <t xml:space="preserve">L-5AD7</t>
  </si>
  <si>
    <t xml:space="preserve">L-5B03</t>
  </si>
  <si>
    <t xml:space="preserve">L-5BF0</t>
  </si>
  <si>
    <t xml:space="preserve">L-5C36</t>
  </si>
  <si>
    <t xml:space="preserve">L-5C3C</t>
  </si>
  <si>
    <t xml:space="preserve">L-5C5D</t>
  </si>
  <si>
    <t xml:space="preserve">L-5C88</t>
  </si>
  <si>
    <t xml:space="preserve">L-5CEA</t>
  </si>
  <si>
    <t xml:space="preserve">L-5D11</t>
  </si>
  <si>
    <t xml:space="preserve">L-5D48</t>
  </si>
  <si>
    <t xml:space="preserve">L-5D98</t>
  </si>
  <si>
    <t xml:space="preserve">L-5DA3</t>
  </si>
  <si>
    <t xml:space="preserve">L-5DDD</t>
  </si>
  <si>
    <t xml:space="preserve">L-5E00</t>
  </si>
  <si>
    <t xml:space="preserve">L-5E0C</t>
  </si>
  <si>
    <t xml:space="preserve">L-5E23</t>
  </si>
  <si>
    <t xml:space="preserve">L-5E46</t>
  </si>
  <si>
    <t xml:space="preserve">L-5E4E</t>
  </si>
  <si>
    <t xml:space="preserve">L-5E71</t>
  </si>
  <si>
    <t xml:space="preserve">L-5E8B</t>
  </si>
  <si>
    <t xml:space="preserve">L-5EB4</t>
  </si>
  <si>
    <t xml:space="preserve">L-5EE0</t>
  </si>
  <si>
    <t xml:space="preserve">L-5EEA</t>
  </si>
  <si>
    <t xml:space="preserve">L-5F09</t>
  </si>
  <si>
    <t xml:space="preserve">L-5F27</t>
  </si>
  <si>
    <t xml:space="preserve">L-5F5F</t>
  </si>
  <si>
    <t xml:space="preserve">L-5F81</t>
  </si>
  <si>
    <t xml:space="preserve">L-5FF6</t>
  </si>
  <si>
    <t xml:space="preserve">L-6066</t>
  </si>
  <si>
    <t xml:space="preserve">L-606E</t>
  </si>
  <si>
    <t xml:space="preserve">L-6086</t>
  </si>
  <si>
    <t xml:space="preserve">L-60E2</t>
  </si>
  <si>
    <t xml:space="preserve">L-60EE</t>
  </si>
  <si>
    <t xml:space="preserve">L-60F2</t>
  </si>
  <si>
    <t xml:space="preserve">L-6122</t>
  </si>
  <si>
    <t xml:space="preserve">L-619D</t>
  </si>
  <si>
    <t xml:space="preserve">L-61AB</t>
  </si>
  <si>
    <t xml:space="preserve">L-61D4</t>
  </si>
  <si>
    <t xml:space="preserve">L-61E8</t>
  </si>
  <si>
    <t xml:space="preserve">L-624A</t>
  </si>
  <si>
    <t xml:space="preserve">L-6262</t>
  </si>
  <si>
    <t xml:space="preserve">L-62AD</t>
  </si>
  <si>
    <t xml:space="preserve">L-62BC</t>
  </si>
  <si>
    <t xml:space="preserve">L-6356</t>
  </si>
  <si>
    <t xml:space="preserve">L-63E1</t>
  </si>
  <si>
    <t xml:space="preserve">L-640F</t>
  </si>
  <si>
    <t xml:space="preserve">L-647A</t>
  </si>
  <si>
    <t xml:space="preserve">L-649E</t>
  </si>
  <si>
    <t xml:space="preserve">L-64D0</t>
  </si>
  <si>
    <t xml:space="preserve">L-64E6</t>
  </si>
  <si>
    <t xml:space="preserve">L-6549</t>
  </si>
  <si>
    <t xml:space="preserve">L-6585</t>
  </si>
  <si>
    <t xml:space="preserve">L-6588</t>
  </si>
  <si>
    <t xml:space="preserve">L-6596</t>
  </si>
  <si>
    <t xml:space="preserve">L-65A3</t>
  </si>
  <si>
    <t xml:space="preserve">L-65C9</t>
  </si>
  <si>
    <t xml:space="preserve">L-65FB</t>
  </si>
  <si>
    <t xml:space="preserve">L-665A</t>
  </si>
  <si>
    <t xml:space="preserve">L-668E</t>
  </si>
  <si>
    <t xml:space="preserve">L-66BB</t>
  </si>
  <si>
    <t xml:space="preserve">L-6706</t>
  </si>
  <si>
    <t xml:space="preserve">L-676C</t>
  </si>
  <si>
    <t xml:space="preserve">L-6772</t>
  </si>
  <si>
    <t xml:space="preserve">L-6792</t>
  </si>
  <si>
    <t xml:space="preserve">L-6795</t>
  </si>
  <si>
    <t xml:space="preserve">L-6809</t>
  </si>
  <si>
    <t xml:space="preserve">L-6897</t>
  </si>
  <si>
    <t xml:space="preserve">L-68C9</t>
  </si>
  <si>
    <t xml:space="preserve">L-68F4</t>
  </si>
  <si>
    <t xml:space="preserve">L-68F5</t>
  </si>
  <si>
    <t xml:space="preserve">L-693D</t>
  </si>
  <si>
    <t xml:space="preserve">L-69AD</t>
  </si>
  <si>
    <t xml:space="preserve">L-69BE</t>
  </si>
  <si>
    <t xml:space="preserve">L-69D0</t>
  </si>
  <si>
    <t xml:space="preserve">L-6A23</t>
  </si>
  <si>
    <t xml:space="preserve">L-6A28</t>
  </si>
  <si>
    <t xml:space="preserve">L-6A63</t>
  </si>
  <si>
    <t xml:space="preserve">L-6A75</t>
  </si>
  <si>
    <t xml:space="preserve">L-6A7A</t>
  </si>
  <si>
    <t xml:space="preserve">L-6A80</t>
  </si>
  <si>
    <t xml:space="preserve">L-6AA8</t>
  </si>
  <si>
    <t xml:space="preserve">L-6ABF</t>
  </si>
  <si>
    <t xml:space="preserve">L-6AD0</t>
  </si>
  <si>
    <t xml:space="preserve">L-6AD2</t>
  </si>
  <si>
    <t xml:space="preserve">L-6C82</t>
  </si>
  <si>
    <t xml:space="preserve">L-6CC4</t>
  </si>
  <si>
    <t xml:space="preserve">L-6CE5</t>
  </si>
  <si>
    <t xml:space="preserve">L-6CE9</t>
  </si>
  <si>
    <t xml:space="preserve">L-6CED</t>
  </si>
  <si>
    <t xml:space="preserve">L-6D5B</t>
  </si>
  <si>
    <t xml:space="preserve">L-6DE3</t>
  </si>
  <si>
    <t xml:space="preserve">L-6E51</t>
  </si>
  <si>
    <t xml:space="preserve">L-6F18</t>
  </si>
  <si>
    <t xml:space="preserve">L-6F36</t>
  </si>
  <si>
    <t xml:space="preserve">L-6F8C</t>
  </si>
  <si>
    <t xml:space="preserve">L-6F9C</t>
  </si>
  <si>
    <t xml:space="preserve">L-6F9E</t>
  </si>
  <si>
    <t xml:space="preserve">L-7006</t>
  </si>
  <si>
    <t xml:space="preserve">L-701F</t>
  </si>
  <si>
    <t xml:space="preserve">L-7182</t>
  </si>
  <si>
    <t xml:space="preserve">L-71D1</t>
  </si>
  <si>
    <t xml:space="preserve">L-7200</t>
  </si>
  <si>
    <t xml:space="preserve">L-72E4</t>
  </si>
  <si>
    <t xml:space="preserve">L-73A1</t>
  </si>
  <si>
    <t xml:space="preserve">L-73A7</t>
  </si>
  <si>
    <t xml:space="preserve">L-73EE</t>
  </si>
  <si>
    <t xml:space="preserve">L-7423</t>
  </si>
  <si>
    <t xml:space="preserve">L-744C</t>
  </si>
  <si>
    <t xml:space="preserve">L-749D</t>
  </si>
  <si>
    <t xml:space="preserve">L-74CF</t>
  </si>
  <si>
    <t xml:space="preserve">L-7550</t>
  </si>
  <si>
    <t xml:space="preserve">L-7573</t>
  </si>
  <si>
    <t xml:space="preserve">L-75EA</t>
  </si>
  <si>
    <t xml:space="preserve">L-75F5</t>
  </si>
  <si>
    <t xml:space="preserve">L-7617</t>
  </si>
  <si>
    <t xml:space="preserve">L-7628</t>
  </si>
  <si>
    <t xml:space="preserve">L-76A0</t>
  </si>
  <si>
    <t xml:space="preserve">L-7744</t>
  </si>
  <si>
    <t xml:space="preserve">L-77BE</t>
  </si>
  <si>
    <t xml:space="preserve">L-77FA</t>
  </si>
  <si>
    <t xml:space="preserve">L-7878</t>
  </si>
  <si>
    <t xml:space="preserve">L-7908</t>
  </si>
  <si>
    <t xml:space="preserve">L-7922</t>
  </si>
  <si>
    <t xml:space="preserve">L-7936</t>
  </si>
  <si>
    <t xml:space="preserve">L-7939</t>
  </si>
  <si>
    <t xml:space="preserve">L-7960</t>
  </si>
  <si>
    <t xml:space="preserve">L-7997</t>
  </si>
  <si>
    <t xml:space="preserve">L-79B0</t>
  </si>
  <si>
    <t xml:space="preserve">L-79B1</t>
  </si>
  <si>
    <t xml:space="preserve">L-79F2</t>
  </si>
  <si>
    <t xml:space="preserve">L-7A06</t>
  </si>
  <si>
    <t xml:space="preserve">L-7A18</t>
  </si>
  <si>
    <t xml:space="preserve">L-7A4C</t>
  </si>
  <si>
    <t xml:space="preserve">L-7A8F</t>
  </si>
  <si>
    <t xml:space="preserve">L-7ACF</t>
  </si>
  <si>
    <t xml:space="preserve">L-7B35</t>
  </si>
  <si>
    <t xml:space="preserve">L-7B3A</t>
  </si>
  <si>
    <t xml:space="preserve">L-7B54</t>
  </si>
  <si>
    <t xml:space="preserve">L-7BC9</t>
  </si>
  <si>
    <t xml:space="preserve">L-7C8E</t>
  </si>
  <si>
    <t xml:space="preserve">L-7CEE</t>
  </si>
  <si>
    <t xml:space="preserve">L-7D4B</t>
  </si>
  <si>
    <t xml:space="preserve">L-7D86</t>
  </si>
  <si>
    <t xml:space="preserve">L-7DA3</t>
  </si>
  <si>
    <t xml:space="preserve">L-7DB8</t>
  </si>
  <si>
    <t xml:space="preserve">L-7E3B</t>
  </si>
  <si>
    <t xml:space="preserve">L-7E4A</t>
  </si>
  <si>
    <t xml:space="preserve">L-7E78</t>
  </si>
  <si>
    <t xml:space="preserve">L-7E80</t>
  </si>
  <si>
    <t xml:space="preserve">L-7EF4</t>
  </si>
  <si>
    <t xml:space="preserve">L-7F23</t>
  </si>
  <si>
    <t xml:space="preserve">L-7F5B</t>
  </si>
  <si>
    <t xml:space="preserve">L-7F6F</t>
  </si>
  <si>
    <t xml:space="preserve">L-7FDD</t>
  </si>
  <si>
    <t xml:space="preserve">L-7FEA</t>
  </si>
  <si>
    <t xml:space="preserve">L-8000</t>
  </si>
  <si>
    <t xml:space="preserve">L-8079</t>
  </si>
  <si>
    <t xml:space="preserve">L-809C</t>
  </si>
  <si>
    <t xml:space="preserve">L-80EF</t>
  </si>
  <si>
    <t xml:space="preserve">L-80F3</t>
  </si>
  <si>
    <t xml:space="preserve">L-8106</t>
  </si>
  <si>
    <t xml:space="preserve">L-811B</t>
  </si>
  <si>
    <t xml:space="preserve">L-8192</t>
  </si>
  <si>
    <t xml:space="preserve">L-81CA</t>
  </si>
  <si>
    <t xml:space="preserve">L-8230</t>
  </si>
  <si>
    <t xml:space="preserve">L-826C</t>
  </si>
  <si>
    <t xml:space="preserve">L-82D5</t>
  </si>
  <si>
    <t xml:space="preserve">L-82DC</t>
  </si>
  <si>
    <t xml:space="preserve">L-82FD</t>
  </si>
  <si>
    <t xml:space="preserve">L-8305</t>
  </si>
  <si>
    <t xml:space="preserve">L-8328</t>
  </si>
  <si>
    <t xml:space="preserve">L-8362</t>
  </si>
  <si>
    <t xml:space="preserve">L-8385</t>
  </si>
  <si>
    <t xml:space="preserve">L-8402</t>
  </si>
  <si>
    <t xml:space="preserve">L-8438</t>
  </si>
  <si>
    <t xml:space="preserve">L-8440</t>
  </si>
  <si>
    <t xml:space="preserve">L-844F</t>
  </si>
  <si>
    <t xml:space="preserve">L-8477</t>
  </si>
  <si>
    <t xml:space="preserve">L-8486</t>
  </si>
  <si>
    <t xml:space="preserve">L-848D</t>
  </si>
  <si>
    <t xml:space="preserve">L-84B3</t>
  </si>
  <si>
    <t xml:space="preserve">L-84B4</t>
  </si>
  <si>
    <t xml:space="preserve">L-84F4</t>
  </si>
  <si>
    <t xml:space="preserve">L-858E</t>
  </si>
  <si>
    <t xml:space="preserve">L-85E5</t>
  </si>
  <si>
    <t xml:space="preserve">L-866E</t>
  </si>
  <si>
    <t xml:space="preserve">L-8684</t>
  </si>
  <si>
    <t xml:space="preserve">L-86AB</t>
  </si>
  <si>
    <t xml:space="preserve">L-86BD</t>
  </si>
  <si>
    <t xml:space="preserve">L-86D2</t>
  </si>
  <si>
    <t xml:space="preserve">L-86D6</t>
  </si>
  <si>
    <t xml:space="preserve">L-874D</t>
  </si>
  <si>
    <t xml:space="preserve">L-87A8</t>
  </si>
  <si>
    <t xml:space="preserve">L-881B</t>
  </si>
  <si>
    <t xml:space="preserve">L-8824</t>
  </si>
  <si>
    <t xml:space="preserve">L-885E</t>
  </si>
  <si>
    <t xml:space="preserve">L-88E3</t>
  </si>
  <si>
    <t xml:space="preserve">L-88EE</t>
  </si>
  <si>
    <t xml:space="preserve">L-8930</t>
  </si>
  <si>
    <t xml:space="preserve">L-8938</t>
  </si>
  <si>
    <t xml:space="preserve">L-894D</t>
  </si>
  <si>
    <t xml:space="preserve">L-895C</t>
  </si>
  <si>
    <t xml:space="preserve">L-8974</t>
  </si>
  <si>
    <t xml:space="preserve">L-89DE</t>
  </si>
  <si>
    <t xml:space="preserve">L-8A17</t>
  </si>
  <si>
    <t xml:space="preserve">L-8A41</t>
  </si>
  <si>
    <t xml:space="preserve">L-8A58</t>
  </si>
  <si>
    <t xml:space="preserve">L-8B1D</t>
  </si>
  <si>
    <t xml:space="preserve">L-8B41</t>
  </si>
  <si>
    <t xml:space="preserve">L-8B61</t>
  </si>
  <si>
    <t xml:space="preserve">L-8B90</t>
  </si>
  <si>
    <t xml:space="preserve">L-8BA1</t>
  </si>
  <si>
    <t xml:space="preserve">L-8C0C</t>
  </si>
  <si>
    <t xml:space="preserve">L-8C2C</t>
  </si>
  <si>
    <t xml:space="preserve">L-8C56</t>
  </si>
  <si>
    <t xml:space="preserve">L-8C8F</t>
  </si>
  <si>
    <t xml:space="preserve">L-8CA6</t>
  </si>
  <si>
    <t xml:space="preserve">L-8D2A</t>
  </si>
  <si>
    <t xml:space="preserve">L-8D31</t>
  </si>
  <si>
    <t xml:space="preserve">L-8D37</t>
  </si>
  <si>
    <t xml:space="preserve">L-8D7E</t>
  </si>
  <si>
    <t xml:space="preserve">L-8DD9</t>
  </si>
  <si>
    <t xml:space="preserve">L-8E4B</t>
  </si>
  <si>
    <t xml:space="preserve">L-8EA2</t>
  </si>
  <si>
    <t xml:space="preserve">L-8F64</t>
  </si>
  <si>
    <t xml:space="preserve">L-8FBB</t>
  </si>
  <si>
    <t xml:space="preserve">L-8FEB</t>
  </si>
  <si>
    <t xml:space="preserve">L-8FEF</t>
  </si>
  <si>
    <t xml:space="preserve">L-9009</t>
  </si>
  <si>
    <t xml:space="preserve">L-901D</t>
  </si>
  <si>
    <t xml:space="preserve">L-9049</t>
  </si>
  <si>
    <t xml:space="preserve">L-9065</t>
  </si>
  <si>
    <t xml:space="preserve">L-9090</t>
  </si>
  <si>
    <t xml:space="preserve">L-90D9</t>
  </si>
  <si>
    <t xml:space="preserve">L-9114</t>
  </si>
  <si>
    <t xml:space="preserve">L-911C</t>
  </si>
  <si>
    <t xml:space="preserve">L-914C</t>
  </si>
  <si>
    <t xml:space="preserve">L-92B3</t>
  </si>
  <si>
    <t xml:space="preserve">L-92C3</t>
  </si>
  <si>
    <t xml:space="preserve">L-9323</t>
  </si>
  <si>
    <t xml:space="preserve">L-9335</t>
  </si>
  <si>
    <t xml:space="preserve">L-933A</t>
  </si>
  <si>
    <t xml:space="preserve">L-933F</t>
  </si>
  <si>
    <t xml:space="preserve">L-9369</t>
  </si>
  <si>
    <t xml:space="preserve">L-9471</t>
  </si>
  <si>
    <t xml:space="preserve">L-9484</t>
  </si>
  <si>
    <t xml:space="preserve">L-9486</t>
  </si>
  <si>
    <t xml:space="preserve">L-9487</t>
  </si>
  <si>
    <t xml:space="preserve">L-949E</t>
  </si>
  <si>
    <t xml:space="preserve">L-94A5</t>
  </si>
  <si>
    <t xml:space="preserve">L-94D9</t>
  </si>
  <si>
    <t xml:space="preserve">L-94F0</t>
  </si>
  <si>
    <t xml:space="preserve">L-94FB</t>
  </si>
  <si>
    <t xml:space="preserve">L-9548</t>
  </si>
  <si>
    <t xml:space="preserve">L-9554</t>
  </si>
  <si>
    <t xml:space="preserve">L-95ED</t>
  </si>
  <si>
    <t xml:space="preserve">L-960F</t>
  </si>
  <si>
    <t xml:space="preserve">L-9668</t>
  </si>
  <si>
    <t xml:space="preserve">L-9790</t>
  </si>
  <si>
    <t xml:space="preserve">L-97C9</t>
  </si>
  <si>
    <t xml:space="preserve">L-97FF</t>
  </si>
  <si>
    <t xml:space="preserve">L-9809</t>
  </si>
  <si>
    <t xml:space="preserve">L-98A2</t>
  </si>
  <si>
    <t xml:space="preserve">L-98E6</t>
  </si>
  <si>
    <t xml:space="preserve">L-994E</t>
  </si>
  <si>
    <t xml:space="preserve">L-995C</t>
  </si>
  <si>
    <t xml:space="preserve">L-999B</t>
  </si>
  <si>
    <t xml:space="preserve">L-99AF</t>
  </si>
  <si>
    <t xml:space="preserve">L-99DD</t>
  </si>
  <si>
    <t xml:space="preserve">L-9A60</t>
  </si>
  <si>
    <t xml:space="preserve">L-9B12</t>
  </si>
  <si>
    <t xml:space="preserve">L-9B60</t>
  </si>
  <si>
    <t xml:space="preserve">L-9B72</t>
  </si>
  <si>
    <t xml:space="preserve">L-9B94</t>
  </si>
  <si>
    <t xml:space="preserve">L-9C27</t>
  </si>
  <si>
    <t xml:space="preserve">L-9C50</t>
  </si>
  <si>
    <t xml:space="preserve">L-9C5C</t>
  </si>
  <si>
    <t xml:space="preserve">L-9C76</t>
  </si>
  <si>
    <t xml:space="preserve">L-9C82</t>
  </si>
  <si>
    <t xml:space="preserve">L-9C87</t>
  </si>
  <si>
    <t xml:space="preserve">L-9CDC</t>
  </si>
  <si>
    <t xml:space="preserve">L-9CF8</t>
  </si>
  <si>
    <t xml:space="preserve">L-9D78</t>
  </si>
  <si>
    <t xml:space="preserve">L-9DAB</t>
  </si>
  <si>
    <t xml:space="preserve">L-9DAC</t>
  </si>
  <si>
    <t xml:space="preserve">L-9DB5</t>
  </si>
  <si>
    <t xml:space="preserve">L-9DC7</t>
  </si>
  <si>
    <t xml:space="preserve">L-9DED</t>
  </si>
  <si>
    <t xml:space="preserve">L-9E09</t>
  </si>
  <si>
    <t xml:space="preserve">L-9E84</t>
  </si>
  <si>
    <t xml:space="preserve">L-9F0F</t>
  </si>
  <si>
    <t xml:space="preserve">L-9F28</t>
  </si>
  <si>
    <t xml:space="preserve">L-9F6C</t>
  </si>
  <si>
    <t xml:space="preserve">L-9F6F</t>
  </si>
  <si>
    <t xml:space="preserve">L-9FBD</t>
  </si>
  <si>
    <t xml:space="preserve">L-A043</t>
  </si>
  <si>
    <t xml:space="preserve">L-A05A</t>
  </si>
  <si>
    <t xml:space="preserve">L-A08C</t>
  </si>
  <si>
    <t xml:space="preserve">L-A0BA</t>
  </si>
  <si>
    <t xml:space="preserve">L-A0F1</t>
  </si>
  <si>
    <t xml:space="preserve">L-A0FC</t>
  </si>
  <si>
    <t xml:space="preserve">L-A10E</t>
  </si>
  <si>
    <t xml:space="preserve">L-A137</t>
  </si>
  <si>
    <t xml:space="preserve">L-A17A</t>
  </si>
  <si>
    <t xml:space="preserve">L-A1DB</t>
  </si>
  <si>
    <t xml:space="preserve">L-A1F1</t>
  </si>
  <si>
    <t xml:space="preserve">L-A1F3</t>
  </si>
  <si>
    <t xml:space="preserve">L-A211</t>
  </si>
  <si>
    <t xml:space="preserve">L-A244</t>
  </si>
  <si>
    <t xml:space="preserve">L-A259</t>
  </si>
  <si>
    <t xml:space="preserve">L-A2A8</t>
  </si>
  <si>
    <t xml:space="preserve">L-A2B9</t>
  </si>
  <si>
    <t xml:space="preserve">L-A35F</t>
  </si>
  <si>
    <t xml:space="preserve">L-A393</t>
  </si>
  <si>
    <t xml:space="preserve">L-A3B9</t>
  </si>
  <si>
    <t xml:space="preserve">L-A3C6</t>
  </si>
  <si>
    <t xml:space="preserve">L-A40C</t>
  </si>
  <si>
    <t xml:space="preserve">L-A41A</t>
  </si>
  <si>
    <t xml:space="preserve">L-A422</t>
  </si>
  <si>
    <t xml:space="preserve">L-A446</t>
  </si>
  <si>
    <t xml:space="preserve">L-A46F</t>
  </si>
  <si>
    <t xml:space="preserve">L-A470</t>
  </si>
  <si>
    <t xml:space="preserve">L-A49D</t>
  </si>
  <si>
    <t xml:space="preserve">L-A4E2</t>
  </si>
  <si>
    <t xml:space="preserve">L-A502</t>
  </si>
  <si>
    <t xml:space="preserve">L-A574</t>
  </si>
  <si>
    <t xml:space="preserve">L-A579</t>
  </si>
  <si>
    <t xml:space="preserve">L-A57C</t>
  </si>
  <si>
    <t xml:space="preserve">L-A580</t>
  </si>
  <si>
    <t xml:space="preserve">L-A621</t>
  </si>
  <si>
    <t xml:space="preserve">L-A626</t>
  </si>
  <si>
    <t xml:space="preserve">L-A6B7</t>
  </si>
  <si>
    <t xml:space="preserve">L-A6EA</t>
  </si>
  <si>
    <t xml:space="preserve">L-A70E</t>
  </si>
  <si>
    <t xml:space="preserve">L-A77A</t>
  </si>
  <si>
    <t xml:space="preserve">L-A791</t>
  </si>
  <si>
    <t xml:space="preserve">L-A79B</t>
  </si>
  <si>
    <t xml:space="preserve">L-A818</t>
  </si>
  <si>
    <t xml:space="preserve">L-A89A</t>
  </si>
  <si>
    <t xml:space="preserve">L-A96B</t>
  </si>
  <si>
    <t xml:space="preserve">L-A9C5</t>
  </si>
  <si>
    <t xml:space="preserve">L-A9CB</t>
  </si>
  <si>
    <t xml:space="preserve">L-A9E9</t>
  </si>
  <si>
    <t xml:space="preserve">L-A9EA</t>
  </si>
  <si>
    <t xml:space="preserve">L-AA30</t>
  </si>
  <si>
    <t xml:space="preserve">L-AA58</t>
  </si>
  <si>
    <t xml:space="preserve">L-AADC</t>
  </si>
  <si>
    <t xml:space="preserve">L-AB48</t>
  </si>
  <si>
    <t xml:space="preserve">L-AB96</t>
  </si>
  <si>
    <t xml:space="preserve">L-ABBC</t>
  </si>
  <si>
    <t xml:space="preserve">L-ABDD</t>
  </si>
  <si>
    <t xml:space="preserve">L-AC68</t>
  </si>
  <si>
    <t xml:space="preserve">L-AC6E</t>
  </si>
  <si>
    <t xml:space="preserve">L-AC9A</t>
  </si>
  <si>
    <t xml:space="preserve">L-ACB9</t>
  </si>
  <si>
    <t xml:space="preserve">L-ACCE</t>
  </si>
  <si>
    <t xml:space="preserve">L-AD0E</t>
  </si>
  <si>
    <t xml:space="preserve">L-ADE3</t>
  </si>
  <si>
    <t xml:space="preserve">L-AEA9</t>
  </si>
  <si>
    <t xml:space="preserve">L-AF7C</t>
  </si>
  <si>
    <t xml:space="preserve">L-AFA0</t>
  </si>
  <si>
    <t xml:space="preserve">L-B014</t>
  </si>
  <si>
    <t xml:space="preserve">L-B079</t>
  </si>
  <si>
    <t xml:space="preserve">L-B16B</t>
  </si>
  <si>
    <t xml:space="preserve">L-B179</t>
  </si>
  <si>
    <t xml:space="preserve">L-B17B</t>
  </si>
  <si>
    <t xml:space="preserve">L-B1A4</t>
  </si>
  <si>
    <t xml:space="preserve">L-B1A9</t>
  </si>
  <si>
    <t xml:space="preserve">L-B1AB</t>
  </si>
  <si>
    <t xml:space="preserve">L-B1BA</t>
  </si>
  <si>
    <t xml:space="preserve">L-B1C7</t>
  </si>
  <si>
    <t xml:space="preserve">L-B1DC</t>
  </si>
  <si>
    <t xml:space="preserve">L-B1F2</t>
  </si>
  <si>
    <t xml:space="preserve">L-B1FE</t>
  </si>
  <si>
    <t xml:space="preserve">L-B217</t>
  </si>
  <si>
    <t xml:space="preserve">L-B21C</t>
  </si>
  <si>
    <t xml:space="preserve">L-B23F</t>
  </si>
  <si>
    <t xml:space="preserve">L-B292</t>
  </si>
  <si>
    <t xml:space="preserve">L-B2D3</t>
  </si>
  <si>
    <t xml:space="preserve">L-B2E9</t>
  </si>
  <si>
    <t xml:space="preserve">L-B305</t>
  </si>
  <si>
    <t xml:space="preserve">L-B30B</t>
  </si>
  <si>
    <t xml:space="preserve">L-B342</t>
  </si>
  <si>
    <t xml:space="preserve">L-B34D</t>
  </si>
  <si>
    <t xml:space="preserve">L-B3B9</t>
  </si>
  <si>
    <t xml:space="preserve">L-B3C4</t>
  </si>
  <si>
    <t xml:space="preserve">L-B3CE</t>
  </si>
  <si>
    <t xml:space="preserve">L-B3FD</t>
  </si>
  <si>
    <t xml:space="preserve">L-B405</t>
  </si>
  <si>
    <t xml:space="preserve">L-B41F</t>
  </si>
  <si>
    <t xml:space="preserve">L-B437</t>
  </si>
  <si>
    <t xml:space="preserve">L-B50B</t>
  </si>
  <si>
    <t xml:space="preserve">L-B50F</t>
  </si>
  <si>
    <t xml:space="preserve">L-B51C</t>
  </si>
  <si>
    <t xml:space="preserve">L-B5B6</t>
  </si>
  <si>
    <t xml:space="preserve">L-B5D1</t>
  </si>
  <si>
    <t xml:space="preserve">L-B604</t>
  </si>
  <si>
    <t xml:space="preserve">L-B623</t>
  </si>
  <si>
    <t xml:space="preserve">L-B63C</t>
  </si>
  <si>
    <t xml:space="preserve">L-B664</t>
  </si>
  <si>
    <t xml:space="preserve">L-B6A5</t>
  </si>
  <si>
    <t xml:space="preserve">L-B6B6</t>
  </si>
  <si>
    <t xml:space="preserve">L-B775</t>
  </si>
  <si>
    <t xml:space="preserve">L-B7BC</t>
  </si>
  <si>
    <t xml:space="preserve">L-B85D</t>
  </si>
  <si>
    <t xml:space="preserve">L-B8A5</t>
  </si>
  <si>
    <t xml:space="preserve">L-B8B4</t>
  </si>
  <si>
    <t xml:space="preserve">L-B8BC</t>
  </si>
  <si>
    <t xml:space="preserve">L-B919</t>
  </si>
  <si>
    <t xml:space="preserve">L-B94A</t>
  </si>
  <si>
    <t xml:space="preserve">L-B960</t>
  </si>
  <si>
    <t xml:space="preserve">L-B982</t>
  </si>
  <si>
    <t xml:space="preserve">L-BA1B</t>
  </si>
  <si>
    <t xml:space="preserve">L-BA26</t>
  </si>
  <si>
    <t xml:space="preserve">L-BA39</t>
  </si>
  <si>
    <t xml:space="preserve">L-BA5C</t>
  </si>
  <si>
    <t xml:space="preserve">L-BA65</t>
  </si>
  <si>
    <t xml:space="preserve">L-BA76</t>
  </si>
  <si>
    <t xml:space="preserve">L-BACB</t>
  </si>
  <si>
    <t xml:space="preserve">L-BADA</t>
  </si>
  <si>
    <t xml:space="preserve">L-BAF2</t>
  </si>
  <si>
    <t xml:space="preserve">L-BB1C</t>
  </si>
  <si>
    <t xml:space="preserve">L-BB50</t>
  </si>
  <si>
    <t xml:space="preserve">L-BB6A</t>
  </si>
  <si>
    <t xml:space="preserve">L-BB91</t>
  </si>
  <si>
    <t xml:space="preserve">L-BBBB</t>
  </si>
  <si>
    <t xml:space="preserve">L-BBDA</t>
  </si>
  <si>
    <t xml:space="preserve">L-BBE6</t>
  </si>
  <si>
    <t xml:space="preserve">L-BBF2</t>
  </si>
  <si>
    <t xml:space="preserve">L-BC09</t>
  </si>
  <si>
    <t xml:space="preserve">L-BC3D</t>
  </si>
  <si>
    <t xml:space="preserve">L-BC5E</t>
  </si>
  <si>
    <t xml:space="preserve">L-BCC4</t>
  </si>
  <si>
    <t xml:space="preserve">L-BD19</t>
  </si>
  <si>
    <t xml:space="preserve">L-BD35</t>
  </si>
  <si>
    <t xml:space="preserve">L-BD5E</t>
  </si>
  <si>
    <t xml:space="preserve">L-BD67</t>
  </si>
  <si>
    <t xml:space="preserve">L-BD7C</t>
  </si>
  <si>
    <t xml:space="preserve">L-BE0D</t>
  </si>
  <si>
    <t xml:space="preserve">L-BE4E</t>
  </si>
  <si>
    <t xml:space="preserve">L-BE6C</t>
  </si>
  <si>
    <t xml:space="preserve">L-BE7B</t>
  </si>
  <si>
    <t xml:space="preserve">L-BEF7</t>
  </si>
  <si>
    <t xml:space="preserve">L-BEF9</t>
  </si>
  <si>
    <t xml:space="preserve">L-BF0E</t>
  </si>
  <si>
    <t xml:space="preserve">L-BF27</t>
  </si>
  <si>
    <t xml:space="preserve">L-BF76</t>
  </si>
  <si>
    <t xml:space="preserve">L-BF82</t>
  </si>
  <si>
    <t xml:space="preserve">L-BFAF</t>
  </si>
  <si>
    <t xml:space="preserve">L-BFF7</t>
  </si>
  <si>
    <t xml:space="preserve">L-C006</t>
  </si>
  <si>
    <t xml:space="preserve">L-C056</t>
  </si>
  <si>
    <t xml:space="preserve">L-C081</t>
  </si>
  <si>
    <t xml:space="preserve">L-C087</t>
  </si>
  <si>
    <t xml:space="preserve">L-C0B1</t>
  </si>
  <si>
    <t xml:space="preserve">L-C0D7</t>
  </si>
  <si>
    <t xml:space="preserve">L-C143</t>
  </si>
  <si>
    <t xml:space="preserve">L-C159</t>
  </si>
  <si>
    <t xml:space="preserve">L-C18C</t>
  </si>
  <si>
    <t xml:space="preserve">L-C1A3</t>
  </si>
  <si>
    <t xml:space="preserve">L-C1F5</t>
  </si>
  <si>
    <t xml:space="preserve">L-C21A</t>
  </si>
  <si>
    <t xml:space="preserve">L-C227</t>
  </si>
  <si>
    <t xml:space="preserve">L-C263</t>
  </si>
  <si>
    <t xml:space="preserve">L-C299</t>
  </si>
  <si>
    <t xml:space="preserve">L-C29B</t>
  </si>
  <si>
    <t xml:space="preserve">L-C2E5</t>
  </si>
  <si>
    <t xml:space="preserve">L-C2E7</t>
  </si>
  <si>
    <t xml:space="preserve">L-C33B</t>
  </si>
  <si>
    <t xml:space="preserve">L-C341</t>
  </si>
  <si>
    <t xml:space="preserve">L-C376</t>
  </si>
  <si>
    <t xml:space="preserve">L-C384</t>
  </si>
  <si>
    <t xml:space="preserve">L-C3A7</t>
  </si>
  <si>
    <t xml:space="preserve">L-C433</t>
  </si>
  <si>
    <t xml:space="preserve">L-C457</t>
  </si>
  <si>
    <t xml:space="preserve">L-C4D6</t>
  </si>
  <si>
    <t xml:space="preserve">L-C516</t>
  </si>
  <si>
    <t xml:space="preserve">L-C567</t>
  </si>
  <si>
    <t xml:space="preserve">L-C63B</t>
  </si>
  <si>
    <t xml:space="preserve">L-C643</t>
  </si>
  <si>
    <t xml:space="preserve">L-C651</t>
  </si>
  <si>
    <t xml:space="preserve">L-C679</t>
  </si>
  <si>
    <t xml:space="preserve">L-C67E</t>
  </si>
  <si>
    <t xml:space="preserve">L-C68D</t>
  </si>
  <si>
    <t xml:space="preserve">L-C70D</t>
  </si>
  <si>
    <t xml:space="preserve">L-C804</t>
  </si>
  <si>
    <t xml:space="preserve">L-C8C8</t>
  </si>
  <si>
    <t xml:space="preserve">L-C8DD</t>
  </si>
  <si>
    <t xml:space="preserve">L-C911</t>
  </si>
  <si>
    <t xml:space="preserve">L-C962</t>
  </si>
  <si>
    <t xml:space="preserve">L-C9BF</t>
  </si>
  <si>
    <t xml:space="preserve">L-C9C1</t>
  </si>
  <si>
    <t xml:space="preserve">L-C9CE</t>
  </si>
  <si>
    <t xml:space="preserve">L-C9DA</t>
  </si>
  <si>
    <t xml:space="preserve">L-C9E5</t>
  </si>
  <si>
    <t xml:space="preserve">L-CA27</t>
  </si>
  <si>
    <t xml:space="preserve">L-CA3B</t>
  </si>
  <si>
    <t xml:space="preserve">L-CAF9</t>
  </si>
  <si>
    <t xml:space="preserve">L-CB01</t>
  </si>
  <si>
    <t xml:space="preserve">L-CB0D</t>
  </si>
  <si>
    <t xml:space="preserve">L-CB2A</t>
  </si>
  <si>
    <t xml:space="preserve">L-CB3F</t>
  </si>
  <si>
    <t xml:space="preserve">L-CB79</t>
  </si>
  <si>
    <t xml:space="preserve">L-CBAD</t>
  </si>
  <si>
    <t xml:space="preserve">L-CC32</t>
  </si>
  <si>
    <t xml:space="preserve">L-CC54</t>
  </si>
  <si>
    <t xml:space="preserve">L-CC70</t>
  </si>
  <si>
    <t xml:space="preserve">L-CCAC</t>
  </si>
  <si>
    <t xml:space="preserve">L-CCB1</t>
  </si>
  <si>
    <t xml:space="preserve">L-CCD6</t>
  </si>
  <si>
    <t xml:space="preserve">L-CCE6</t>
  </si>
  <si>
    <t xml:space="preserve">L-CD09</t>
  </si>
  <si>
    <t xml:space="preserve">L-CD20</t>
  </si>
  <si>
    <t xml:space="preserve">L-CD7F</t>
  </si>
  <si>
    <t xml:space="preserve">L-CE33</t>
  </si>
  <si>
    <t xml:space="preserve">L-CE9B</t>
  </si>
  <si>
    <t xml:space="preserve">L-CEE9</t>
  </si>
  <si>
    <t xml:space="preserve">L-CF35</t>
  </si>
  <si>
    <t xml:space="preserve">L-CF58</t>
  </si>
  <si>
    <t xml:space="preserve">L-CF6D</t>
  </si>
  <si>
    <t xml:space="preserve">L-CFAC</t>
  </si>
  <si>
    <t xml:space="preserve">L-D03F</t>
  </si>
  <si>
    <t xml:space="preserve">L-D04B</t>
  </si>
  <si>
    <t xml:space="preserve">L-D0BE</t>
  </si>
  <si>
    <t xml:space="preserve">L-D0E9</t>
  </si>
  <si>
    <t xml:space="preserve">L-D0F0</t>
  </si>
  <si>
    <t xml:space="preserve">L-D101</t>
  </si>
  <si>
    <t xml:space="preserve">L-D143</t>
  </si>
  <si>
    <t xml:space="preserve">L-D17A</t>
  </si>
  <si>
    <t xml:space="preserve">L-D192</t>
  </si>
  <si>
    <t xml:space="preserve">L-D19E</t>
  </si>
  <si>
    <t xml:space="preserve">L-D1A7</t>
  </si>
  <si>
    <t xml:space="preserve">L-D1AF</t>
  </si>
  <si>
    <t xml:space="preserve">L-D1EB</t>
  </si>
  <si>
    <t xml:space="preserve">L-D1F4</t>
  </si>
  <si>
    <t xml:space="preserve">L-D205</t>
  </si>
  <si>
    <t xml:space="preserve">L-D210</t>
  </si>
  <si>
    <t xml:space="preserve">L-D27B</t>
  </si>
  <si>
    <t xml:space="preserve">L-D2BB</t>
  </si>
  <si>
    <t xml:space="preserve">L-D31B</t>
  </si>
  <si>
    <t xml:space="preserve">L-D323</t>
  </si>
  <si>
    <t xml:space="preserve">L-D327</t>
  </si>
  <si>
    <t xml:space="preserve">L-D32F</t>
  </si>
  <si>
    <t xml:space="preserve">L-D370</t>
  </si>
  <si>
    <t xml:space="preserve">L-D37A</t>
  </si>
  <si>
    <t xml:space="preserve">L-D448</t>
  </si>
  <si>
    <t xml:space="preserve">L-D45D</t>
  </si>
  <si>
    <t xml:space="preserve">L-D4D5</t>
  </si>
  <si>
    <t xml:space="preserve">L-D4FD</t>
  </si>
  <si>
    <t xml:space="preserve">L-D5AE</t>
  </si>
  <si>
    <t xml:space="preserve">L-D5B1</t>
  </si>
  <si>
    <t xml:space="preserve">L-D608</t>
  </si>
  <si>
    <t xml:space="preserve">L-D615</t>
  </si>
  <si>
    <t xml:space="preserve">L-D66A</t>
  </si>
  <si>
    <t xml:space="preserve">L-D6F4</t>
  </si>
  <si>
    <t xml:space="preserve">L-D720</t>
  </si>
  <si>
    <t xml:space="preserve">L-D734</t>
  </si>
  <si>
    <t xml:space="preserve">L-D75A</t>
  </si>
  <si>
    <t xml:space="preserve">L-D7FF</t>
  </si>
  <si>
    <t xml:space="preserve">L-D85C</t>
  </si>
  <si>
    <t xml:space="preserve">L-D8AA</t>
  </si>
  <si>
    <t xml:space="preserve">L-D8D8</t>
  </si>
  <si>
    <t xml:space="preserve">L-D8EE</t>
  </si>
  <si>
    <t xml:space="preserve">L-D968</t>
  </si>
  <si>
    <t xml:space="preserve">L-DA43</t>
  </si>
  <si>
    <t xml:space="preserve">L-DA73</t>
  </si>
  <si>
    <t xml:space="preserve">L-DA9E</t>
  </si>
  <si>
    <t xml:space="preserve">L-DABE</t>
  </si>
  <si>
    <t xml:space="preserve">L-DB3C</t>
  </si>
  <si>
    <t xml:space="preserve">L-DB89</t>
  </si>
  <si>
    <t xml:space="preserve">L-DBBD</t>
  </si>
  <si>
    <t xml:space="preserve">L-DBE7</t>
  </si>
  <si>
    <t xml:space="preserve">L-DC76</t>
  </si>
  <si>
    <t xml:space="preserve">L-DC98</t>
  </si>
  <si>
    <t xml:space="preserve">L-DC9A</t>
  </si>
  <si>
    <t xml:space="preserve">L-DCA8</t>
  </si>
  <si>
    <t xml:space="preserve">L-DCAC</t>
  </si>
  <si>
    <t xml:space="preserve">L-DCC0</t>
  </si>
  <si>
    <t xml:space="preserve">L-DCE9</t>
  </si>
  <si>
    <t xml:space="preserve">L-DCFB</t>
  </si>
  <si>
    <t xml:space="preserve">L-DD71</t>
  </si>
  <si>
    <t xml:space="preserve">L-DDA0</t>
  </si>
  <si>
    <t xml:space="preserve">L-DE1D</t>
  </si>
  <si>
    <t xml:space="preserve">L-DE38</t>
  </si>
  <si>
    <t xml:space="preserve">L-DE69</t>
  </si>
  <si>
    <t xml:space="preserve">L-DE85</t>
  </si>
  <si>
    <t xml:space="preserve">L-DEA9</t>
  </si>
  <si>
    <t xml:space="preserve">L-DEAC</t>
  </si>
  <si>
    <t xml:space="preserve">L-DEBC</t>
  </si>
  <si>
    <t xml:space="preserve">L-DF13</t>
  </si>
  <si>
    <t xml:space="preserve">L-DF4C</t>
  </si>
  <si>
    <t xml:space="preserve">L-DF67</t>
  </si>
  <si>
    <t xml:space="preserve">L-DFEF</t>
  </si>
  <si>
    <t xml:space="preserve">L-DFFA</t>
  </si>
  <si>
    <t xml:space="preserve">L-E03D</t>
  </si>
  <si>
    <t xml:space="preserve">L-E041</t>
  </si>
  <si>
    <t xml:space="preserve">L-E04D</t>
  </si>
  <si>
    <t xml:space="preserve">L-E065</t>
  </si>
  <si>
    <t xml:space="preserve">L-E06F</t>
  </si>
  <si>
    <t xml:space="preserve">L-E0C8</t>
  </si>
  <si>
    <t xml:space="preserve">L-E0F0</t>
  </si>
  <si>
    <t xml:space="preserve">L-E0FC</t>
  </si>
  <si>
    <t xml:space="preserve">L-E131</t>
  </si>
  <si>
    <t xml:space="preserve">L-E164</t>
  </si>
  <si>
    <t xml:space="preserve">L-E1A4</t>
  </si>
  <si>
    <t xml:space="preserve">L-E1C9</t>
  </si>
  <si>
    <t xml:space="preserve">L-E212</t>
  </si>
  <si>
    <t xml:space="preserve">L-E21D</t>
  </si>
  <si>
    <t xml:space="preserve">L-E230</t>
  </si>
  <si>
    <t xml:space="preserve">L-E26E</t>
  </si>
  <si>
    <t xml:space="preserve">L-E272</t>
  </si>
  <si>
    <t xml:space="preserve">L-E28C</t>
  </si>
  <si>
    <t xml:space="preserve">L-E2EC</t>
  </si>
  <si>
    <t xml:space="preserve">L-E316</t>
  </si>
  <si>
    <t xml:space="preserve">L-E356</t>
  </si>
  <si>
    <t xml:space="preserve">L-E360</t>
  </si>
  <si>
    <t xml:space="preserve">L-E370</t>
  </si>
  <si>
    <t xml:space="preserve">L-E3A8</t>
  </si>
  <si>
    <t xml:space="preserve">L-E3B4</t>
  </si>
  <si>
    <t xml:space="preserve">L-E458</t>
  </si>
  <si>
    <t xml:space="preserve">L-E4EB</t>
  </si>
  <si>
    <t xml:space="preserve">L-E508</t>
  </si>
  <si>
    <t xml:space="preserve">L-E577</t>
  </si>
  <si>
    <t xml:space="preserve">L-E579</t>
  </si>
  <si>
    <t xml:space="preserve">L-E5A4</t>
  </si>
  <si>
    <t xml:space="preserve">L-E5D2</t>
  </si>
  <si>
    <t xml:space="preserve">L-E5F3</t>
  </si>
  <si>
    <t xml:space="preserve">L-E64F</t>
  </si>
  <si>
    <t xml:space="preserve">L-E6A8</t>
  </si>
  <si>
    <t xml:space="preserve">L-E6AC</t>
  </si>
  <si>
    <t xml:space="preserve">L-E6B1</t>
  </si>
  <si>
    <t xml:space="preserve">L-E6B4</t>
  </si>
  <si>
    <t xml:space="preserve">L-E6CB</t>
  </si>
  <si>
    <t xml:space="preserve">L-E6E5</t>
  </si>
  <si>
    <t xml:space="preserve">L-E826</t>
  </si>
  <si>
    <t xml:space="preserve">L-E855</t>
  </si>
  <si>
    <t xml:space="preserve">L-E8A4</t>
  </si>
  <si>
    <t xml:space="preserve">L-E8A9</t>
  </si>
  <si>
    <t xml:space="preserve">L-E8C1</t>
  </si>
  <si>
    <t xml:space="preserve">L-E8F3</t>
  </si>
  <si>
    <t xml:space="preserve">L-E8FD</t>
  </si>
  <si>
    <t xml:space="preserve">L-E902</t>
  </si>
  <si>
    <t xml:space="preserve">L-E911</t>
  </si>
  <si>
    <t xml:space="preserve">L-E91E</t>
  </si>
  <si>
    <t xml:space="preserve">L-E945</t>
  </si>
  <si>
    <t xml:space="preserve">L-E958</t>
  </si>
  <si>
    <t xml:space="preserve">L-E967</t>
  </si>
  <si>
    <t xml:space="preserve">L-E977</t>
  </si>
  <si>
    <t xml:space="preserve">L-EA1F</t>
  </si>
  <si>
    <t xml:space="preserve">L-EA22</t>
  </si>
  <si>
    <t xml:space="preserve">L-EA5D</t>
  </si>
  <si>
    <t xml:space="preserve">L-EA84</t>
  </si>
  <si>
    <t xml:space="preserve">L-EAAC</t>
  </si>
  <si>
    <t xml:space="preserve">L-EAD1</t>
  </si>
  <si>
    <t xml:space="preserve">L-EAD2</t>
  </si>
  <si>
    <t xml:space="preserve">L-EAEC</t>
  </si>
  <si>
    <t xml:space="preserve">L-EB40</t>
  </si>
  <si>
    <t xml:space="preserve">L-EB84</t>
  </si>
  <si>
    <t xml:space="preserve">L-EBC0</t>
  </si>
  <si>
    <t xml:space="preserve">L-EC00</t>
  </si>
  <si>
    <t xml:space="preserve">L-EC1A</t>
  </si>
  <si>
    <t xml:space="preserve">L-EC20</t>
  </si>
  <si>
    <t xml:space="preserve">L-EC5B</t>
  </si>
  <si>
    <t xml:space="preserve">L-EC83</t>
  </si>
  <si>
    <t xml:space="preserve">L-ECA4</t>
  </si>
  <si>
    <t xml:space="preserve">L-ED09</t>
  </si>
  <si>
    <t xml:space="preserve">L-ED1C</t>
  </si>
  <si>
    <t xml:space="preserve">L-EDB3</t>
  </si>
  <si>
    <t xml:space="preserve">L-EDBC</t>
  </si>
  <si>
    <t xml:space="preserve">L-EDEB</t>
  </si>
  <si>
    <t xml:space="preserve">L-EE1E</t>
  </si>
  <si>
    <t xml:space="preserve">L-EE55</t>
  </si>
  <si>
    <t xml:space="preserve">L-EE6E</t>
  </si>
  <si>
    <t xml:space="preserve">L-EE74</t>
  </si>
  <si>
    <t xml:space="preserve">L-EE7A</t>
  </si>
  <si>
    <t xml:space="preserve">L-EEA4</t>
  </si>
  <si>
    <t xml:space="preserve">L-EEAB</t>
  </si>
  <si>
    <t xml:space="preserve">L-EEEF</t>
  </si>
  <si>
    <t xml:space="preserve">L-EF03</t>
  </si>
  <si>
    <t xml:space="preserve">L-EF0C</t>
  </si>
  <si>
    <t xml:space="preserve">L-EF68</t>
  </si>
  <si>
    <t xml:space="preserve">L-EF9F</t>
  </si>
  <si>
    <t xml:space="preserve">L-EFA2</t>
  </si>
  <si>
    <t xml:space="preserve">L-EFBD</t>
  </si>
  <si>
    <t xml:space="preserve">L-EFC7</t>
  </si>
  <si>
    <t xml:space="preserve">L-F088</t>
  </si>
  <si>
    <t xml:space="preserve">L-F0A1</t>
  </si>
  <si>
    <t xml:space="preserve">L-F0C1</t>
  </si>
  <si>
    <t xml:space="preserve">L-F0F5</t>
  </si>
  <si>
    <t xml:space="preserve">L-F11B</t>
  </si>
  <si>
    <t xml:space="preserve">L-F13E</t>
  </si>
  <si>
    <t xml:space="preserve">L-F14D</t>
  </si>
  <si>
    <t xml:space="preserve">L-F192</t>
  </si>
  <si>
    <t xml:space="preserve">L-F196</t>
  </si>
  <si>
    <t xml:space="preserve">L-F1BE</t>
  </si>
  <si>
    <t xml:space="preserve">L-F228</t>
  </si>
  <si>
    <t xml:space="preserve">L-F247</t>
  </si>
  <si>
    <t xml:space="preserve">L-F2A2</t>
  </si>
  <si>
    <t xml:space="preserve">L-F2E4</t>
  </si>
  <si>
    <t xml:space="preserve">L-F3A3</t>
  </si>
  <si>
    <t xml:space="preserve">L-F42A</t>
  </si>
  <si>
    <t xml:space="preserve">L-F435</t>
  </si>
  <si>
    <t xml:space="preserve">L-F44C</t>
  </si>
  <si>
    <t xml:space="preserve">L-F450</t>
  </si>
  <si>
    <t xml:space="preserve">L-F467</t>
  </si>
  <si>
    <t xml:space="preserve">L-F46D</t>
  </si>
  <si>
    <t xml:space="preserve">L-F489</t>
  </si>
  <si>
    <t xml:space="preserve">L-F4B5</t>
  </si>
  <si>
    <t xml:space="preserve">L-F4FF</t>
  </si>
  <si>
    <t xml:space="preserve">L-F50D</t>
  </si>
  <si>
    <t xml:space="preserve">L-F559</t>
  </si>
  <si>
    <t xml:space="preserve">L-F56F</t>
  </si>
  <si>
    <t xml:space="preserve">L-F592</t>
  </si>
  <si>
    <t xml:space="preserve">L-F5B9</t>
  </si>
  <si>
    <t xml:space="preserve">L-F608</t>
  </si>
  <si>
    <t xml:space="preserve">L-F652</t>
  </si>
  <si>
    <t xml:space="preserve">L-F67D</t>
  </si>
  <si>
    <t xml:space="preserve">L-F6AF</t>
  </si>
  <si>
    <t xml:space="preserve">L-F6D4</t>
  </si>
  <si>
    <t xml:space="preserve">L-F73D</t>
  </si>
  <si>
    <t xml:space="preserve">L-F779</t>
  </si>
  <si>
    <t xml:space="preserve">L-F780</t>
  </si>
  <si>
    <t xml:space="preserve">L-F7A5</t>
  </si>
  <si>
    <t xml:space="preserve">L-F7C5</t>
  </si>
  <si>
    <t xml:space="preserve">L-F7DB</t>
  </si>
  <si>
    <t xml:space="preserve">L-F85B</t>
  </si>
  <si>
    <t xml:space="preserve">L-F895</t>
  </si>
  <si>
    <t xml:space="preserve">L-F98D</t>
  </si>
  <si>
    <t xml:space="preserve">L-F9A6</t>
  </si>
  <si>
    <t xml:space="preserve">L-F9BC</t>
  </si>
  <si>
    <t xml:space="preserve">L-F9C9</t>
  </si>
  <si>
    <t xml:space="preserve">L-F9DB</t>
  </si>
  <si>
    <t xml:space="preserve">L-FA11</t>
  </si>
  <si>
    <t xml:space="preserve">L-FA2F</t>
  </si>
  <si>
    <t xml:space="preserve">L-FA4D</t>
  </si>
  <si>
    <t xml:space="preserve">L-FA55</t>
  </si>
  <si>
    <t xml:space="preserve">L-FA5E</t>
  </si>
  <si>
    <t xml:space="preserve">L-FA71</t>
  </si>
  <si>
    <t xml:space="preserve">L-FADD</t>
  </si>
  <si>
    <t xml:space="preserve">L-FAE6</t>
  </si>
  <si>
    <t xml:space="preserve">L-FAEB</t>
  </si>
  <si>
    <t xml:space="preserve">L-FB56</t>
  </si>
  <si>
    <t xml:space="preserve">L-FB6E</t>
  </si>
  <si>
    <t xml:space="preserve">L-FBA7</t>
  </si>
  <si>
    <t xml:space="preserve">L-FBBC</t>
  </si>
  <si>
    <t xml:space="preserve">L-FBCB</t>
  </si>
  <si>
    <t xml:space="preserve">L-FC1C</t>
  </si>
  <si>
    <t xml:space="preserve">L-FCC0</t>
  </si>
  <si>
    <t xml:space="preserve">L-FCDA</t>
  </si>
  <si>
    <t xml:space="preserve">L-FCDB</t>
  </si>
  <si>
    <t xml:space="preserve">L-FCED</t>
  </si>
  <si>
    <t xml:space="preserve">L-FD1C</t>
  </si>
  <si>
    <t xml:space="preserve">L-FDA0</t>
  </si>
  <si>
    <t xml:space="preserve">L-FE60</t>
  </si>
  <si>
    <t xml:space="preserve">L-FEB3</t>
  </si>
  <si>
    <t xml:space="preserve">L-FEC4</t>
  </si>
  <si>
    <t xml:space="preserve">L-FF07</t>
  </si>
  <si>
    <t xml:space="preserve">L-FF29</t>
  </si>
  <si>
    <t xml:space="preserve">L-FF33</t>
  </si>
  <si>
    <t xml:space="preserve">L-FF75</t>
  </si>
  <si>
    <t xml:space="preserve">L-FFDC</t>
  </si>
  <si>
    <t xml:space="preserve">tanggal</t>
  </si>
  <si>
    <t xml:space="preserve">input_qty</t>
  </si>
  <si>
    <t xml:space="preserve">ng_qty</t>
  </si>
  <si>
    <t xml:space="preserve">bulan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</si>
</sst>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6" style="0" width="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202606</v>
      </c>
      <c r="B2" s="0" t="s">
        <v>6</v>
      </c>
      <c r="C2" s="0" t="n">
        <f aca="false">SUMIFS(pemakaian!$C$2:$C$3585,pemakaian!$E$2:$E$3585,B2,pemakaian!$F$2:$F$3585,A2)</f>
        <v>14756</v>
      </c>
      <c r="D2" s="0" t="n">
        <f aca="false">SUMIFS(pemakaian!$D$2:$D$3585,pemakaian!$E$2:$E$3585,B2,pemakaian!$F$2:$F$3585,A2)</f>
        <v>171</v>
      </c>
      <c r="E2" s="0" t="n">
        <f aca="false">D2/C2</f>
        <v>0.0115885063702901</v>
      </c>
      <c r="F2" s="0" t="n">
        <f aca="false">1+COUNTIF($E$2:$E$6,"&gt;"&amp;E2)</f>
        <v>4</v>
      </c>
    </row>
    <row r="3" customFormat="false" ht="15" hidden="false" customHeight="false" outlineLevel="0" collapsed="false">
      <c r="A3" s="0" t="n">
        <v>202606</v>
      </c>
      <c r="B3" s="0" t="s">
        <v>7</v>
      </c>
      <c r="C3" s="0" t="n">
        <f aca="false">SUMIFS(pemakaian!$C$2:$C$3585,pemakaian!$E$2:$E$3585,B3,pemakaian!$F$2:$F$3585,A3)</f>
        <v>3485</v>
      </c>
      <c r="D3" s="0" t="n">
        <f aca="false">SUMIFS(pemakaian!$D$2:$D$3585,pemakaian!$E$2:$E$3585,B3,pemakaian!$F$2:$F$3585,A3)</f>
        <v>77</v>
      </c>
      <c r="E3" s="0" t="n">
        <f aca="false">D3/C3</f>
        <v>0.0220946915351506</v>
      </c>
      <c r="F3" s="0" t="n">
        <f aca="false">1+COUNTIF($E$2:$E$6,"&gt;"&amp;E3)</f>
        <v>2</v>
      </c>
    </row>
    <row r="4" customFormat="false" ht="15" hidden="false" customHeight="false" outlineLevel="0" collapsed="false">
      <c r="A4" s="0" t="n">
        <v>202606</v>
      </c>
      <c r="B4" s="0" t="s">
        <v>8</v>
      </c>
      <c r="C4" s="0" t="n">
        <f aca="false">SUMIFS(pemakaian!$C$2:$C$3585,pemakaian!$E$2:$E$3585,B4,pemakaian!$F$2:$F$3585,A4)</f>
        <v>20255</v>
      </c>
      <c r="D4" s="0" t="n">
        <f aca="false">SUMIFS(pemakaian!$D$2:$D$3585,pemakaian!$E$2:$E$3585,B4,pemakaian!$F$2:$F$3585,A4)</f>
        <v>816</v>
      </c>
      <c r="E4" s="0" t="n">
        <f aca="false">D4/C4</f>
        <v>0.0402863490496174</v>
      </c>
      <c r="F4" s="0" t="n">
        <f aca="false">1+COUNTIF($E$2:$E$6,"&gt;"&amp;E4)</f>
        <v>1</v>
      </c>
    </row>
    <row r="5" customFormat="false" ht="15" hidden="false" customHeight="false" outlineLevel="0" collapsed="false">
      <c r="A5" s="0" t="n">
        <v>202606</v>
      </c>
      <c r="B5" s="0" t="s">
        <v>9</v>
      </c>
      <c r="C5" s="0" t="n">
        <f aca="false">SUMIFS(pemakaian!$C$2:$C$3585,pemakaian!$E$2:$E$3585,B5,pemakaian!$F$2:$F$3585,A5)</f>
        <v>23908</v>
      </c>
      <c r="D5" s="0" t="n">
        <f aca="false">SUMIFS(pemakaian!$D$2:$D$3585,pemakaian!$E$2:$E$3585,B5,pemakaian!$F$2:$F$3585,A5)</f>
        <v>357</v>
      </c>
      <c r="E5" s="0" t="n">
        <f aca="false">D5/C5</f>
        <v>0.0149322402543082</v>
      </c>
      <c r="F5" s="0" t="n">
        <f aca="false">1+COUNTIF($E$2:$E$6,"&gt;"&amp;E5)</f>
        <v>3</v>
      </c>
    </row>
    <row r="6" customFormat="false" ht="15" hidden="false" customHeight="false" outlineLevel="0" collapsed="false">
      <c r="A6" s="0" t="n">
        <v>202606</v>
      </c>
      <c r="B6" s="0" t="s">
        <v>10</v>
      </c>
      <c r="C6" s="0" t="n">
        <f aca="false">SUMIFS(pemakaian!$C$2:$C$3585,pemakaian!$E$2:$E$3585,B6,pemakaian!$F$2:$F$3585,A6)</f>
        <v>27240</v>
      </c>
      <c r="D6" s="0" t="n">
        <f aca="false">SUMIFS(pemakaian!$D$2:$D$3585,pemakaian!$E$2:$E$3585,B6,pemakaian!$F$2:$F$3585,A6)</f>
        <v>308</v>
      </c>
      <c r="E6" s="0" t="n">
        <f aca="false">D6/C6</f>
        <v>0.0113069016152717</v>
      </c>
      <c r="F6" s="0" t="n">
        <f aca="false">1+COUNTIF($E$2:$E$6,"&gt;"&amp;E6)</f>
        <v>5</v>
      </c>
    </row>
    <row r="7" customFormat="false" ht="15" hidden="false" customHeight="false" outlineLevel="0" collapsed="false">
      <c r="A7" s="0" t="n">
        <v>202608</v>
      </c>
      <c r="B7" s="0" t="s">
        <v>6</v>
      </c>
      <c r="C7" s="0" t="n">
        <f aca="false">SUMIFS(pemakaian!$C$2:$C$3585,pemakaian!$E$2:$E$3585,B7,pemakaian!$F$2:$F$3585,A7)</f>
        <v>10998</v>
      </c>
      <c r="D7" s="0" t="n">
        <f aca="false">SUMIFS(pemakaian!$D$2:$D$3585,pemakaian!$E$2:$E$3585,B7,pemakaian!$F$2:$F$3585,A7)</f>
        <v>376</v>
      </c>
      <c r="E7" s="0" t="n">
        <f aca="false">D7/C7</f>
        <v>0.0341880341880342</v>
      </c>
      <c r="F7" s="0" t="n">
        <f aca="false">1+COUNTIF($E$7:$E$11,"&gt;"&amp;E7)</f>
        <v>2</v>
      </c>
    </row>
    <row r="8" customFormat="false" ht="15" hidden="false" customHeight="false" outlineLevel="0" collapsed="false">
      <c r="A8" s="0" t="n">
        <v>202608</v>
      </c>
      <c r="B8" s="0" t="s">
        <v>7</v>
      </c>
      <c r="C8" s="0" t="n">
        <f aca="false">SUMIFS(pemakaian!$C$2:$C$3585,pemakaian!$E$2:$E$3585,B8,pemakaian!$F$2:$F$3585,A8)</f>
        <v>1036</v>
      </c>
      <c r="D8" s="0" t="n">
        <f aca="false">SUMIFS(pemakaian!$D$2:$D$3585,pemakaian!$E$2:$E$3585,B8,pemakaian!$F$2:$F$3585,A8)</f>
        <v>10</v>
      </c>
      <c r="E8" s="0" t="n">
        <f aca="false">D8/C8</f>
        <v>0.00965250965250965</v>
      </c>
      <c r="F8" s="0" t="n">
        <f aca="false">1+COUNTIF($E$7:$E$11,"&gt;"&amp;E8)</f>
        <v>4</v>
      </c>
    </row>
    <row r="9" customFormat="false" ht="15" hidden="false" customHeight="false" outlineLevel="0" collapsed="false">
      <c r="A9" s="0" t="n">
        <v>202608</v>
      </c>
      <c r="B9" s="0" t="s">
        <v>8</v>
      </c>
      <c r="C9" s="0" t="n">
        <f aca="false">SUMIFS(pemakaian!$C$2:$C$3585,pemakaian!$E$2:$E$3585,B9,pemakaian!$F$2:$F$3585,A9)</f>
        <v>11874</v>
      </c>
      <c r="D9" s="0" t="n">
        <f aca="false">SUMIFS(pemakaian!$D$2:$D$3585,pemakaian!$E$2:$E$3585,B9,pemakaian!$F$2:$F$3585,A9)</f>
        <v>407</v>
      </c>
      <c r="E9" s="0" t="n">
        <f aca="false">D9/C9</f>
        <v>0.0342765706585818</v>
      </c>
      <c r="F9" s="0" t="n">
        <f aca="false">1+COUNTIF($E$7:$E$11,"&gt;"&amp;E9)</f>
        <v>1</v>
      </c>
    </row>
    <row r="10" customFormat="false" ht="15" hidden="false" customHeight="false" outlineLevel="0" collapsed="false">
      <c r="A10" s="0" t="n">
        <v>202608</v>
      </c>
      <c r="B10" s="0" t="s">
        <v>9</v>
      </c>
      <c r="C10" s="0" t="n">
        <f aca="false">SUMIFS(pemakaian!$C$2:$C$3585,pemakaian!$E$2:$E$3585,B10,pemakaian!$F$2:$F$3585,A10)</f>
        <v>20830</v>
      </c>
      <c r="D10" s="0" t="n">
        <f aca="false">SUMIFS(pemakaian!$D$2:$D$3585,pemakaian!$E$2:$E$3585,B10,pemakaian!$F$2:$F$3585,A10)</f>
        <v>195</v>
      </c>
      <c r="E10" s="0" t="n">
        <f aca="false">D10/C10</f>
        <v>0.00936149783965434</v>
      </c>
      <c r="F10" s="0" t="n">
        <f aca="false">1+COUNTIF($E$7:$E$11,"&gt;"&amp;E10)</f>
        <v>5</v>
      </c>
    </row>
    <row r="11" customFormat="false" ht="15" hidden="false" customHeight="false" outlineLevel="0" collapsed="false">
      <c r="A11" s="0" t="n">
        <v>202608</v>
      </c>
      <c r="B11" s="0" t="s">
        <v>10</v>
      </c>
      <c r="C11" s="0" t="n">
        <f aca="false">SUMIFS(pemakaian!$C$2:$C$3585,pemakaian!$E$2:$E$3585,B11,pemakaian!$F$2:$F$3585,A11)</f>
        <v>18324</v>
      </c>
      <c r="D11" s="0" t="n">
        <f aca="false">SUMIFS(pemakaian!$D$2:$D$3585,pemakaian!$E$2:$E$3585,B11,pemakaian!$F$2:$F$3585,A11)</f>
        <v>195</v>
      </c>
      <c r="E11" s="0" t="n">
        <f aca="false">D11/C11</f>
        <v>0.010641781270465</v>
      </c>
      <c r="F11" s="0" t="n">
        <f aca="false">1+COUNTIF($E$7:$E$11,"&gt;"&amp;E11)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11</v>
      </c>
      <c r="B1" s="0" t="s">
        <v>12</v>
      </c>
    </row>
    <row r="2" customFormat="false" ht="15" hidden="false" customHeight="false" outlineLevel="0" collapsed="false">
      <c r="A2" s="0" t="s">
        <v>13</v>
      </c>
      <c r="B2" s="0" t="s">
        <v>9</v>
      </c>
    </row>
    <row r="3" customFormat="false" ht="15" hidden="false" customHeight="false" outlineLevel="0" collapsed="false">
      <c r="A3" s="0" t="s">
        <v>14</v>
      </c>
      <c r="B3" s="0" t="s">
        <v>8</v>
      </c>
    </row>
    <row r="4" customFormat="false" ht="15" hidden="false" customHeight="false" outlineLevel="0" collapsed="false">
      <c r="A4" s="0" t="s">
        <v>15</v>
      </c>
      <c r="B4" s="0" t="s">
        <v>10</v>
      </c>
    </row>
    <row r="5" customFormat="false" ht="15" hidden="false" customHeight="false" outlineLevel="0" collapsed="false">
      <c r="A5" s="0" t="s">
        <v>16</v>
      </c>
      <c r="B5" s="0" t="s">
        <v>8</v>
      </c>
    </row>
    <row r="6" customFormat="false" ht="15" hidden="false" customHeight="false" outlineLevel="0" collapsed="false">
      <c r="A6" s="0" t="s">
        <v>17</v>
      </c>
      <c r="B6" s="0" t="s">
        <v>10</v>
      </c>
    </row>
    <row r="7" customFormat="false" ht="15" hidden="false" customHeight="false" outlineLevel="0" collapsed="false">
      <c r="A7" s="0" t="s">
        <v>18</v>
      </c>
      <c r="B7" s="0" t="s">
        <v>9</v>
      </c>
    </row>
    <row r="8" customFormat="false" ht="15" hidden="false" customHeight="false" outlineLevel="0" collapsed="false">
      <c r="A8" s="0" t="s">
        <v>19</v>
      </c>
      <c r="B8" s="0" t="s">
        <v>6</v>
      </c>
    </row>
    <row r="9" customFormat="false" ht="15" hidden="false" customHeight="false" outlineLevel="0" collapsed="false">
      <c r="A9" s="0" t="s">
        <v>20</v>
      </c>
      <c r="B9" s="0" t="s">
        <v>10</v>
      </c>
    </row>
    <row r="10" customFormat="false" ht="15" hidden="false" customHeight="false" outlineLevel="0" collapsed="false">
      <c r="A10" s="0" t="s">
        <v>21</v>
      </c>
      <c r="B10" s="0" t="s">
        <v>10</v>
      </c>
    </row>
    <row r="11" customFormat="false" ht="15" hidden="false" customHeight="false" outlineLevel="0" collapsed="false">
      <c r="A11" s="0" t="s">
        <v>22</v>
      </c>
      <c r="B11" s="0" t="s">
        <v>9</v>
      </c>
    </row>
    <row r="12" customFormat="false" ht="15" hidden="false" customHeight="false" outlineLevel="0" collapsed="false">
      <c r="A12" s="0" t="s">
        <v>23</v>
      </c>
      <c r="B12" s="0" t="s">
        <v>9</v>
      </c>
    </row>
    <row r="13" customFormat="false" ht="15" hidden="false" customHeight="false" outlineLevel="0" collapsed="false">
      <c r="A13" s="0" t="s">
        <v>24</v>
      </c>
      <c r="B13" s="0" t="s">
        <v>8</v>
      </c>
    </row>
    <row r="14" customFormat="false" ht="15" hidden="false" customHeight="false" outlineLevel="0" collapsed="false">
      <c r="A14" s="0" t="s">
        <v>25</v>
      </c>
      <c r="B14" s="0" t="s">
        <v>10</v>
      </c>
    </row>
    <row r="15" customFormat="false" ht="15" hidden="false" customHeight="false" outlineLevel="0" collapsed="false">
      <c r="A15" s="0" t="s">
        <v>26</v>
      </c>
      <c r="B15" s="0" t="s">
        <v>10</v>
      </c>
    </row>
    <row r="16" customFormat="false" ht="15" hidden="false" customHeight="false" outlineLevel="0" collapsed="false">
      <c r="A16" s="0" t="s">
        <v>27</v>
      </c>
      <c r="B16" s="0" t="s">
        <v>10</v>
      </c>
    </row>
    <row r="17" customFormat="false" ht="15" hidden="false" customHeight="false" outlineLevel="0" collapsed="false">
      <c r="A17" s="0" t="s">
        <v>28</v>
      </c>
      <c r="B17" s="0" t="s">
        <v>10</v>
      </c>
    </row>
    <row r="18" customFormat="false" ht="15" hidden="false" customHeight="false" outlineLevel="0" collapsed="false">
      <c r="A18" s="0" t="s">
        <v>29</v>
      </c>
      <c r="B18" s="0" t="s">
        <v>8</v>
      </c>
    </row>
    <row r="19" customFormat="false" ht="15" hidden="false" customHeight="false" outlineLevel="0" collapsed="false">
      <c r="A19" s="0" t="s">
        <v>30</v>
      </c>
      <c r="B19" s="0" t="s">
        <v>6</v>
      </c>
    </row>
    <row r="20" customFormat="false" ht="15" hidden="false" customHeight="false" outlineLevel="0" collapsed="false">
      <c r="A20" s="0" t="s">
        <v>31</v>
      </c>
      <c r="B20" s="0" t="s">
        <v>8</v>
      </c>
    </row>
    <row r="21" customFormat="false" ht="15" hidden="false" customHeight="false" outlineLevel="0" collapsed="false">
      <c r="A21" s="0" t="s">
        <v>32</v>
      </c>
      <c r="B21" s="0" t="s">
        <v>7</v>
      </c>
    </row>
    <row r="22" customFormat="false" ht="15" hidden="false" customHeight="false" outlineLevel="0" collapsed="false">
      <c r="A22" s="0" t="s">
        <v>33</v>
      </c>
      <c r="B22" s="0" t="s">
        <v>8</v>
      </c>
    </row>
    <row r="23" customFormat="false" ht="15" hidden="false" customHeight="false" outlineLevel="0" collapsed="false">
      <c r="A23" s="0" t="s">
        <v>34</v>
      </c>
      <c r="B23" s="0" t="s">
        <v>9</v>
      </c>
    </row>
    <row r="24" customFormat="false" ht="15" hidden="false" customHeight="false" outlineLevel="0" collapsed="false">
      <c r="A24" s="0" t="s">
        <v>35</v>
      </c>
      <c r="B24" s="0" t="s">
        <v>7</v>
      </c>
    </row>
    <row r="25" customFormat="false" ht="15" hidden="false" customHeight="false" outlineLevel="0" collapsed="false">
      <c r="A25" s="0" t="s">
        <v>36</v>
      </c>
      <c r="B25" s="0" t="s">
        <v>9</v>
      </c>
    </row>
    <row r="26" customFormat="false" ht="15" hidden="false" customHeight="false" outlineLevel="0" collapsed="false">
      <c r="A26" s="0" t="s">
        <v>37</v>
      </c>
      <c r="B26" s="0" t="s">
        <v>6</v>
      </c>
    </row>
    <row r="27" customFormat="false" ht="15" hidden="false" customHeight="false" outlineLevel="0" collapsed="false">
      <c r="A27" s="0" t="s">
        <v>38</v>
      </c>
      <c r="B27" s="0" t="s">
        <v>8</v>
      </c>
    </row>
    <row r="28" customFormat="false" ht="15" hidden="false" customHeight="false" outlineLevel="0" collapsed="false">
      <c r="A28" s="0" t="s">
        <v>39</v>
      </c>
      <c r="B28" s="0" t="s">
        <v>9</v>
      </c>
    </row>
    <row r="29" customFormat="false" ht="15" hidden="false" customHeight="false" outlineLevel="0" collapsed="false">
      <c r="A29" s="0" t="s">
        <v>40</v>
      </c>
      <c r="B29" s="0" t="s">
        <v>9</v>
      </c>
    </row>
    <row r="30" customFormat="false" ht="15" hidden="false" customHeight="false" outlineLevel="0" collapsed="false">
      <c r="A30" s="0" t="s">
        <v>41</v>
      </c>
      <c r="B30" s="0" t="s">
        <v>6</v>
      </c>
    </row>
    <row r="31" customFormat="false" ht="15" hidden="false" customHeight="false" outlineLevel="0" collapsed="false">
      <c r="A31" s="0" t="s">
        <v>42</v>
      </c>
      <c r="B31" s="0" t="s">
        <v>9</v>
      </c>
    </row>
    <row r="32" customFormat="false" ht="15" hidden="false" customHeight="false" outlineLevel="0" collapsed="false">
      <c r="A32" s="0" t="s">
        <v>43</v>
      </c>
      <c r="B32" s="0" t="s">
        <v>10</v>
      </c>
    </row>
    <row r="33" customFormat="false" ht="15" hidden="false" customHeight="false" outlineLevel="0" collapsed="false">
      <c r="A33" s="0" t="s">
        <v>44</v>
      </c>
      <c r="B33" s="0" t="s">
        <v>10</v>
      </c>
    </row>
    <row r="34" customFormat="false" ht="15" hidden="false" customHeight="false" outlineLevel="0" collapsed="false">
      <c r="A34" s="0" t="s">
        <v>45</v>
      </c>
      <c r="B34" s="0" t="s">
        <v>10</v>
      </c>
    </row>
    <row r="35" customFormat="false" ht="15" hidden="false" customHeight="false" outlineLevel="0" collapsed="false">
      <c r="A35" s="0" t="s">
        <v>46</v>
      </c>
      <c r="B35" s="0" t="s">
        <v>8</v>
      </c>
    </row>
    <row r="36" customFormat="false" ht="15" hidden="false" customHeight="false" outlineLevel="0" collapsed="false">
      <c r="A36" s="0" t="s">
        <v>47</v>
      </c>
      <c r="B36" s="0" t="s">
        <v>9</v>
      </c>
    </row>
    <row r="37" customFormat="false" ht="15" hidden="false" customHeight="false" outlineLevel="0" collapsed="false">
      <c r="A37" s="0" t="s">
        <v>48</v>
      </c>
      <c r="B37" s="0" t="s">
        <v>6</v>
      </c>
    </row>
    <row r="38" customFormat="false" ht="15" hidden="false" customHeight="false" outlineLevel="0" collapsed="false">
      <c r="A38" s="0" t="s">
        <v>49</v>
      </c>
      <c r="B38" s="0" t="s">
        <v>9</v>
      </c>
    </row>
    <row r="39" customFormat="false" ht="15" hidden="false" customHeight="false" outlineLevel="0" collapsed="false">
      <c r="A39" s="0" t="s">
        <v>50</v>
      </c>
      <c r="B39" s="0" t="s">
        <v>6</v>
      </c>
    </row>
    <row r="40" customFormat="false" ht="15" hidden="false" customHeight="false" outlineLevel="0" collapsed="false">
      <c r="A40" s="0" t="s">
        <v>51</v>
      </c>
      <c r="B40" s="0" t="s">
        <v>8</v>
      </c>
    </row>
    <row r="41" customFormat="false" ht="15" hidden="false" customHeight="false" outlineLevel="0" collapsed="false">
      <c r="A41" s="0" t="s">
        <v>52</v>
      </c>
      <c r="B41" s="0" t="s">
        <v>9</v>
      </c>
    </row>
    <row r="42" customFormat="false" ht="15" hidden="false" customHeight="false" outlineLevel="0" collapsed="false">
      <c r="A42" s="0" t="s">
        <v>53</v>
      </c>
      <c r="B42" s="0" t="s">
        <v>7</v>
      </c>
    </row>
    <row r="43" customFormat="false" ht="15" hidden="false" customHeight="false" outlineLevel="0" collapsed="false">
      <c r="A43" s="0" t="s">
        <v>54</v>
      </c>
      <c r="B43" s="0" t="s">
        <v>9</v>
      </c>
    </row>
    <row r="44" customFormat="false" ht="15" hidden="false" customHeight="false" outlineLevel="0" collapsed="false">
      <c r="A44" s="0" t="s">
        <v>55</v>
      </c>
      <c r="B44" s="0" t="s">
        <v>10</v>
      </c>
    </row>
    <row r="45" customFormat="false" ht="15" hidden="false" customHeight="false" outlineLevel="0" collapsed="false">
      <c r="A45" s="0" t="s">
        <v>56</v>
      </c>
      <c r="B45" s="0" t="s">
        <v>8</v>
      </c>
    </row>
    <row r="46" customFormat="false" ht="15" hidden="false" customHeight="false" outlineLevel="0" collapsed="false">
      <c r="A46" s="0" t="s">
        <v>57</v>
      </c>
      <c r="B46" s="0" t="s">
        <v>10</v>
      </c>
    </row>
    <row r="47" customFormat="false" ht="15" hidden="false" customHeight="false" outlineLevel="0" collapsed="false">
      <c r="A47" s="0" t="s">
        <v>58</v>
      </c>
      <c r="B47" s="0" t="s">
        <v>10</v>
      </c>
    </row>
    <row r="48" customFormat="false" ht="15" hidden="false" customHeight="false" outlineLevel="0" collapsed="false">
      <c r="A48" s="0" t="s">
        <v>59</v>
      </c>
      <c r="B48" s="0" t="s">
        <v>6</v>
      </c>
    </row>
    <row r="49" customFormat="false" ht="15" hidden="false" customHeight="false" outlineLevel="0" collapsed="false">
      <c r="A49" s="0" t="s">
        <v>60</v>
      </c>
      <c r="B49" s="0" t="s">
        <v>10</v>
      </c>
    </row>
    <row r="50" customFormat="false" ht="15" hidden="false" customHeight="false" outlineLevel="0" collapsed="false">
      <c r="A50" s="0" t="s">
        <v>61</v>
      </c>
      <c r="B50" s="0" t="s">
        <v>10</v>
      </c>
    </row>
    <row r="51" customFormat="false" ht="15" hidden="false" customHeight="false" outlineLevel="0" collapsed="false">
      <c r="A51" s="0" t="s">
        <v>62</v>
      </c>
      <c r="B51" s="0" t="s">
        <v>10</v>
      </c>
    </row>
    <row r="52" customFormat="false" ht="15" hidden="false" customHeight="false" outlineLevel="0" collapsed="false">
      <c r="A52" s="0" t="s">
        <v>63</v>
      </c>
      <c r="B52" s="0" t="s">
        <v>8</v>
      </c>
    </row>
    <row r="53" customFormat="false" ht="15" hidden="false" customHeight="false" outlineLevel="0" collapsed="false">
      <c r="A53" s="0" t="s">
        <v>64</v>
      </c>
      <c r="B53" s="0" t="s">
        <v>8</v>
      </c>
    </row>
    <row r="54" customFormat="false" ht="15" hidden="false" customHeight="false" outlineLevel="0" collapsed="false">
      <c r="A54" s="0" t="s">
        <v>65</v>
      </c>
      <c r="B54" s="0" t="s">
        <v>9</v>
      </c>
    </row>
    <row r="55" customFormat="false" ht="15" hidden="false" customHeight="false" outlineLevel="0" collapsed="false">
      <c r="A55" s="0" t="s">
        <v>66</v>
      </c>
      <c r="B55" s="0" t="s">
        <v>9</v>
      </c>
    </row>
    <row r="56" customFormat="false" ht="15" hidden="false" customHeight="false" outlineLevel="0" collapsed="false">
      <c r="A56" s="0" t="s">
        <v>67</v>
      </c>
      <c r="B56" s="0" t="s">
        <v>8</v>
      </c>
    </row>
    <row r="57" customFormat="false" ht="15" hidden="false" customHeight="false" outlineLevel="0" collapsed="false">
      <c r="A57" s="0" t="s">
        <v>68</v>
      </c>
      <c r="B57" s="0" t="s">
        <v>9</v>
      </c>
    </row>
    <row r="58" customFormat="false" ht="15" hidden="false" customHeight="false" outlineLevel="0" collapsed="false">
      <c r="A58" s="0" t="s">
        <v>69</v>
      </c>
      <c r="B58" s="0" t="s">
        <v>10</v>
      </c>
    </row>
    <row r="59" customFormat="false" ht="15" hidden="false" customHeight="false" outlineLevel="0" collapsed="false">
      <c r="A59" s="0" t="s">
        <v>70</v>
      </c>
      <c r="B59" s="0" t="s">
        <v>10</v>
      </c>
    </row>
    <row r="60" customFormat="false" ht="15" hidden="false" customHeight="false" outlineLevel="0" collapsed="false">
      <c r="A60" s="0" t="s">
        <v>71</v>
      </c>
      <c r="B60" s="0" t="s">
        <v>6</v>
      </c>
    </row>
    <row r="61" customFormat="false" ht="15" hidden="false" customHeight="false" outlineLevel="0" collapsed="false">
      <c r="A61" s="0" t="s">
        <v>72</v>
      </c>
      <c r="B61" s="0" t="s">
        <v>6</v>
      </c>
    </row>
    <row r="62" customFormat="false" ht="15" hidden="false" customHeight="false" outlineLevel="0" collapsed="false">
      <c r="A62" s="0" t="s">
        <v>73</v>
      </c>
      <c r="B62" s="0" t="s">
        <v>6</v>
      </c>
    </row>
    <row r="63" customFormat="false" ht="15" hidden="false" customHeight="false" outlineLevel="0" collapsed="false">
      <c r="A63" s="0" t="s">
        <v>74</v>
      </c>
      <c r="B63" s="0" t="s">
        <v>10</v>
      </c>
    </row>
    <row r="64" customFormat="false" ht="15" hidden="false" customHeight="false" outlineLevel="0" collapsed="false">
      <c r="A64" s="0" t="s">
        <v>75</v>
      </c>
      <c r="B64" s="0" t="s">
        <v>6</v>
      </c>
    </row>
    <row r="65" customFormat="false" ht="15" hidden="false" customHeight="false" outlineLevel="0" collapsed="false">
      <c r="A65" s="0" t="s">
        <v>76</v>
      </c>
      <c r="B65" s="0" t="s">
        <v>8</v>
      </c>
    </row>
    <row r="66" customFormat="false" ht="15" hidden="false" customHeight="false" outlineLevel="0" collapsed="false">
      <c r="A66" s="0" t="s">
        <v>77</v>
      </c>
      <c r="B66" s="0" t="s">
        <v>9</v>
      </c>
    </row>
    <row r="67" customFormat="false" ht="15" hidden="false" customHeight="false" outlineLevel="0" collapsed="false">
      <c r="A67" s="0" t="s">
        <v>78</v>
      </c>
      <c r="B67" s="0" t="s">
        <v>10</v>
      </c>
    </row>
    <row r="68" customFormat="false" ht="15" hidden="false" customHeight="false" outlineLevel="0" collapsed="false">
      <c r="A68" s="0" t="s">
        <v>79</v>
      </c>
      <c r="B68" s="0" t="s">
        <v>10</v>
      </c>
    </row>
    <row r="69" customFormat="false" ht="15" hidden="false" customHeight="false" outlineLevel="0" collapsed="false">
      <c r="A69" s="0" t="s">
        <v>80</v>
      </c>
      <c r="B69" s="0" t="s">
        <v>10</v>
      </c>
    </row>
    <row r="70" customFormat="false" ht="15" hidden="false" customHeight="false" outlineLevel="0" collapsed="false">
      <c r="A70" s="0" t="s">
        <v>81</v>
      </c>
      <c r="B70" s="0" t="s">
        <v>9</v>
      </c>
    </row>
    <row r="71" customFormat="false" ht="15" hidden="false" customHeight="false" outlineLevel="0" collapsed="false">
      <c r="A71" s="0" t="s">
        <v>82</v>
      </c>
      <c r="B71" s="0" t="s">
        <v>10</v>
      </c>
    </row>
    <row r="72" customFormat="false" ht="15" hidden="false" customHeight="false" outlineLevel="0" collapsed="false">
      <c r="A72" s="0" t="s">
        <v>83</v>
      </c>
      <c r="B72" s="0" t="s">
        <v>8</v>
      </c>
    </row>
    <row r="73" customFormat="false" ht="15" hidden="false" customHeight="false" outlineLevel="0" collapsed="false">
      <c r="A73" s="0" t="s">
        <v>84</v>
      </c>
      <c r="B73" s="0" t="s">
        <v>6</v>
      </c>
    </row>
    <row r="74" customFormat="false" ht="15" hidden="false" customHeight="false" outlineLevel="0" collapsed="false">
      <c r="A74" s="0" t="s">
        <v>85</v>
      </c>
      <c r="B74" s="0" t="s">
        <v>10</v>
      </c>
    </row>
    <row r="75" customFormat="false" ht="15" hidden="false" customHeight="false" outlineLevel="0" collapsed="false">
      <c r="A75" s="0" t="s">
        <v>86</v>
      </c>
      <c r="B75" s="0" t="s">
        <v>10</v>
      </c>
    </row>
    <row r="76" customFormat="false" ht="15" hidden="false" customHeight="false" outlineLevel="0" collapsed="false">
      <c r="A76" s="0" t="s">
        <v>87</v>
      </c>
      <c r="B76" s="0" t="s">
        <v>9</v>
      </c>
    </row>
    <row r="77" customFormat="false" ht="15" hidden="false" customHeight="false" outlineLevel="0" collapsed="false">
      <c r="A77" s="0" t="s">
        <v>88</v>
      </c>
      <c r="B77" s="0" t="s">
        <v>9</v>
      </c>
    </row>
    <row r="78" customFormat="false" ht="15" hidden="false" customHeight="false" outlineLevel="0" collapsed="false">
      <c r="A78" s="0" t="s">
        <v>89</v>
      </c>
      <c r="B78" s="0" t="s">
        <v>10</v>
      </c>
    </row>
    <row r="79" customFormat="false" ht="15" hidden="false" customHeight="false" outlineLevel="0" collapsed="false">
      <c r="A79" s="0" t="s">
        <v>90</v>
      </c>
      <c r="B79" s="0" t="s">
        <v>6</v>
      </c>
    </row>
    <row r="80" customFormat="false" ht="15" hidden="false" customHeight="false" outlineLevel="0" collapsed="false">
      <c r="A80" s="0" t="s">
        <v>91</v>
      </c>
      <c r="B80" s="0" t="s">
        <v>7</v>
      </c>
    </row>
    <row r="81" customFormat="false" ht="15" hidden="false" customHeight="false" outlineLevel="0" collapsed="false">
      <c r="A81" s="0" t="s">
        <v>92</v>
      </c>
      <c r="B81" s="0" t="s">
        <v>9</v>
      </c>
    </row>
    <row r="82" customFormat="false" ht="15" hidden="false" customHeight="false" outlineLevel="0" collapsed="false">
      <c r="A82" s="0" t="s">
        <v>93</v>
      </c>
      <c r="B82" s="0" t="s">
        <v>8</v>
      </c>
    </row>
    <row r="83" customFormat="false" ht="15" hidden="false" customHeight="false" outlineLevel="0" collapsed="false">
      <c r="A83" s="0" t="s">
        <v>94</v>
      </c>
      <c r="B83" s="0" t="s">
        <v>10</v>
      </c>
    </row>
    <row r="84" customFormat="false" ht="15" hidden="false" customHeight="false" outlineLevel="0" collapsed="false">
      <c r="A84" s="0" t="s">
        <v>95</v>
      </c>
      <c r="B84" s="0" t="s">
        <v>8</v>
      </c>
    </row>
    <row r="85" customFormat="false" ht="15" hidden="false" customHeight="false" outlineLevel="0" collapsed="false">
      <c r="A85" s="0" t="s">
        <v>96</v>
      </c>
      <c r="B85" s="0" t="s">
        <v>6</v>
      </c>
    </row>
    <row r="86" customFormat="false" ht="15" hidden="false" customHeight="false" outlineLevel="0" collapsed="false">
      <c r="A86" s="0" t="s">
        <v>97</v>
      </c>
      <c r="B86" s="0" t="s">
        <v>8</v>
      </c>
    </row>
    <row r="87" customFormat="false" ht="15" hidden="false" customHeight="false" outlineLevel="0" collapsed="false">
      <c r="A87" s="0" t="s">
        <v>98</v>
      </c>
      <c r="B87" s="0" t="s">
        <v>10</v>
      </c>
    </row>
    <row r="88" customFormat="false" ht="15" hidden="false" customHeight="false" outlineLevel="0" collapsed="false">
      <c r="A88" s="0" t="s">
        <v>99</v>
      </c>
      <c r="B88" s="0" t="s">
        <v>8</v>
      </c>
    </row>
    <row r="89" customFormat="false" ht="15" hidden="false" customHeight="false" outlineLevel="0" collapsed="false">
      <c r="A89" s="0" t="s">
        <v>100</v>
      </c>
      <c r="B89" s="0" t="s">
        <v>6</v>
      </c>
    </row>
    <row r="90" customFormat="false" ht="15" hidden="false" customHeight="false" outlineLevel="0" collapsed="false">
      <c r="A90" s="0" t="s">
        <v>101</v>
      </c>
      <c r="B90" s="0" t="s">
        <v>8</v>
      </c>
    </row>
    <row r="91" customFormat="false" ht="15" hidden="false" customHeight="false" outlineLevel="0" collapsed="false">
      <c r="A91" s="0" t="s">
        <v>102</v>
      </c>
      <c r="B91" s="0" t="s">
        <v>8</v>
      </c>
    </row>
    <row r="92" customFormat="false" ht="15" hidden="false" customHeight="false" outlineLevel="0" collapsed="false">
      <c r="A92" s="0" t="s">
        <v>103</v>
      </c>
      <c r="B92" s="0" t="s">
        <v>10</v>
      </c>
    </row>
    <row r="93" customFormat="false" ht="15" hidden="false" customHeight="false" outlineLevel="0" collapsed="false">
      <c r="A93" s="0" t="s">
        <v>104</v>
      </c>
      <c r="B93" s="0" t="s">
        <v>10</v>
      </c>
    </row>
    <row r="94" customFormat="false" ht="15" hidden="false" customHeight="false" outlineLevel="0" collapsed="false">
      <c r="A94" s="0" t="s">
        <v>105</v>
      </c>
      <c r="B94" s="0" t="s">
        <v>10</v>
      </c>
    </row>
    <row r="95" customFormat="false" ht="15" hidden="false" customHeight="false" outlineLevel="0" collapsed="false">
      <c r="A95" s="0" t="s">
        <v>106</v>
      </c>
      <c r="B95" s="0" t="s">
        <v>9</v>
      </c>
    </row>
    <row r="96" customFormat="false" ht="15" hidden="false" customHeight="false" outlineLevel="0" collapsed="false">
      <c r="A96" s="0" t="s">
        <v>107</v>
      </c>
      <c r="B96" s="0" t="s">
        <v>10</v>
      </c>
    </row>
    <row r="97" customFormat="false" ht="15" hidden="false" customHeight="false" outlineLevel="0" collapsed="false">
      <c r="A97" s="0" t="s">
        <v>108</v>
      </c>
      <c r="B97" s="0" t="s">
        <v>8</v>
      </c>
    </row>
    <row r="98" customFormat="false" ht="15" hidden="false" customHeight="false" outlineLevel="0" collapsed="false">
      <c r="A98" s="0" t="s">
        <v>109</v>
      </c>
      <c r="B98" s="0" t="s">
        <v>8</v>
      </c>
    </row>
    <row r="99" customFormat="false" ht="15" hidden="false" customHeight="false" outlineLevel="0" collapsed="false">
      <c r="A99" s="0" t="s">
        <v>110</v>
      </c>
      <c r="B99" s="0" t="s">
        <v>9</v>
      </c>
    </row>
    <row r="100" customFormat="false" ht="15" hidden="false" customHeight="false" outlineLevel="0" collapsed="false">
      <c r="A100" s="0" t="s">
        <v>111</v>
      </c>
      <c r="B100" s="0" t="s">
        <v>9</v>
      </c>
    </row>
    <row r="101" customFormat="false" ht="15" hidden="false" customHeight="false" outlineLevel="0" collapsed="false">
      <c r="A101" s="0" t="s">
        <v>112</v>
      </c>
      <c r="B101" s="0" t="s">
        <v>7</v>
      </c>
    </row>
    <row r="102" customFormat="false" ht="15" hidden="false" customHeight="false" outlineLevel="0" collapsed="false">
      <c r="A102" s="0" t="s">
        <v>113</v>
      </c>
      <c r="B102" s="0" t="s">
        <v>10</v>
      </c>
    </row>
    <row r="103" customFormat="false" ht="15" hidden="false" customHeight="false" outlineLevel="0" collapsed="false">
      <c r="A103" s="0" t="s">
        <v>114</v>
      </c>
      <c r="B103" s="0" t="s">
        <v>10</v>
      </c>
    </row>
    <row r="104" customFormat="false" ht="15" hidden="false" customHeight="false" outlineLevel="0" collapsed="false">
      <c r="A104" s="0" t="s">
        <v>115</v>
      </c>
      <c r="B104" s="0" t="s">
        <v>9</v>
      </c>
    </row>
    <row r="105" customFormat="false" ht="15" hidden="false" customHeight="false" outlineLevel="0" collapsed="false">
      <c r="A105" s="0" t="s">
        <v>116</v>
      </c>
      <c r="B105" s="0" t="s">
        <v>9</v>
      </c>
    </row>
    <row r="106" customFormat="false" ht="15" hidden="false" customHeight="false" outlineLevel="0" collapsed="false">
      <c r="A106" s="0" t="s">
        <v>117</v>
      </c>
      <c r="B106" s="0" t="s">
        <v>8</v>
      </c>
    </row>
    <row r="107" customFormat="false" ht="15" hidden="false" customHeight="false" outlineLevel="0" collapsed="false">
      <c r="A107" s="0" t="s">
        <v>118</v>
      </c>
      <c r="B107" s="0" t="s">
        <v>6</v>
      </c>
    </row>
    <row r="108" customFormat="false" ht="15" hidden="false" customHeight="false" outlineLevel="0" collapsed="false">
      <c r="A108" s="0" t="s">
        <v>119</v>
      </c>
      <c r="B108" s="0" t="s">
        <v>9</v>
      </c>
    </row>
    <row r="109" customFormat="false" ht="15" hidden="false" customHeight="false" outlineLevel="0" collapsed="false">
      <c r="A109" s="0" t="s">
        <v>120</v>
      </c>
      <c r="B109" s="0" t="s">
        <v>6</v>
      </c>
    </row>
    <row r="110" customFormat="false" ht="15" hidden="false" customHeight="false" outlineLevel="0" collapsed="false">
      <c r="A110" s="0" t="s">
        <v>121</v>
      </c>
      <c r="B110" s="0" t="s">
        <v>6</v>
      </c>
    </row>
    <row r="111" customFormat="false" ht="15" hidden="false" customHeight="false" outlineLevel="0" collapsed="false">
      <c r="A111" s="0" t="s">
        <v>122</v>
      </c>
      <c r="B111" s="0" t="s">
        <v>10</v>
      </c>
    </row>
    <row r="112" customFormat="false" ht="15" hidden="false" customHeight="false" outlineLevel="0" collapsed="false">
      <c r="A112" s="0" t="s">
        <v>123</v>
      </c>
      <c r="B112" s="0" t="s">
        <v>9</v>
      </c>
    </row>
    <row r="113" customFormat="false" ht="15" hidden="false" customHeight="false" outlineLevel="0" collapsed="false">
      <c r="A113" s="0" t="s">
        <v>124</v>
      </c>
      <c r="B113" s="0" t="s">
        <v>6</v>
      </c>
    </row>
    <row r="114" customFormat="false" ht="15" hidden="false" customHeight="false" outlineLevel="0" collapsed="false">
      <c r="A114" s="0" t="s">
        <v>125</v>
      </c>
      <c r="B114" s="0" t="s">
        <v>10</v>
      </c>
    </row>
    <row r="115" customFormat="false" ht="15" hidden="false" customHeight="false" outlineLevel="0" collapsed="false">
      <c r="A115" s="0" t="s">
        <v>126</v>
      </c>
      <c r="B115" s="0" t="s">
        <v>10</v>
      </c>
    </row>
    <row r="116" customFormat="false" ht="15" hidden="false" customHeight="false" outlineLevel="0" collapsed="false">
      <c r="A116" s="0" t="s">
        <v>127</v>
      </c>
      <c r="B116" s="0" t="s">
        <v>6</v>
      </c>
    </row>
    <row r="117" customFormat="false" ht="15" hidden="false" customHeight="false" outlineLevel="0" collapsed="false">
      <c r="A117" s="0" t="s">
        <v>128</v>
      </c>
      <c r="B117" s="0" t="s">
        <v>8</v>
      </c>
    </row>
    <row r="118" customFormat="false" ht="15" hidden="false" customHeight="false" outlineLevel="0" collapsed="false">
      <c r="A118" s="0" t="s">
        <v>129</v>
      </c>
      <c r="B118" s="0" t="s">
        <v>10</v>
      </c>
    </row>
    <row r="119" customFormat="false" ht="15" hidden="false" customHeight="false" outlineLevel="0" collapsed="false">
      <c r="A119" s="0" t="s">
        <v>130</v>
      </c>
      <c r="B119" s="0" t="s">
        <v>9</v>
      </c>
    </row>
    <row r="120" customFormat="false" ht="15" hidden="false" customHeight="false" outlineLevel="0" collapsed="false">
      <c r="A120" s="0" t="s">
        <v>131</v>
      </c>
      <c r="B120" s="0" t="s">
        <v>10</v>
      </c>
    </row>
    <row r="121" customFormat="false" ht="15" hidden="false" customHeight="false" outlineLevel="0" collapsed="false">
      <c r="A121" s="0" t="s">
        <v>132</v>
      </c>
      <c r="B121" s="0" t="s">
        <v>9</v>
      </c>
    </row>
    <row r="122" customFormat="false" ht="15" hidden="false" customHeight="false" outlineLevel="0" collapsed="false">
      <c r="A122" s="0" t="s">
        <v>133</v>
      </c>
      <c r="B122" s="0" t="s">
        <v>10</v>
      </c>
    </row>
    <row r="123" customFormat="false" ht="15" hidden="false" customHeight="false" outlineLevel="0" collapsed="false">
      <c r="A123" s="0" t="s">
        <v>134</v>
      </c>
      <c r="B123" s="0" t="s">
        <v>8</v>
      </c>
    </row>
    <row r="124" customFormat="false" ht="15" hidden="false" customHeight="false" outlineLevel="0" collapsed="false">
      <c r="A124" s="0" t="s">
        <v>135</v>
      </c>
      <c r="B124" s="0" t="s">
        <v>8</v>
      </c>
    </row>
    <row r="125" customFormat="false" ht="15" hidden="false" customHeight="false" outlineLevel="0" collapsed="false">
      <c r="A125" s="0" t="s">
        <v>136</v>
      </c>
      <c r="B125" s="0" t="s">
        <v>7</v>
      </c>
    </row>
    <row r="126" customFormat="false" ht="15" hidden="false" customHeight="false" outlineLevel="0" collapsed="false">
      <c r="A126" s="0" t="s">
        <v>137</v>
      </c>
      <c r="B126" s="0" t="s">
        <v>6</v>
      </c>
    </row>
    <row r="127" customFormat="false" ht="15" hidden="false" customHeight="false" outlineLevel="0" collapsed="false">
      <c r="A127" s="0" t="s">
        <v>138</v>
      </c>
      <c r="B127" s="0" t="s">
        <v>10</v>
      </c>
    </row>
    <row r="128" customFormat="false" ht="15" hidden="false" customHeight="false" outlineLevel="0" collapsed="false">
      <c r="A128" s="0" t="s">
        <v>139</v>
      </c>
      <c r="B128" s="0" t="s">
        <v>6</v>
      </c>
    </row>
    <row r="129" customFormat="false" ht="15" hidden="false" customHeight="false" outlineLevel="0" collapsed="false">
      <c r="A129" s="0" t="s">
        <v>140</v>
      </c>
      <c r="B129" s="0" t="s">
        <v>6</v>
      </c>
    </row>
    <row r="130" customFormat="false" ht="15" hidden="false" customHeight="false" outlineLevel="0" collapsed="false">
      <c r="A130" s="0" t="s">
        <v>141</v>
      </c>
      <c r="B130" s="0" t="s">
        <v>8</v>
      </c>
    </row>
    <row r="131" customFormat="false" ht="15" hidden="false" customHeight="false" outlineLevel="0" collapsed="false">
      <c r="A131" s="0" t="s">
        <v>142</v>
      </c>
      <c r="B131" s="0" t="s">
        <v>6</v>
      </c>
    </row>
    <row r="132" customFormat="false" ht="15" hidden="false" customHeight="false" outlineLevel="0" collapsed="false">
      <c r="A132" s="0" t="s">
        <v>143</v>
      </c>
      <c r="B132" s="0" t="s">
        <v>10</v>
      </c>
    </row>
    <row r="133" customFormat="false" ht="15" hidden="false" customHeight="false" outlineLevel="0" collapsed="false">
      <c r="A133" s="0" t="s">
        <v>144</v>
      </c>
      <c r="B133" s="0" t="s">
        <v>9</v>
      </c>
    </row>
    <row r="134" customFormat="false" ht="15" hidden="false" customHeight="false" outlineLevel="0" collapsed="false">
      <c r="A134" s="0" t="s">
        <v>145</v>
      </c>
      <c r="B134" s="0" t="s">
        <v>6</v>
      </c>
    </row>
    <row r="135" customFormat="false" ht="15" hidden="false" customHeight="false" outlineLevel="0" collapsed="false">
      <c r="A135" s="0" t="s">
        <v>146</v>
      </c>
      <c r="B135" s="0" t="s">
        <v>10</v>
      </c>
    </row>
    <row r="136" customFormat="false" ht="15" hidden="false" customHeight="false" outlineLevel="0" collapsed="false">
      <c r="A136" s="0" t="s">
        <v>147</v>
      </c>
      <c r="B136" s="0" t="s">
        <v>9</v>
      </c>
    </row>
    <row r="137" customFormat="false" ht="15" hidden="false" customHeight="false" outlineLevel="0" collapsed="false">
      <c r="A137" s="0" t="s">
        <v>148</v>
      </c>
      <c r="B137" s="0" t="s">
        <v>10</v>
      </c>
    </row>
    <row r="138" customFormat="false" ht="15" hidden="false" customHeight="false" outlineLevel="0" collapsed="false">
      <c r="A138" s="0" t="s">
        <v>149</v>
      </c>
      <c r="B138" s="0" t="s">
        <v>10</v>
      </c>
    </row>
    <row r="139" customFormat="false" ht="15" hidden="false" customHeight="false" outlineLevel="0" collapsed="false">
      <c r="A139" s="0" t="s">
        <v>150</v>
      </c>
      <c r="B139" s="0" t="s">
        <v>9</v>
      </c>
    </row>
    <row r="140" customFormat="false" ht="15" hidden="false" customHeight="false" outlineLevel="0" collapsed="false">
      <c r="A140" s="0" t="s">
        <v>151</v>
      </c>
      <c r="B140" s="0" t="s">
        <v>10</v>
      </c>
    </row>
    <row r="141" customFormat="false" ht="15" hidden="false" customHeight="false" outlineLevel="0" collapsed="false">
      <c r="A141" s="0" t="s">
        <v>152</v>
      </c>
      <c r="B141" s="0" t="s">
        <v>8</v>
      </c>
    </row>
    <row r="142" customFormat="false" ht="15" hidden="false" customHeight="false" outlineLevel="0" collapsed="false">
      <c r="A142" s="0" t="s">
        <v>153</v>
      </c>
      <c r="B142" s="0" t="s">
        <v>8</v>
      </c>
    </row>
    <row r="143" customFormat="false" ht="15" hidden="false" customHeight="false" outlineLevel="0" collapsed="false">
      <c r="A143" s="0" t="s">
        <v>154</v>
      </c>
      <c r="B143" s="0" t="s">
        <v>6</v>
      </c>
    </row>
    <row r="144" customFormat="false" ht="15" hidden="false" customHeight="false" outlineLevel="0" collapsed="false">
      <c r="A144" s="0" t="s">
        <v>155</v>
      </c>
      <c r="B144" s="0" t="s">
        <v>6</v>
      </c>
    </row>
    <row r="145" customFormat="false" ht="15" hidden="false" customHeight="false" outlineLevel="0" collapsed="false">
      <c r="A145" s="0" t="s">
        <v>156</v>
      </c>
      <c r="B145" s="0" t="s">
        <v>8</v>
      </c>
    </row>
    <row r="146" customFormat="false" ht="15" hidden="false" customHeight="false" outlineLevel="0" collapsed="false">
      <c r="A146" s="0" t="s">
        <v>157</v>
      </c>
      <c r="B146" s="0" t="s">
        <v>10</v>
      </c>
    </row>
    <row r="147" customFormat="false" ht="15" hidden="false" customHeight="false" outlineLevel="0" collapsed="false">
      <c r="A147" s="0" t="s">
        <v>158</v>
      </c>
      <c r="B147" s="0" t="s">
        <v>8</v>
      </c>
    </row>
    <row r="148" customFormat="false" ht="15" hidden="false" customHeight="false" outlineLevel="0" collapsed="false">
      <c r="A148" s="0" t="s">
        <v>159</v>
      </c>
      <c r="B148" s="0" t="s">
        <v>9</v>
      </c>
    </row>
    <row r="149" customFormat="false" ht="15" hidden="false" customHeight="false" outlineLevel="0" collapsed="false">
      <c r="A149" s="0" t="s">
        <v>160</v>
      </c>
      <c r="B149" s="0" t="s">
        <v>6</v>
      </c>
    </row>
    <row r="150" customFormat="false" ht="15" hidden="false" customHeight="false" outlineLevel="0" collapsed="false">
      <c r="A150" s="0" t="s">
        <v>161</v>
      </c>
      <c r="B150" s="0" t="s">
        <v>10</v>
      </c>
    </row>
    <row r="151" customFormat="false" ht="15" hidden="false" customHeight="false" outlineLevel="0" collapsed="false">
      <c r="A151" s="0" t="s">
        <v>162</v>
      </c>
      <c r="B151" s="0" t="s">
        <v>9</v>
      </c>
    </row>
    <row r="152" customFormat="false" ht="15" hidden="false" customHeight="false" outlineLevel="0" collapsed="false">
      <c r="A152" s="0" t="s">
        <v>163</v>
      </c>
      <c r="B152" s="0" t="s">
        <v>8</v>
      </c>
    </row>
    <row r="153" customFormat="false" ht="15" hidden="false" customHeight="false" outlineLevel="0" collapsed="false">
      <c r="A153" s="0" t="s">
        <v>164</v>
      </c>
      <c r="B153" s="0" t="s">
        <v>8</v>
      </c>
    </row>
    <row r="154" customFormat="false" ht="15" hidden="false" customHeight="false" outlineLevel="0" collapsed="false">
      <c r="A154" s="0" t="s">
        <v>165</v>
      </c>
      <c r="B154" s="0" t="s">
        <v>8</v>
      </c>
    </row>
    <row r="155" customFormat="false" ht="15" hidden="false" customHeight="false" outlineLevel="0" collapsed="false">
      <c r="A155" s="0" t="s">
        <v>166</v>
      </c>
      <c r="B155" s="0" t="s">
        <v>9</v>
      </c>
    </row>
    <row r="156" customFormat="false" ht="15" hidden="false" customHeight="false" outlineLevel="0" collapsed="false">
      <c r="A156" s="0" t="s">
        <v>167</v>
      </c>
      <c r="B156" s="0" t="s">
        <v>8</v>
      </c>
    </row>
    <row r="157" customFormat="false" ht="15" hidden="false" customHeight="false" outlineLevel="0" collapsed="false">
      <c r="A157" s="0" t="s">
        <v>168</v>
      </c>
      <c r="B157" s="0" t="s">
        <v>8</v>
      </c>
    </row>
    <row r="158" customFormat="false" ht="15" hidden="false" customHeight="false" outlineLevel="0" collapsed="false">
      <c r="A158" s="0" t="s">
        <v>169</v>
      </c>
      <c r="B158" s="0" t="s">
        <v>10</v>
      </c>
    </row>
    <row r="159" customFormat="false" ht="15" hidden="false" customHeight="false" outlineLevel="0" collapsed="false">
      <c r="A159" s="0" t="s">
        <v>170</v>
      </c>
      <c r="B159" s="0" t="s">
        <v>9</v>
      </c>
    </row>
    <row r="160" customFormat="false" ht="15" hidden="false" customHeight="false" outlineLevel="0" collapsed="false">
      <c r="A160" s="0" t="s">
        <v>171</v>
      </c>
      <c r="B160" s="0" t="s">
        <v>9</v>
      </c>
    </row>
    <row r="161" customFormat="false" ht="15" hidden="false" customHeight="false" outlineLevel="0" collapsed="false">
      <c r="A161" s="0" t="s">
        <v>172</v>
      </c>
      <c r="B161" s="0" t="s">
        <v>8</v>
      </c>
    </row>
    <row r="162" customFormat="false" ht="15" hidden="false" customHeight="false" outlineLevel="0" collapsed="false">
      <c r="A162" s="0" t="s">
        <v>173</v>
      </c>
      <c r="B162" s="0" t="s">
        <v>10</v>
      </c>
    </row>
    <row r="163" customFormat="false" ht="15" hidden="false" customHeight="false" outlineLevel="0" collapsed="false">
      <c r="A163" s="0" t="s">
        <v>174</v>
      </c>
      <c r="B163" s="0" t="s">
        <v>6</v>
      </c>
    </row>
    <row r="164" customFormat="false" ht="15" hidden="false" customHeight="false" outlineLevel="0" collapsed="false">
      <c r="A164" s="0" t="s">
        <v>175</v>
      </c>
      <c r="B164" s="0" t="s">
        <v>9</v>
      </c>
    </row>
    <row r="165" customFormat="false" ht="15" hidden="false" customHeight="false" outlineLevel="0" collapsed="false">
      <c r="A165" s="0" t="s">
        <v>176</v>
      </c>
      <c r="B165" s="0" t="s">
        <v>6</v>
      </c>
    </row>
    <row r="166" customFormat="false" ht="15" hidden="false" customHeight="false" outlineLevel="0" collapsed="false">
      <c r="A166" s="0" t="s">
        <v>177</v>
      </c>
      <c r="B166" s="0" t="s">
        <v>10</v>
      </c>
    </row>
    <row r="167" customFormat="false" ht="15" hidden="false" customHeight="false" outlineLevel="0" collapsed="false">
      <c r="A167" s="0" t="s">
        <v>178</v>
      </c>
      <c r="B167" s="0" t="s">
        <v>7</v>
      </c>
    </row>
    <row r="168" customFormat="false" ht="15" hidden="false" customHeight="false" outlineLevel="0" collapsed="false">
      <c r="A168" s="0" t="s">
        <v>179</v>
      </c>
      <c r="B168" s="0" t="s">
        <v>9</v>
      </c>
    </row>
    <row r="169" customFormat="false" ht="15" hidden="false" customHeight="false" outlineLevel="0" collapsed="false">
      <c r="A169" s="0" t="s">
        <v>180</v>
      </c>
      <c r="B169" s="0" t="s">
        <v>9</v>
      </c>
    </row>
    <row r="170" customFormat="false" ht="15" hidden="false" customHeight="false" outlineLevel="0" collapsed="false">
      <c r="A170" s="0" t="s">
        <v>181</v>
      </c>
      <c r="B170" s="0" t="s">
        <v>10</v>
      </c>
    </row>
    <row r="171" customFormat="false" ht="15" hidden="false" customHeight="false" outlineLevel="0" collapsed="false">
      <c r="A171" s="0" t="s">
        <v>182</v>
      </c>
      <c r="B171" s="0" t="s">
        <v>9</v>
      </c>
    </row>
    <row r="172" customFormat="false" ht="15" hidden="false" customHeight="false" outlineLevel="0" collapsed="false">
      <c r="A172" s="0" t="s">
        <v>183</v>
      </c>
      <c r="B172" s="0" t="s">
        <v>10</v>
      </c>
    </row>
    <row r="173" customFormat="false" ht="15" hidden="false" customHeight="false" outlineLevel="0" collapsed="false">
      <c r="A173" s="0" t="s">
        <v>184</v>
      </c>
      <c r="B173" s="0" t="s">
        <v>9</v>
      </c>
    </row>
    <row r="174" customFormat="false" ht="15" hidden="false" customHeight="false" outlineLevel="0" collapsed="false">
      <c r="A174" s="0" t="s">
        <v>185</v>
      </c>
      <c r="B174" s="0" t="s">
        <v>9</v>
      </c>
    </row>
    <row r="175" customFormat="false" ht="15" hidden="false" customHeight="false" outlineLevel="0" collapsed="false">
      <c r="A175" s="0" t="s">
        <v>186</v>
      </c>
      <c r="B175" s="0" t="s">
        <v>8</v>
      </c>
    </row>
    <row r="176" customFormat="false" ht="15" hidden="false" customHeight="false" outlineLevel="0" collapsed="false">
      <c r="A176" s="0" t="s">
        <v>187</v>
      </c>
      <c r="B176" s="0" t="s">
        <v>6</v>
      </c>
    </row>
    <row r="177" customFormat="false" ht="15" hidden="false" customHeight="false" outlineLevel="0" collapsed="false">
      <c r="A177" s="0" t="s">
        <v>188</v>
      </c>
      <c r="B177" s="0" t="s">
        <v>10</v>
      </c>
    </row>
    <row r="178" customFormat="false" ht="15" hidden="false" customHeight="false" outlineLevel="0" collapsed="false">
      <c r="A178" s="0" t="s">
        <v>189</v>
      </c>
      <c r="B178" s="0" t="s">
        <v>10</v>
      </c>
    </row>
    <row r="179" customFormat="false" ht="15" hidden="false" customHeight="false" outlineLevel="0" collapsed="false">
      <c r="A179" s="0" t="s">
        <v>190</v>
      </c>
      <c r="B179" s="0" t="s">
        <v>9</v>
      </c>
    </row>
    <row r="180" customFormat="false" ht="15" hidden="false" customHeight="false" outlineLevel="0" collapsed="false">
      <c r="A180" s="0" t="s">
        <v>191</v>
      </c>
      <c r="B180" s="0" t="s">
        <v>9</v>
      </c>
    </row>
    <row r="181" customFormat="false" ht="15" hidden="false" customHeight="false" outlineLevel="0" collapsed="false">
      <c r="A181" s="0" t="s">
        <v>192</v>
      </c>
      <c r="B181" s="0" t="s">
        <v>6</v>
      </c>
    </row>
    <row r="182" customFormat="false" ht="15" hidden="false" customHeight="false" outlineLevel="0" collapsed="false">
      <c r="A182" s="0" t="s">
        <v>193</v>
      </c>
      <c r="B182" s="0" t="s">
        <v>9</v>
      </c>
    </row>
    <row r="183" customFormat="false" ht="15" hidden="false" customHeight="false" outlineLevel="0" collapsed="false">
      <c r="A183" s="0" t="s">
        <v>194</v>
      </c>
      <c r="B183" s="0" t="s">
        <v>10</v>
      </c>
    </row>
    <row r="184" customFormat="false" ht="15" hidden="false" customHeight="false" outlineLevel="0" collapsed="false">
      <c r="A184" s="0" t="s">
        <v>195</v>
      </c>
      <c r="B184" s="0" t="s">
        <v>9</v>
      </c>
    </row>
    <row r="185" customFormat="false" ht="15" hidden="false" customHeight="false" outlineLevel="0" collapsed="false">
      <c r="A185" s="0" t="s">
        <v>196</v>
      </c>
      <c r="B185" s="0" t="s">
        <v>8</v>
      </c>
    </row>
    <row r="186" customFormat="false" ht="15" hidden="false" customHeight="false" outlineLevel="0" collapsed="false">
      <c r="A186" s="0" t="s">
        <v>197</v>
      </c>
      <c r="B186" s="0" t="s">
        <v>10</v>
      </c>
    </row>
    <row r="187" customFormat="false" ht="15" hidden="false" customHeight="false" outlineLevel="0" collapsed="false">
      <c r="A187" s="0" t="s">
        <v>198</v>
      </c>
      <c r="B187" s="0" t="s">
        <v>8</v>
      </c>
    </row>
    <row r="188" customFormat="false" ht="15" hidden="false" customHeight="false" outlineLevel="0" collapsed="false">
      <c r="A188" s="0" t="s">
        <v>199</v>
      </c>
      <c r="B188" s="0" t="s">
        <v>9</v>
      </c>
    </row>
    <row r="189" customFormat="false" ht="15" hidden="false" customHeight="false" outlineLevel="0" collapsed="false">
      <c r="A189" s="0" t="s">
        <v>200</v>
      </c>
      <c r="B189" s="0" t="s">
        <v>10</v>
      </c>
    </row>
    <row r="190" customFormat="false" ht="15" hidden="false" customHeight="false" outlineLevel="0" collapsed="false">
      <c r="A190" s="0" t="s">
        <v>201</v>
      </c>
      <c r="B190" s="0" t="s">
        <v>10</v>
      </c>
    </row>
    <row r="191" customFormat="false" ht="15" hidden="false" customHeight="false" outlineLevel="0" collapsed="false">
      <c r="A191" s="0" t="s">
        <v>202</v>
      </c>
      <c r="B191" s="0" t="s">
        <v>7</v>
      </c>
    </row>
    <row r="192" customFormat="false" ht="15" hidden="false" customHeight="false" outlineLevel="0" collapsed="false">
      <c r="A192" s="0" t="s">
        <v>203</v>
      </c>
      <c r="B192" s="0" t="s">
        <v>10</v>
      </c>
    </row>
    <row r="193" customFormat="false" ht="15" hidden="false" customHeight="false" outlineLevel="0" collapsed="false">
      <c r="A193" s="0" t="s">
        <v>204</v>
      </c>
      <c r="B193" s="0" t="s">
        <v>9</v>
      </c>
    </row>
    <row r="194" customFormat="false" ht="15" hidden="false" customHeight="false" outlineLevel="0" collapsed="false">
      <c r="A194" s="0" t="s">
        <v>205</v>
      </c>
      <c r="B194" s="0" t="s">
        <v>9</v>
      </c>
    </row>
    <row r="195" customFormat="false" ht="15" hidden="false" customHeight="false" outlineLevel="0" collapsed="false">
      <c r="A195" s="0" t="s">
        <v>206</v>
      </c>
      <c r="B195" s="0" t="s">
        <v>9</v>
      </c>
    </row>
    <row r="196" customFormat="false" ht="15" hidden="false" customHeight="false" outlineLevel="0" collapsed="false">
      <c r="A196" s="0" t="s">
        <v>207</v>
      </c>
      <c r="B196" s="0" t="s">
        <v>9</v>
      </c>
    </row>
    <row r="197" customFormat="false" ht="15" hidden="false" customHeight="false" outlineLevel="0" collapsed="false">
      <c r="A197" s="0" t="s">
        <v>208</v>
      </c>
      <c r="B197" s="0" t="s">
        <v>9</v>
      </c>
    </row>
    <row r="198" customFormat="false" ht="15" hidden="false" customHeight="false" outlineLevel="0" collapsed="false">
      <c r="A198" s="0" t="s">
        <v>209</v>
      </c>
      <c r="B198" s="0" t="s">
        <v>10</v>
      </c>
    </row>
    <row r="199" customFormat="false" ht="15" hidden="false" customHeight="false" outlineLevel="0" collapsed="false">
      <c r="A199" s="0" t="s">
        <v>210</v>
      </c>
      <c r="B199" s="0" t="s">
        <v>9</v>
      </c>
    </row>
    <row r="200" customFormat="false" ht="15" hidden="false" customHeight="false" outlineLevel="0" collapsed="false">
      <c r="A200" s="0" t="s">
        <v>211</v>
      </c>
      <c r="B200" s="0" t="s">
        <v>10</v>
      </c>
    </row>
    <row r="201" customFormat="false" ht="15" hidden="false" customHeight="false" outlineLevel="0" collapsed="false">
      <c r="A201" s="0" t="s">
        <v>212</v>
      </c>
      <c r="B201" s="0" t="s">
        <v>8</v>
      </c>
    </row>
    <row r="202" customFormat="false" ht="15" hidden="false" customHeight="false" outlineLevel="0" collapsed="false">
      <c r="A202" s="0" t="s">
        <v>213</v>
      </c>
      <c r="B202" s="0" t="s">
        <v>9</v>
      </c>
    </row>
    <row r="203" customFormat="false" ht="15" hidden="false" customHeight="false" outlineLevel="0" collapsed="false">
      <c r="A203" s="0" t="s">
        <v>214</v>
      </c>
      <c r="B203" s="0" t="s">
        <v>10</v>
      </c>
    </row>
    <row r="204" customFormat="false" ht="15" hidden="false" customHeight="false" outlineLevel="0" collapsed="false">
      <c r="A204" s="0" t="s">
        <v>215</v>
      </c>
      <c r="B204" s="0" t="s">
        <v>8</v>
      </c>
    </row>
    <row r="205" customFormat="false" ht="15" hidden="false" customHeight="false" outlineLevel="0" collapsed="false">
      <c r="A205" s="0" t="s">
        <v>216</v>
      </c>
      <c r="B205" s="0" t="s">
        <v>10</v>
      </c>
    </row>
    <row r="206" customFormat="false" ht="15" hidden="false" customHeight="false" outlineLevel="0" collapsed="false">
      <c r="A206" s="0" t="s">
        <v>217</v>
      </c>
      <c r="B206" s="0" t="s">
        <v>8</v>
      </c>
    </row>
    <row r="207" customFormat="false" ht="15" hidden="false" customHeight="false" outlineLevel="0" collapsed="false">
      <c r="A207" s="0" t="s">
        <v>218</v>
      </c>
      <c r="B207" s="0" t="s">
        <v>10</v>
      </c>
    </row>
    <row r="208" customFormat="false" ht="15" hidden="false" customHeight="false" outlineLevel="0" collapsed="false">
      <c r="A208" s="0" t="s">
        <v>219</v>
      </c>
      <c r="B208" s="0" t="s">
        <v>9</v>
      </c>
    </row>
    <row r="209" customFormat="false" ht="15" hidden="false" customHeight="false" outlineLevel="0" collapsed="false">
      <c r="A209" s="0" t="s">
        <v>220</v>
      </c>
      <c r="B209" s="0" t="s">
        <v>6</v>
      </c>
    </row>
    <row r="210" customFormat="false" ht="15" hidden="false" customHeight="false" outlineLevel="0" collapsed="false">
      <c r="A210" s="0" t="s">
        <v>221</v>
      </c>
      <c r="B210" s="0" t="s">
        <v>7</v>
      </c>
    </row>
    <row r="211" customFormat="false" ht="15" hidden="false" customHeight="false" outlineLevel="0" collapsed="false">
      <c r="A211" s="0" t="s">
        <v>222</v>
      </c>
      <c r="B211" s="0" t="s">
        <v>8</v>
      </c>
    </row>
    <row r="212" customFormat="false" ht="15" hidden="false" customHeight="false" outlineLevel="0" collapsed="false">
      <c r="A212" s="0" t="s">
        <v>223</v>
      </c>
      <c r="B212" s="0" t="s">
        <v>8</v>
      </c>
    </row>
    <row r="213" customFormat="false" ht="15" hidden="false" customHeight="false" outlineLevel="0" collapsed="false">
      <c r="A213" s="0" t="s">
        <v>224</v>
      </c>
      <c r="B213" s="0" t="s">
        <v>9</v>
      </c>
    </row>
    <row r="214" customFormat="false" ht="15" hidden="false" customHeight="false" outlineLevel="0" collapsed="false">
      <c r="A214" s="0" t="s">
        <v>225</v>
      </c>
      <c r="B214" s="0" t="s">
        <v>10</v>
      </c>
    </row>
    <row r="215" customFormat="false" ht="15" hidden="false" customHeight="false" outlineLevel="0" collapsed="false">
      <c r="A215" s="0" t="s">
        <v>226</v>
      </c>
      <c r="B215" s="0" t="s">
        <v>10</v>
      </c>
    </row>
    <row r="216" customFormat="false" ht="15" hidden="false" customHeight="false" outlineLevel="0" collapsed="false">
      <c r="A216" s="0" t="s">
        <v>227</v>
      </c>
      <c r="B216" s="0" t="s">
        <v>9</v>
      </c>
    </row>
    <row r="217" customFormat="false" ht="15" hidden="false" customHeight="false" outlineLevel="0" collapsed="false">
      <c r="A217" s="0" t="s">
        <v>228</v>
      </c>
      <c r="B217" s="0" t="s">
        <v>8</v>
      </c>
    </row>
    <row r="218" customFormat="false" ht="15" hidden="false" customHeight="false" outlineLevel="0" collapsed="false">
      <c r="A218" s="0" t="s">
        <v>229</v>
      </c>
      <c r="B218" s="0" t="s">
        <v>6</v>
      </c>
    </row>
    <row r="219" customFormat="false" ht="15" hidden="false" customHeight="false" outlineLevel="0" collapsed="false">
      <c r="A219" s="0" t="s">
        <v>230</v>
      </c>
      <c r="B219" s="0" t="s">
        <v>6</v>
      </c>
    </row>
    <row r="220" customFormat="false" ht="15" hidden="false" customHeight="false" outlineLevel="0" collapsed="false">
      <c r="A220" s="0" t="s">
        <v>231</v>
      </c>
      <c r="B220" s="0" t="s">
        <v>8</v>
      </c>
    </row>
    <row r="221" customFormat="false" ht="15" hidden="false" customHeight="false" outlineLevel="0" collapsed="false">
      <c r="A221" s="0" t="s">
        <v>232</v>
      </c>
      <c r="B221" s="0" t="s">
        <v>8</v>
      </c>
    </row>
    <row r="222" customFormat="false" ht="15" hidden="false" customHeight="false" outlineLevel="0" collapsed="false">
      <c r="A222" s="0" t="s">
        <v>233</v>
      </c>
      <c r="B222" s="0" t="s">
        <v>9</v>
      </c>
    </row>
    <row r="223" customFormat="false" ht="15" hidden="false" customHeight="false" outlineLevel="0" collapsed="false">
      <c r="A223" s="0" t="s">
        <v>234</v>
      </c>
      <c r="B223" s="0" t="s">
        <v>9</v>
      </c>
    </row>
    <row r="224" customFormat="false" ht="15" hidden="false" customHeight="false" outlineLevel="0" collapsed="false">
      <c r="A224" s="0" t="s">
        <v>235</v>
      </c>
      <c r="B224" s="0" t="s">
        <v>10</v>
      </c>
    </row>
    <row r="225" customFormat="false" ht="15" hidden="false" customHeight="false" outlineLevel="0" collapsed="false">
      <c r="A225" s="0" t="s">
        <v>236</v>
      </c>
      <c r="B225" s="0" t="s">
        <v>9</v>
      </c>
    </row>
    <row r="226" customFormat="false" ht="15" hidden="false" customHeight="false" outlineLevel="0" collapsed="false">
      <c r="A226" s="0" t="s">
        <v>237</v>
      </c>
      <c r="B226" s="0" t="s">
        <v>10</v>
      </c>
    </row>
    <row r="227" customFormat="false" ht="15" hidden="false" customHeight="false" outlineLevel="0" collapsed="false">
      <c r="A227" s="0" t="s">
        <v>238</v>
      </c>
      <c r="B227" s="0" t="s">
        <v>9</v>
      </c>
    </row>
    <row r="228" customFormat="false" ht="15" hidden="false" customHeight="false" outlineLevel="0" collapsed="false">
      <c r="A228" s="0" t="s">
        <v>239</v>
      </c>
      <c r="B228" s="0" t="s">
        <v>8</v>
      </c>
    </row>
    <row r="229" customFormat="false" ht="15" hidden="false" customHeight="false" outlineLevel="0" collapsed="false">
      <c r="A229" s="0" t="s">
        <v>240</v>
      </c>
      <c r="B229" s="0" t="s">
        <v>8</v>
      </c>
    </row>
    <row r="230" customFormat="false" ht="15" hidden="false" customHeight="false" outlineLevel="0" collapsed="false">
      <c r="A230" s="0" t="s">
        <v>241</v>
      </c>
      <c r="B230" s="0" t="s">
        <v>10</v>
      </c>
    </row>
    <row r="231" customFormat="false" ht="15" hidden="false" customHeight="false" outlineLevel="0" collapsed="false">
      <c r="A231" s="0" t="s">
        <v>242</v>
      </c>
      <c r="B231" s="0" t="s">
        <v>6</v>
      </c>
    </row>
    <row r="232" customFormat="false" ht="15" hidden="false" customHeight="false" outlineLevel="0" collapsed="false">
      <c r="A232" s="0" t="s">
        <v>243</v>
      </c>
      <c r="B232" s="0" t="s">
        <v>6</v>
      </c>
    </row>
    <row r="233" customFormat="false" ht="15" hidden="false" customHeight="false" outlineLevel="0" collapsed="false">
      <c r="A233" s="0" t="s">
        <v>244</v>
      </c>
      <c r="B233" s="0" t="s">
        <v>10</v>
      </c>
    </row>
    <row r="234" customFormat="false" ht="15" hidden="false" customHeight="false" outlineLevel="0" collapsed="false">
      <c r="A234" s="0" t="s">
        <v>245</v>
      </c>
      <c r="B234" s="0" t="s">
        <v>10</v>
      </c>
    </row>
    <row r="235" customFormat="false" ht="15" hidden="false" customHeight="false" outlineLevel="0" collapsed="false">
      <c r="A235" s="0" t="s">
        <v>246</v>
      </c>
      <c r="B235" s="0" t="s">
        <v>6</v>
      </c>
    </row>
    <row r="236" customFormat="false" ht="15" hidden="false" customHeight="false" outlineLevel="0" collapsed="false">
      <c r="A236" s="0" t="s">
        <v>247</v>
      </c>
      <c r="B236" s="0" t="s">
        <v>10</v>
      </c>
    </row>
    <row r="237" customFormat="false" ht="15" hidden="false" customHeight="false" outlineLevel="0" collapsed="false">
      <c r="A237" s="0" t="s">
        <v>248</v>
      </c>
      <c r="B237" s="0" t="s">
        <v>10</v>
      </c>
    </row>
    <row r="238" customFormat="false" ht="15" hidden="false" customHeight="false" outlineLevel="0" collapsed="false">
      <c r="A238" s="0" t="s">
        <v>249</v>
      </c>
      <c r="B238" s="0" t="s">
        <v>8</v>
      </c>
    </row>
    <row r="239" customFormat="false" ht="15" hidden="false" customHeight="false" outlineLevel="0" collapsed="false">
      <c r="A239" s="0" t="s">
        <v>250</v>
      </c>
      <c r="B239" s="0" t="s">
        <v>10</v>
      </c>
    </row>
    <row r="240" customFormat="false" ht="15" hidden="false" customHeight="false" outlineLevel="0" collapsed="false">
      <c r="A240" s="0" t="s">
        <v>251</v>
      </c>
      <c r="B240" s="0" t="s">
        <v>6</v>
      </c>
    </row>
    <row r="241" customFormat="false" ht="15" hidden="false" customHeight="false" outlineLevel="0" collapsed="false">
      <c r="A241" s="0" t="s">
        <v>252</v>
      </c>
      <c r="B241" s="0" t="s">
        <v>6</v>
      </c>
    </row>
    <row r="242" customFormat="false" ht="15" hidden="false" customHeight="false" outlineLevel="0" collapsed="false">
      <c r="A242" s="0" t="s">
        <v>253</v>
      </c>
      <c r="B242" s="0" t="s">
        <v>9</v>
      </c>
    </row>
    <row r="243" customFormat="false" ht="15" hidden="false" customHeight="false" outlineLevel="0" collapsed="false">
      <c r="A243" s="0" t="s">
        <v>254</v>
      </c>
      <c r="B243" s="0" t="s">
        <v>8</v>
      </c>
    </row>
    <row r="244" customFormat="false" ht="15" hidden="false" customHeight="false" outlineLevel="0" collapsed="false">
      <c r="A244" s="0" t="s">
        <v>255</v>
      </c>
      <c r="B244" s="0" t="s">
        <v>6</v>
      </c>
    </row>
    <row r="245" customFormat="false" ht="15" hidden="false" customHeight="false" outlineLevel="0" collapsed="false">
      <c r="A245" s="0" t="s">
        <v>256</v>
      </c>
      <c r="B245" s="0" t="s">
        <v>9</v>
      </c>
    </row>
    <row r="246" customFormat="false" ht="15" hidden="false" customHeight="false" outlineLevel="0" collapsed="false">
      <c r="A246" s="0" t="s">
        <v>257</v>
      </c>
      <c r="B246" s="0" t="s">
        <v>6</v>
      </c>
    </row>
    <row r="247" customFormat="false" ht="15" hidden="false" customHeight="false" outlineLevel="0" collapsed="false">
      <c r="A247" s="0" t="s">
        <v>258</v>
      </c>
      <c r="B247" s="0" t="s">
        <v>8</v>
      </c>
    </row>
    <row r="248" customFormat="false" ht="15" hidden="false" customHeight="false" outlineLevel="0" collapsed="false">
      <c r="A248" s="0" t="s">
        <v>259</v>
      </c>
      <c r="B248" s="0" t="s">
        <v>9</v>
      </c>
    </row>
    <row r="249" customFormat="false" ht="15" hidden="false" customHeight="false" outlineLevel="0" collapsed="false">
      <c r="A249" s="0" t="s">
        <v>260</v>
      </c>
      <c r="B249" s="0" t="s">
        <v>6</v>
      </c>
    </row>
    <row r="250" customFormat="false" ht="15" hidden="false" customHeight="false" outlineLevel="0" collapsed="false">
      <c r="A250" s="0" t="s">
        <v>261</v>
      </c>
      <c r="B250" s="0" t="s">
        <v>10</v>
      </c>
    </row>
    <row r="251" customFormat="false" ht="15" hidden="false" customHeight="false" outlineLevel="0" collapsed="false">
      <c r="A251" s="0" t="s">
        <v>262</v>
      </c>
      <c r="B251" s="0" t="s">
        <v>10</v>
      </c>
    </row>
    <row r="252" customFormat="false" ht="15" hidden="false" customHeight="false" outlineLevel="0" collapsed="false">
      <c r="A252" s="0" t="s">
        <v>263</v>
      </c>
      <c r="B252" s="0" t="s">
        <v>10</v>
      </c>
    </row>
    <row r="253" customFormat="false" ht="15" hidden="false" customHeight="false" outlineLevel="0" collapsed="false">
      <c r="A253" s="0" t="s">
        <v>264</v>
      </c>
      <c r="B253" s="0" t="s">
        <v>6</v>
      </c>
    </row>
    <row r="254" customFormat="false" ht="15" hidden="false" customHeight="false" outlineLevel="0" collapsed="false">
      <c r="A254" s="0" t="s">
        <v>265</v>
      </c>
      <c r="B254" s="0" t="s">
        <v>10</v>
      </c>
    </row>
    <row r="255" customFormat="false" ht="15" hidden="false" customHeight="false" outlineLevel="0" collapsed="false">
      <c r="A255" s="0" t="s">
        <v>266</v>
      </c>
      <c r="B255" s="0" t="s">
        <v>6</v>
      </c>
    </row>
    <row r="256" customFormat="false" ht="15" hidden="false" customHeight="false" outlineLevel="0" collapsed="false">
      <c r="A256" s="0" t="s">
        <v>267</v>
      </c>
      <c r="B256" s="0" t="s">
        <v>6</v>
      </c>
    </row>
    <row r="257" customFormat="false" ht="15" hidden="false" customHeight="false" outlineLevel="0" collapsed="false">
      <c r="A257" s="0" t="s">
        <v>268</v>
      </c>
      <c r="B257" s="0" t="s">
        <v>6</v>
      </c>
    </row>
    <row r="258" customFormat="false" ht="15" hidden="false" customHeight="false" outlineLevel="0" collapsed="false">
      <c r="A258" s="0" t="s">
        <v>269</v>
      </c>
      <c r="B258" s="0" t="s">
        <v>9</v>
      </c>
    </row>
    <row r="259" customFormat="false" ht="15" hidden="false" customHeight="false" outlineLevel="0" collapsed="false">
      <c r="A259" s="0" t="s">
        <v>270</v>
      </c>
      <c r="B259" s="0" t="s">
        <v>8</v>
      </c>
    </row>
    <row r="260" customFormat="false" ht="15" hidden="false" customHeight="false" outlineLevel="0" collapsed="false">
      <c r="A260" s="0" t="s">
        <v>271</v>
      </c>
      <c r="B260" s="0" t="s">
        <v>6</v>
      </c>
    </row>
    <row r="261" customFormat="false" ht="15" hidden="false" customHeight="false" outlineLevel="0" collapsed="false">
      <c r="A261" s="0" t="s">
        <v>272</v>
      </c>
      <c r="B261" s="0" t="s">
        <v>10</v>
      </c>
    </row>
    <row r="262" customFormat="false" ht="15" hidden="false" customHeight="false" outlineLevel="0" collapsed="false">
      <c r="A262" s="0" t="s">
        <v>273</v>
      </c>
      <c r="B262" s="0" t="s">
        <v>9</v>
      </c>
    </row>
    <row r="263" customFormat="false" ht="15" hidden="false" customHeight="false" outlineLevel="0" collapsed="false">
      <c r="A263" s="0" t="s">
        <v>274</v>
      </c>
      <c r="B263" s="0" t="s">
        <v>9</v>
      </c>
    </row>
    <row r="264" customFormat="false" ht="15" hidden="false" customHeight="false" outlineLevel="0" collapsed="false">
      <c r="A264" s="0" t="s">
        <v>275</v>
      </c>
      <c r="B264" s="0" t="s">
        <v>6</v>
      </c>
    </row>
    <row r="265" customFormat="false" ht="15" hidden="false" customHeight="false" outlineLevel="0" collapsed="false">
      <c r="A265" s="0" t="s">
        <v>276</v>
      </c>
      <c r="B265" s="0" t="s">
        <v>6</v>
      </c>
    </row>
    <row r="266" customFormat="false" ht="15" hidden="false" customHeight="false" outlineLevel="0" collapsed="false">
      <c r="A266" s="0" t="s">
        <v>277</v>
      </c>
      <c r="B266" s="0" t="s">
        <v>10</v>
      </c>
    </row>
    <row r="267" customFormat="false" ht="15" hidden="false" customHeight="false" outlineLevel="0" collapsed="false">
      <c r="A267" s="0" t="s">
        <v>278</v>
      </c>
      <c r="B267" s="0" t="s">
        <v>9</v>
      </c>
    </row>
    <row r="268" customFormat="false" ht="15" hidden="false" customHeight="false" outlineLevel="0" collapsed="false">
      <c r="A268" s="0" t="s">
        <v>279</v>
      </c>
      <c r="B268" s="0" t="s">
        <v>6</v>
      </c>
    </row>
    <row r="269" customFormat="false" ht="15" hidden="false" customHeight="false" outlineLevel="0" collapsed="false">
      <c r="A269" s="0" t="s">
        <v>280</v>
      </c>
      <c r="B269" s="0" t="s">
        <v>6</v>
      </c>
    </row>
    <row r="270" customFormat="false" ht="15" hidden="false" customHeight="false" outlineLevel="0" collapsed="false">
      <c r="A270" s="0" t="s">
        <v>281</v>
      </c>
      <c r="B270" s="0" t="s">
        <v>8</v>
      </c>
    </row>
    <row r="271" customFormat="false" ht="15" hidden="false" customHeight="false" outlineLevel="0" collapsed="false">
      <c r="A271" s="0" t="s">
        <v>282</v>
      </c>
      <c r="B271" s="0" t="s">
        <v>9</v>
      </c>
    </row>
    <row r="272" customFormat="false" ht="15" hidden="false" customHeight="false" outlineLevel="0" collapsed="false">
      <c r="A272" s="0" t="s">
        <v>283</v>
      </c>
      <c r="B272" s="0" t="s">
        <v>10</v>
      </c>
    </row>
    <row r="273" customFormat="false" ht="15" hidden="false" customHeight="false" outlineLevel="0" collapsed="false">
      <c r="A273" s="0" t="s">
        <v>284</v>
      </c>
      <c r="B273" s="0" t="s">
        <v>10</v>
      </c>
    </row>
    <row r="274" customFormat="false" ht="15" hidden="false" customHeight="false" outlineLevel="0" collapsed="false">
      <c r="A274" s="0" t="s">
        <v>285</v>
      </c>
      <c r="B274" s="0" t="s">
        <v>8</v>
      </c>
    </row>
    <row r="275" customFormat="false" ht="15" hidden="false" customHeight="false" outlineLevel="0" collapsed="false">
      <c r="A275" s="0" t="s">
        <v>286</v>
      </c>
      <c r="B275" s="0" t="s">
        <v>10</v>
      </c>
    </row>
    <row r="276" customFormat="false" ht="15" hidden="false" customHeight="false" outlineLevel="0" collapsed="false">
      <c r="A276" s="0" t="s">
        <v>287</v>
      </c>
      <c r="B276" s="0" t="s">
        <v>9</v>
      </c>
    </row>
    <row r="277" customFormat="false" ht="15" hidden="false" customHeight="false" outlineLevel="0" collapsed="false">
      <c r="A277" s="0" t="s">
        <v>288</v>
      </c>
      <c r="B277" s="0" t="s">
        <v>8</v>
      </c>
    </row>
    <row r="278" customFormat="false" ht="15" hidden="false" customHeight="false" outlineLevel="0" collapsed="false">
      <c r="A278" s="0" t="s">
        <v>289</v>
      </c>
      <c r="B278" s="0" t="s">
        <v>6</v>
      </c>
    </row>
    <row r="279" customFormat="false" ht="15" hidden="false" customHeight="false" outlineLevel="0" collapsed="false">
      <c r="A279" s="0" t="s">
        <v>290</v>
      </c>
      <c r="B279" s="0" t="s">
        <v>8</v>
      </c>
    </row>
    <row r="280" customFormat="false" ht="15" hidden="false" customHeight="false" outlineLevel="0" collapsed="false">
      <c r="A280" s="0" t="s">
        <v>291</v>
      </c>
      <c r="B280" s="0" t="s">
        <v>10</v>
      </c>
    </row>
    <row r="281" customFormat="false" ht="15" hidden="false" customHeight="false" outlineLevel="0" collapsed="false">
      <c r="A281" s="0" t="s">
        <v>292</v>
      </c>
      <c r="B281" s="0" t="s">
        <v>9</v>
      </c>
    </row>
    <row r="282" customFormat="false" ht="15" hidden="false" customHeight="false" outlineLevel="0" collapsed="false">
      <c r="A282" s="0" t="s">
        <v>293</v>
      </c>
      <c r="B282" s="0" t="s">
        <v>10</v>
      </c>
    </row>
    <row r="283" customFormat="false" ht="15" hidden="false" customHeight="false" outlineLevel="0" collapsed="false">
      <c r="A283" s="0" t="s">
        <v>294</v>
      </c>
      <c r="B283" s="0" t="s">
        <v>6</v>
      </c>
    </row>
    <row r="284" customFormat="false" ht="15" hidden="false" customHeight="false" outlineLevel="0" collapsed="false">
      <c r="A284" s="0" t="s">
        <v>295</v>
      </c>
      <c r="B284" s="0" t="s">
        <v>8</v>
      </c>
    </row>
    <row r="285" customFormat="false" ht="15" hidden="false" customHeight="false" outlineLevel="0" collapsed="false">
      <c r="A285" s="0" t="s">
        <v>296</v>
      </c>
      <c r="B285" s="0" t="s">
        <v>6</v>
      </c>
    </row>
    <row r="286" customFormat="false" ht="15" hidden="false" customHeight="false" outlineLevel="0" collapsed="false">
      <c r="A286" s="0" t="s">
        <v>297</v>
      </c>
      <c r="B286" s="0" t="s">
        <v>6</v>
      </c>
    </row>
    <row r="287" customFormat="false" ht="15" hidden="false" customHeight="false" outlineLevel="0" collapsed="false">
      <c r="A287" s="0" t="s">
        <v>298</v>
      </c>
      <c r="B287" s="0" t="s">
        <v>9</v>
      </c>
    </row>
    <row r="288" customFormat="false" ht="15" hidden="false" customHeight="false" outlineLevel="0" collapsed="false">
      <c r="A288" s="0" t="s">
        <v>299</v>
      </c>
      <c r="B288" s="0" t="s">
        <v>10</v>
      </c>
    </row>
    <row r="289" customFormat="false" ht="15" hidden="false" customHeight="false" outlineLevel="0" collapsed="false">
      <c r="A289" s="0" t="s">
        <v>300</v>
      </c>
      <c r="B289" s="0" t="s">
        <v>6</v>
      </c>
    </row>
    <row r="290" customFormat="false" ht="15" hidden="false" customHeight="false" outlineLevel="0" collapsed="false">
      <c r="A290" s="0" t="s">
        <v>301</v>
      </c>
      <c r="B290" s="0" t="s">
        <v>9</v>
      </c>
    </row>
    <row r="291" customFormat="false" ht="15" hidden="false" customHeight="false" outlineLevel="0" collapsed="false">
      <c r="A291" s="0" t="s">
        <v>302</v>
      </c>
      <c r="B291" s="0" t="s">
        <v>6</v>
      </c>
    </row>
    <row r="292" customFormat="false" ht="15" hidden="false" customHeight="false" outlineLevel="0" collapsed="false">
      <c r="A292" s="0" t="s">
        <v>303</v>
      </c>
      <c r="B292" s="0" t="s">
        <v>8</v>
      </c>
    </row>
    <row r="293" customFormat="false" ht="15" hidden="false" customHeight="false" outlineLevel="0" collapsed="false">
      <c r="A293" s="0" t="s">
        <v>304</v>
      </c>
      <c r="B293" s="0" t="s">
        <v>6</v>
      </c>
    </row>
    <row r="294" customFormat="false" ht="15" hidden="false" customHeight="false" outlineLevel="0" collapsed="false">
      <c r="A294" s="0" t="s">
        <v>305</v>
      </c>
      <c r="B294" s="0" t="s">
        <v>10</v>
      </c>
    </row>
    <row r="295" customFormat="false" ht="15" hidden="false" customHeight="false" outlineLevel="0" collapsed="false">
      <c r="A295" s="0" t="s">
        <v>306</v>
      </c>
      <c r="B295" s="0" t="s">
        <v>6</v>
      </c>
    </row>
    <row r="296" customFormat="false" ht="15" hidden="false" customHeight="false" outlineLevel="0" collapsed="false">
      <c r="A296" s="0" t="s">
        <v>307</v>
      </c>
      <c r="B296" s="0" t="s">
        <v>10</v>
      </c>
    </row>
    <row r="297" customFormat="false" ht="15" hidden="false" customHeight="false" outlineLevel="0" collapsed="false">
      <c r="A297" s="0" t="s">
        <v>308</v>
      </c>
      <c r="B297" s="0" t="s">
        <v>8</v>
      </c>
    </row>
    <row r="298" customFormat="false" ht="15" hidden="false" customHeight="false" outlineLevel="0" collapsed="false">
      <c r="A298" s="0" t="s">
        <v>309</v>
      </c>
      <c r="B298" s="0" t="s">
        <v>6</v>
      </c>
    </row>
    <row r="299" customFormat="false" ht="15" hidden="false" customHeight="false" outlineLevel="0" collapsed="false">
      <c r="A299" s="0" t="s">
        <v>310</v>
      </c>
      <c r="B299" s="0" t="s">
        <v>6</v>
      </c>
    </row>
    <row r="300" customFormat="false" ht="15" hidden="false" customHeight="false" outlineLevel="0" collapsed="false">
      <c r="A300" s="0" t="s">
        <v>311</v>
      </c>
      <c r="B300" s="0" t="s">
        <v>9</v>
      </c>
    </row>
    <row r="301" customFormat="false" ht="15" hidden="false" customHeight="false" outlineLevel="0" collapsed="false">
      <c r="A301" s="0" t="s">
        <v>312</v>
      </c>
      <c r="B301" s="0" t="s">
        <v>7</v>
      </c>
    </row>
    <row r="302" customFormat="false" ht="15" hidden="false" customHeight="false" outlineLevel="0" collapsed="false">
      <c r="A302" s="0" t="s">
        <v>313</v>
      </c>
      <c r="B302" s="0" t="s">
        <v>10</v>
      </c>
    </row>
    <row r="303" customFormat="false" ht="15" hidden="false" customHeight="false" outlineLevel="0" collapsed="false">
      <c r="A303" s="0" t="s">
        <v>314</v>
      </c>
      <c r="B303" s="0" t="s">
        <v>9</v>
      </c>
    </row>
    <row r="304" customFormat="false" ht="15" hidden="false" customHeight="false" outlineLevel="0" collapsed="false">
      <c r="A304" s="0" t="s">
        <v>315</v>
      </c>
      <c r="B304" s="0" t="s">
        <v>6</v>
      </c>
    </row>
    <row r="305" customFormat="false" ht="15" hidden="false" customHeight="false" outlineLevel="0" collapsed="false">
      <c r="A305" s="0" t="s">
        <v>316</v>
      </c>
      <c r="B305" s="0" t="s">
        <v>9</v>
      </c>
    </row>
    <row r="306" customFormat="false" ht="15" hidden="false" customHeight="false" outlineLevel="0" collapsed="false">
      <c r="A306" s="0" t="s">
        <v>317</v>
      </c>
      <c r="B306" s="0" t="s">
        <v>8</v>
      </c>
    </row>
    <row r="307" customFormat="false" ht="15" hidden="false" customHeight="false" outlineLevel="0" collapsed="false">
      <c r="A307" s="0" t="s">
        <v>318</v>
      </c>
      <c r="B307" s="0" t="s">
        <v>6</v>
      </c>
    </row>
    <row r="308" customFormat="false" ht="15" hidden="false" customHeight="false" outlineLevel="0" collapsed="false">
      <c r="A308" s="0" t="s">
        <v>319</v>
      </c>
      <c r="B308" s="0" t="s">
        <v>6</v>
      </c>
    </row>
    <row r="309" customFormat="false" ht="15" hidden="false" customHeight="false" outlineLevel="0" collapsed="false">
      <c r="A309" s="0" t="s">
        <v>320</v>
      </c>
      <c r="B309" s="0" t="s">
        <v>9</v>
      </c>
    </row>
    <row r="310" customFormat="false" ht="15" hidden="false" customHeight="false" outlineLevel="0" collapsed="false">
      <c r="A310" s="0" t="s">
        <v>321</v>
      </c>
      <c r="B310" s="0" t="s">
        <v>10</v>
      </c>
    </row>
    <row r="311" customFormat="false" ht="15" hidden="false" customHeight="false" outlineLevel="0" collapsed="false">
      <c r="A311" s="0" t="s">
        <v>322</v>
      </c>
      <c r="B311" s="0" t="s">
        <v>6</v>
      </c>
    </row>
    <row r="312" customFormat="false" ht="15" hidden="false" customHeight="false" outlineLevel="0" collapsed="false">
      <c r="A312" s="0" t="s">
        <v>323</v>
      </c>
      <c r="B312" s="0" t="s">
        <v>8</v>
      </c>
    </row>
    <row r="313" customFormat="false" ht="15" hidden="false" customHeight="false" outlineLevel="0" collapsed="false">
      <c r="A313" s="0" t="s">
        <v>324</v>
      </c>
      <c r="B313" s="0" t="s">
        <v>10</v>
      </c>
    </row>
    <row r="314" customFormat="false" ht="15" hidden="false" customHeight="false" outlineLevel="0" collapsed="false">
      <c r="A314" s="0" t="s">
        <v>325</v>
      </c>
      <c r="B314" s="0" t="s">
        <v>10</v>
      </c>
    </row>
    <row r="315" customFormat="false" ht="15" hidden="false" customHeight="false" outlineLevel="0" collapsed="false">
      <c r="A315" s="0" t="s">
        <v>326</v>
      </c>
      <c r="B315" s="0" t="s">
        <v>8</v>
      </c>
    </row>
    <row r="316" customFormat="false" ht="15" hidden="false" customHeight="false" outlineLevel="0" collapsed="false">
      <c r="A316" s="0" t="s">
        <v>327</v>
      </c>
      <c r="B316" s="0" t="s">
        <v>8</v>
      </c>
    </row>
    <row r="317" customFormat="false" ht="15" hidden="false" customHeight="false" outlineLevel="0" collapsed="false">
      <c r="A317" s="0" t="s">
        <v>328</v>
      </c>
      <c r="B317" s="0" t="s">
        <v>9</v>
      </c>
    </row>
    <row r="318" customFormat="false" ht="15" hidden="false" customHeight="false" outlineLevel="0" collapsed="false">
      <c r="A318" s="0" t="s">
        <v>329</v>
      </c>
      <c r="B318" s="0" t="s">
        <v>9</v>
      </c>
    </row>
    <row r="319" customFormat="false" ht="15" hidden="false" customHeight="false" outlineLevel="0" collapsed="false">
      <c r="A319" s="0" t="s">
        <v>330</v>
      </c>
      <c r="B319" s="0" t="s">
        <v>9</v>
      </c>
    </row>
    <row r="320" customFormat="false" ht="15" hidden="false" customHeight="false" outlineLevel="0" collapsed="false">
      <c r="A320" s="0" t="s">
        <v>331</v>
      </c>
      <c r="B320" s="0" t="s">
        <v>10</v>
      </c>
    </row>
    <row r="321" customFormat="false" ht="15" hidden="false" customHeight="false" outlineLevel="0" collapsed="false">
      <c r="A321" s="0" t="s">
        <v>332</v>
      </c>
      <c r="B321" s="0" t="s">
        <v>7</v>
      </c>
    </row>
    <row r="322" customFormat="false" ht="15" hidden="false" customHeight="false" outlineLevel="0" collapsed="false">
      <c r="A322" s="0" t="s">
        <v>333</v>
      </c>
      <c r="B322" s="0" t="s">
        <v>9</v>
      </c>
    </row>
    <row r="323" customFormat="false" ht="15" hidden="false" customHeight="false" outlineLevel="0" collapsed="false">
      <c r="A323" s="0" t="s">
        <v>334</v>
      </c>
      <c r="B323" s="0" t="s">
        <v>8</v>
      </c>
    </row>
    <row r="324" customFormat="false" ht="15" hidden="false" customHeight="false" outlineLevel="0" collapsed="false">
      <c r="A324" s="0" t="s">
        <v>335</v>
      </c>
      <c r="B324" s="0" t="s">
        <v>9</v>
      </c>
    </row>
    <row r="325" customFormat="false" ht="15" hidden="false" customHeight="false" outlineLevel="0" collapsed="false">
      <c r="A325" s="0" t="s">
        <v>336</v>
      </c>
      <c r="B325" s="0" t="s">
        <v>7</v>
      </c>
    </row>
    <row r="326" customFormat="false" ht="15" hidden="false" customHeight="false" outlineLevel="0" collapsed="false">
      <c r="A326" s="0" t="s">
        <v>337</v>
      </c>
      <c r="B326" s="0" t="s">
        <v>6</v>
      </c>
    </row>
    <row r="327" customFormat="false" ht="15" hidden="false" customHeight="false" outlineLevel="0" collapsed="false">
      <c r="A327" s="0" t="s">
        <v>338</v>
      </c>
      <c r="B327" s="0" t="s">
        <v>9</v>
      </c>
    </row>
    <row r="328" customFormat="false" ht="15" hidden="false" customHeight="false" outlineLevel="0" collapsed="false">
      <c r="A328" s="0" t="s">
        <v>339</v>
      </c>
      <c r="B328" s="0" t="s">
        <v>6</v>
      </c>
    </row>
    <row r="329" customFormat="false" ht="15" hidden="false" customHeight="false" outlineLevel="0" collapsed="false">
      <c r="A329" s="0" t="s">
        <v>340</v>
      </c>
      <c r="B329" s="0" t="s">
        <v>7</v>
      </c>
    </row>
    <row r="330" customFormat="false" ht="15" hidden="false" customHeight="false" outlineLevel="0" collapsed="false">
      <c r="A330" s="0" t="s">
        <v>341</v>
      </c>
      <c r="B330" s="0" t="s">
        <v>10</v>
      </c>
    </row>
    <row r="331" customFormat="false" ht="15" hidden="false" customHeight="false" outlineLevel="0" collapsed="false">
      <c r="A331" s="0" t="s">
        <v>342</v>
      </c>
      <c r="B331" s="0" t="s">
        <v>9</v>
      </c>
    </row>
    <row r="332" customFormat="false" ht="15" hidden="false" customHeight="false" outlineLevel="0" collapsed="false">
      <c r="A332" s="0" t="s">
        <v>343</v>
      </c>
      <c r="B332" s="0" t="s">
        <v>6</v>
      </c>
    </row>
    <row r="333" customFormat="false" ht="15" hidden="false" customHeight="false" outlineLevel="0" collapsed="false">
      <c r="A333" s="0" t="s">
        <v>344</v>
      </c>
      <c r="B333" s="0" t="s">
        <v>6</v>
      </c>
    </row>
    <row r="334" customFormat="false" ht="15" hidden="false" customHeight="false" outlineLevel="0" collapsed="false">
      <c r="A334" s="0" t="s">
        <v>345</v>
      </c>
      <c r="B334" s="0" t="s">
        <v>8</v>
      </c>
    </row>
    <row r="335" customFormat="false" ht="15" hidden="false" customHeight="false" outlineLevel="0" collapsed="false">
      <c r="A335" s="0" t="s">
        <v>346</v>
      </c>
      <c r="B335" s="0" t="s">
        <v>6</v>
      </c>
    </row>
    <row r="336" customFormat="false" ht="15" hidden="false" customHeight="false" outlineLevel="0" collapsed="false">
      <c r="A336" s="0" t="s">
        <v>347</v>
      </c>
      <c r="B336" s="0" t="s">
        <v>9</v>
      </c>
    </row>
    <row r="337" customFormat="false" ht="15" hidden="false" customHeight="false" outlineLevel="0" collapsed="false">
      <c r="A337" s="0" t="s">
        <v>348</v>
      </c>
      <c r="B337" s="0" t="s">
        <v>9</v>
      </c>
    </row>
    <row r="338" customFormat="false" ht="15" hidden="false" customHeight="false" outlineLevel="0" collapsed="false">
      <c r="A338" s="0" t="s">
        <v>349</v>
      </c>
      <c r="B338" s="0" t="s">
        <v>9</v>
      </c>
    </row>
    <row r="339" customFormat="false" ht="15" hidden="false" customHeight="false" outlineLevel="0" collapsed="false">
      <c r="A339" s="0" t="s">
        <v>350</v>
      </c>
      <c r="B339" s="0" t="s">
        <v>7</v>
      </c>
    </row>
    <row r="340" customFormat="false" ht="15" hidden="false" customHeight="false" outlineLevel="0" collapsed="false">
      <c r="A340" s="0" t="s">
        <v>351</v>
      </c>
      <c r="B340" s="0" t="s">
        <v>9</v>
      </c>
    </row>
    <row r="341" customFormat="false" ht="15" hidden="false" customHeight="false" outlineLevel="0" collapsed="false">
      <c r="A341" s="0" t="s">
        <v>352</v>
      </c>
      <c r="B341" s="0" t="s">
        <v>8</v>
      </c>
    </row>
    <row r="342" customFormat="false" ht="15" hidden="false" customHeight="false" outlineLevel="0" collapsed="false">
      <c r="A342" s="0" t="s">
        <v>353</v>
      </c>
      <c r="B342" s="0" t="s">
        <v>9</v>
      </c>
    </row>
    <row r="343" customFormat="false" ht="15" hidden="false" customHeight="false" outlineLevel="0" collapsed="false">
      <c r="A343" s="0" t="s">
        <v>354</v>
      </c>
      <c r="B343" s="0" t="s">
        <v>10</v>
      </c>
    </row>
    <row r="344" customFormat="false" ht="15" hidden="false" customHeight="false" outlineLevel="0" collapsed="false">
      <c r="A344" s="0" t="s">
        <v>355</v>
      </c>
      <c r="B344" s="0" t="s">
        <v>8</v>
      </c>
    </row>
    <row r="345" customFormat="false" ht="15" hidden="false" customHeight="false" outlineLevel="0" collapsed="false">
      <c r="A345" s="0" t="s">
        <v>356</v>
      </c>
      <c r="B345" s="0" t="s">
        <v>6</v>
      </c>
    </row>
    <row r="346" customFormat="false" ht="15" hidden="false" customHeight="false" outlineLevel="0" collapsed="false">
      <c r="A346" s="0" t="s">
        <v>357</v>
      </c>
      <c r="B346" s="0" t="s">
        <v>6</v>
      </c>
    </row>
    <row r="347" customFormat="false" ht="15" hidden="false" customHeight="false" outlineLevel="0" collapsed="false">
      <c r="A347" s="0" t="s">
        <v>358</v>
      </c>
      <c r="B347" s="0" t="s">
        <v>9</v>
      </c>
    </row>
    <row r="348" customFormat="false" ht="15" hidden="false" customHeight="false" outlineLevel="0" collapsed="false">
      <c r="A348" s="0" t="s">
        <v>359</v>
      </c>
      <c r="B348" s="0" t="s">
        <v>8</v>
      </c>
    </row>
    <row r="349" customFormat="false" ht="15" hidden="false" customHeight="false" outlineLevel="0" collapsed="false">
      <c r="A349" s="0" t="s">
        <v>360</v>
      </c>
      <c r="B349" s="0" t="s">
        <v>10</v>
      </c>
    </row>
    <row r="350" customFormat="false" ht="15" hidden="false" customHeight="false" outlineLevel="0" collapsed="false">
      <c r="A350" s="0" t="s">
        <v>361</v>
      </c>
      <c r="B350" s="0" t="s">
        <v>9</v>
      </c>
    </row>
    <row r="351" customFormat="false" ht="15" hidden="false" customHeight="false" outlineLevel="0" collapsed="false">
      <c r="A351" s="0" t="s">
        <v>362</v>
      </c>
      <c r="B351" s="0" t="s">
        <v>10</v>
      </c>
    </row>
    <row r="352" customFormat="false" ht="15" hidden="false" customHeight="false" outlineLevel="0" collapsed="false">
      <c r="A352" s="0" t="s">
        <v>363</v>
      </c>
      <c r="B352" s="0" t="s">
        <v>6</v>
      </c>
    </row>
    <row r="353" customFormat="false" ht="15" hidden="false" customHeight="false" outlineLevel="0" collapsed="false">
      <c r="A353" s="0" t="s">
        <v>364</v>
      </c>
      <c r="B353" s="0" t="s">
        <v>9</v>
      </c>
    </row>
    <row r="354" customFormat="false" ht="15" hidden="false" customHeight="false" outlineLevel="0" collapsed="false">
      <c r="A354" s="0" t="s">
        <v>365</v>
      </c>
      <c r="B354" s="0" t="s">
        <v>9</v>
      </c>
    </row>
    <row r="355" customFormat="false" ht="15" hidden="false" customHeight="false" outlineLevel="0" collapsed="false">
      <c r="A355" s="0" t="s">
        <v>366</v>
      </c>
      <c r="B355" s="0" t="s">
        <v>6</v>
      </c>
    </row>
    <row r="356" customFormat="false" ht="15" hidden="false" customHeight="false" outlineLevel="0" collapsed="false">
      <c r="A356" s="0" t="s">
        <v>367</v>
      </c>
      <c r="B356" s="0" t="s">
        <v>6</v>
      </c>
    </row>
    <row r="357" customFormat="false" ht="15" hidden="false" customHeight="false" outlineLevel="0" collapsed="false">
      <c r="A357" s="0" t="s">
        <v>368</v>
      </c>
      <c r="B357" s="0" t="s">
        <v>10</v>
      </c>
    </row>
    <row r="358" customFormat="false" ht="15" hidden="false" customHeight="false" outlineLevel="0" collapsed="false">
      <c r="A358" s="0" t="s">
        <v>369</v>
      </c>
      <c r="B358" s="0" t="s">
        <v>10</v>
      </c>
    </row>
    <row r="359" customFormat="false" ht="15" hidden="false" customHeight="false" outlineLevel="0" collapsed="false">
      <c r="A359" s="0" t="s">
        <v>370</v>
      </c>
      <c r="B359" s="0" t="s">
        <v>9</v>
      </c>
    </row>
    <row r="360" customFormat="false" ht="15" hidden="false" customHeight="false" outlineLevel="0" collapsed="false">
      <c r="A360" s="0" t="s">
        <v>371</v>
      </c>
      <c r="B360" s="0" t="s">
        <v>6</v>
      </c>
    </row>
    <row r="361" customFormat="false" ht="15" hidden="false" customHeight="false" outlineLevel="0" collapsed="false">
      <c r="A361" s="0" t="s">
        <v>372</v>
      </c>
      <c r="B361" s="0" t="s">
        <v>8</v>
      </c>
    </row>
    <row r="362" customFormat="false" ht="15" hidden="false" customHeight="false" outlineLevel="0" collapsed="false">
      <c r="A362" s="0" t="s">
        <v>373</v>
      </c>
      <c r="B362" s="0" t="s">
        <v>8</v>
      </c>
    </row>
    <row r="363" customFormat="false" ht="15" hidden="false" customHeight="false" outlineLevel="0" collapsed="false">
      <c r="A363" s="0" t="s">
        <v>374</v>
      </c>
      <c r="B363" s="0" t="s">
        <v>10</v>
      </c>
    </row>
    <row r="364" customFormat="false" ht="15" hidden="false" customHeight="false" outlineLevel="0" collapsed="false">
      <c r="A364" s="0" t="s">
        <v>375</v>
      </c>
      <c r="B364" s="0" t="s">
        <v>6</v>
      </c>
    </row>
    <row r="365" customFormat="false" ht="15" hidden="false" customHeight="false" outlineLevel="0" collapsed="false">
      <c r="A365" s="0" t="s">
        <v>376</v>
      </c>
      <c r="B365" s="0" t="s">
        <v>8</v>
      </c>
    </row>
    <row r="366" customFormat="false" ht="15" hidden="false" customHeight="false" outlineLevel="0" collapsed="false">
      <c r="A366" s="0" t="s">
        <v>377</v>
      </c>
      <c r="B366" s="0" t="s">
        <v>8</v>
      </c>
    </row>
    <row r="367" customFormat="false" ht="15" hidden="false" customHeight="false" outlineLevel="0" collapsed="false">
      <c r="A367" s="0" t="s">
        <v>378</v>
      </c>
      <c r="B367" s="0" t="s">
        <v>10</v>
      </c>
    </row>
    <row r="368" customFormat="false" ht="15" hidden="false" customHeight="false" outlineLevel="0" collapsed="false">
      <c r="A368" s="0" t="s">
        <v>379</v>
      </c>
      <c r="B368" s="0" t="s">
        <v>10</v>
      </c>
    </row>
    <row r="369" customFormat="false" ht="15" hidden="false" customHeight="false" outlineLevel="0" collapsed="false">
      <c r="A369" s="0" t="s">
        <v>380</v>
      </c>
      <c r="B369" s="0" t="s">
        <v>9</v>
      </c>
    </row>
    <row r="370" customFormat="false" ht="15" hidden="false" customHeight="false" outlineLevel="0" collapsed="false">
      <c r="A370" s="0" t="s">
        <v>381</v>
      </c>
      <c r="B370" s="0" t="s">
        <v>9</v>
      </c>
    </row>
    <row r="371" customFormat="false" ht="15" hidden="false" customHeight="false" outlineLevel="0" collapsed="false">
      <c r="A371" s="0" t="s">
        <v>382</v>
      </c>
      <c r="B371" s="0" t="s">
        <v>7</v>
      </c>
    </row>
    <row r="372" customFormat="false" ht="15" hidden="false" customHeight="false" outlineLevel="0" collapsed="false">
      <c r="A372" s="0" t="s">
        <v>383</v>
      </c>
      <c r="B372" s="0" t="s">
        <v>10</v>
      </c>
    </row>
    <row r="373" customFormat="false" ht="15" hidden="false" customHeight="false" outlineLevel="0" collapsed="false">
      <c r="A373" s="0" t="s">
        <v>384</v>
      </c>
      <c r="B373" s="0" t="s">
        <v>10</v>
      </c>
    </row>
    <row r="374" customFormat="false" ht="15" hidden="false" customHeight="false" outlineLevel="0" collapsed="false">
      <c r="A374" s="0" t="s">
        <v>385</v>
      </c>
      <c r="B374" s="0" t="s">
        <v>9</v>
      </c>
    </row>
    <row r="375" customFormat="false" ht="15" hidden="false" customHeight="false" outlineLevel="0" collapsed="false">
      <c r="A375" s="0" t="s">
        <v>386</v>
      </c>
      <c r="B375" s="0" t="s">
        <v>7</v>
      </c>
    </row>
    <row r="376" customFormat="false" ht="15" hidden="false" customHeight="false" outlineLevel="0" collapsed="false">
      <c r="A376" s="0" t="s">
        <v>387</v>
      </c>
      <c r="B376" s="0" t="s">
        <v>9</v>
      </c>
    </row>
    <row r="377" customFormat="false" ht="15" hidden="false" customHeight="false" outlineLevel="0" collapsed="false">
      <c r="A377" s="0" t="s">
        <v>388</v>
      </c>
      <c r="B377" s="0" t="s">
        <v>8</v>
      </c>
    </row>
    <row r="378" customFormat="false" ht="15" hidden="false" customHeight="false" outlineLevel="0" collapsed="false">
      <c r="A378" s="0" t="s">
        <v>389</v>
      </c>
      <c r="B378" s="0" t="s">
        <v>10</v>
      </c>
    </row>
    <row r="379" customFormat="false" ht="15" hidden="false" customHeight="false" outlineLevel="0" collapsed="false">
      <c r="A379" s="0" t="s">
        <v>390</v>
      </c>
      <c r="B379" s="0" t="s">
        <v>9</v>
      </c>
    </row>
    <row r="380" customFormat="false" ht="15" hidden="false" customHeight="false" outlineLevel="0" collapsed="false">
      <c r="A380" s="0" t="s">
        <v>391</v>
      </c>
      <c r="B380" s="0" t="s">
        <v>9</v>
      </c>
    </row>
    <row r="381" customFormat="false" ht="15" hidden="false" customHeight="false" outlineLevel="0" collapsed="false">
      <c r="A381" s="0" t="s">
        <v>392</v>
      </c>
      <c r="B381" s="0" t="s">
        <v>9</v>
      </c>
    </row>
    <row r="382" customFormat="false" ht="15" hidden="false" customHeight="false" outlineLevel="0" collapsed="false">
      <c r="A382" s="0" t="s">
        <v>393</v>
      </c>
      <c r="B382" s="0" t="s">
        <v>9</v>
      </c>
    </row>
    <row r="383" customFormat="false" ht="15" hidden="false" customHeight="false" outlineLevel="0" collapsed="false">
      <c r="A383" s="0" t="s">
        <v>394</v>
      </c>
      <c r="B383" s="0" t="s">
        <v>9</v>
      </c>
    </row>
    <row r="384" customFormat="false" ht="15" hidden="false" customHeight="false" outlineLevel="0" collapsed="false">
      <c r="A384" s="0" t="s">
        <v>395</v>
      </c>
      <c r="B384" s="0" t="s">
        <v>6</v>
      </c>
    </row>
    <row r="385" customFormat="false" ht="15" hidden="false" customHeight="false" outlineLevel="0" collapsed="false">
      <c r="A385" s="0" t="s">
        <v>396</v>
      </c>
      <c r="B385" s="0" t="s">
        <v>8</v>
      </c>
    </row>
    <row r="386" customFormat="false" ht="15" hidden="false" customHeight="false" outlineLevel="0" collapsed="false">
      <c r="A386" s="0" t="s">
        <v>397</v>
      </c>
      <c r="B386" s="0" t="s">
        <v>7</v>
      </c>
    </row>
    <row r="387" customFormat="false" ht="15" hidden="false" customHeight="false" outlineLevel="0" collapsed="false">
      <c r="A387" s="0" t="s">
        <v>398</v>
      </c>
      <c r="B387" s="0" t="s">
        <v>10</v>
      </c>
    </row>
    <row r="388" customFormat="false" ht="15" hidden="false" customHeight="false" outlineLevel="0" collapsed="false">
      <c r="A388" s="0" t="s">
        <v>399</v>
      </c>
      <c r="B388" s="0" t="s">
        <v>9</v>
      </c>
    </row>
    <row r="389" customFormat="false" ht="15" hidden="false" customHeight="false" outlineLevel="0" collapsed="false">
      <c r="A389" s="0" t="s">
        <v>400</v>
      </c>
      <c r="B389" s="0" t="s">
        <v>9</v>
      </c>
    </row>
    <row r="390" customFormat="false" ht="15" hidden="false" customHeight="false" outlineLevel="0" collapsed="false">
      <c r="A390" s="0" t="s">
        <v>401</v>
      </c>
      <c r="B390" s="0" t="s">
        <v>6</v>
      </c>
    </row>
    <row r="391" customFormat="false" ht="15" hidden="false" customHeight="false" outlineLevel="0" collapsed="false">
      <c r="A391" s="0" t="s">
        <v>402</v>
      </c>
      <c r="B391" s="0" t="s">
        <v>10</v>
      </c>
    </row>
    <row r="392" customFormat="false" ht="15" hidden="false" customHeight="false" outlineLevel="0" collapsed="false">
      <c r="A392" s="0" t="s">
        <v>403</v>
      </c>
      <c r="B392" s="0" t="s">
        <v>10</v>
      </c>
    </row>
    <row r="393" customFormat="false" ht="15" hidden="false" customHeight="false" outlineLevel="0" collapsed="false">
      <c r="A393" s="0" t="s">
        <v>404</v>
      </c>
      <c r="B393" s="0" t="s">
        <v>10</v>
      </c>
    </row>
    <row r="394" customFormat="false" ht="15" hidden="false" customHeight="false" outlineLevel="0" collapsed="false">
      <c r="A394" s="0" t="s">
        <v>405</v>
      </c>
      <c r="B394" s="0" t="s">
        <v>9</v>
      </c>
    </row>
    <row r="395" customFormat="false" ht="15" hidden="false" customHeight="false" outlineLevel="0" collapsed="false">
      <c r="A395" s="0" t="s">
        <v>406</v>
      </c>
      <c r="B395" s="0" t="s">
        <v>6</v>
      </c>
    </row>
    <row r="396" customFormat="false" ht="15" hidden="false" customHeight="false" outlineLevel="0" collapsed="false">
      <c r="A396" s="0" t="s">
        <v>407</v>
      </c>
      <c r="B396" s="0" t="s">
        <v>9</v>
      </c>
    </row>
    <row r="397" customFormat="false" ht="15" hidden="false" customHeight="false" outlineLevel="0" collapsed="false">
      <c r="A397" s="0" t="s">
        <v>408</v>
      </c>
      <c r="B397" s="0" t="s">
        <v>10</v>
      </c>
    </row>
    <row r="398" customFormat="false" ht="15" hidden="false" customHeight="false" outlineLevel="0" collapsed="false">
      <c r="A398" s="0" t="s">
        <v>409</v>
      </c>
      <c r="B398" s="0" t="s">
        <v>6</v>
      </c>
    </row>
    <row r="399" customFormat="false" ht="15" hidden="false" customHeight="false" outlineLevel="0" collapsed="false">
      <c r="A399" s="0" t="s">
        <v>410</v>
      </c>
      <c r="B399" s="0" t="s">
        <v>9</v>
      </c>
    </row>
    <row r="400" customFormat="false" ht="15" hidden="false" customHeight="false" outlineLevel="0" collapsed="false">
      <c r="A400" s="0" t="s">
        <v>411</v>
      </c>
      <c r="B400" s="0" t="s">
        <v>9</v>
      </c>
    </row>
    <row r="401" customFormat="false" ht="15" hidden="false" customHeight="false" outlineLevel="0" collapsed="false">
      <c r="A401" s="0" t="s">
        <v>412</v>
      </c>
      <c r="B401" s="0" t="s">
        <v>6</v>
      </c>
    </row>
    <row r="402" customFormat="false" ht="15" hidden="false" customHeight="false" outlineLevel="0" collapsed="false">
      <c r="A402" s="0" t="s">
        <v>413</v>
      </c>
      <c r="B402" s="0" t="s">
        <v>10</v>
      </c>
    </row>
    <row r="403" customFormat="false" ht="15" hidden="false" customHeight="false" outlineLevel="0" collapsed="false">
      <c r="A403" s="0" t="s">
        <v>414</v>
      </c>
      <c r="B403" s="0" t="s">
        <v>6</v>
      </c>
    </row>
    <row r="404" customFormat="false" ht="15" hidden="false" customHeight="false" outlineLevel="0" collapsed="false">
      <c r="A404" s="0" t="s">
        <v>415</v>
      </c>
      <c r="B404" s="0" t="s">
        <v>6</v>
      </c>
    </row>
    <row r="405" customFormat="false" ht="15" hidden="false" customHeight="false" outlineLevel="0" collapsed="false">
      <c r="A405" s="0" t="s">
        <v>416</v>
      </c>
      <c r="B405" s="0" t="s">
        <v>6</v>
      </c>
    </row>
    <row r="406" customFormat="false" ht="15" hidden="false" customHeight="false" outlineLevel="0" collapsed="false">
      <c r="A406" s="0" t="s">
        <v>417</v>
      </c>
      <c r="B406" s="0" t="s">
        <v>9</v>
      </c>
    </row>
    <row r="407" customFormat="false" ht="15" hidden="false" customHeight="false" outlineLevel="0" collapsed="false">
      <c r="A407" s="0" t="s">
        <v>418</v>
      </c>
      <c r="B407" s="0" t="s">
        <v>8</v>
      </c>
    </row>
    <row r="408" customFormat="false" ht="15" hidden="false" customHeight="false" outlineLevel="0" collapsed="false">
      <c r="A408" s="0" t="s">
        <v>419</v>
      </c>
      <c r="B408" s="0" t="s">
        <v>9</v>
      </c>
    </row>
    <row r="409" customFormat="false" ht="15" hidden="false" customHeight="false" outlineLevel="0" collapsed="false">
      <c r="A409" s="0" t="s">
        <v>420</v>
      </c>
      <c r="B409" s="0" t="s">
        <v>8</v>
      </c>
    </row>
    <row r="410" customFormat="false" ht="15" hidden="false" customHeight="false" outlineLevel="0" collapsed="false">
      <c r="A410" s="0" t="s">
        <v>421</v>
      </c>
      <c r="B410" s="0" t="s">
        <v>9</v>
      </c>
    </row>
    <row r="411" customFormat="false" ht="15" hidden="false" customHeight="false" outlineLevel="0" collapsed="false">
      <c r="A411" s="0" t="s">
        <v>422</v>
      </c>
      <c r="B411" s="0" t="s">
        <v>8</v>
      </c>
    </row>
    <row r="412" customFormat="false" ht="15" hidden="false" customHeight="false" outlineLevel="0" collapsed="false">
      <c r="A412" s="0" t="s">
        <v>423</v>
      </c>
      <c r="B412" s="0" t="s">
        <v>8</v>
      </c>
    </row>
    <row r="413" customFormat="false" ht="15" hidden="false" customHeight="false" outlineLevel="0" collapsed="false">
      <c r="A413" s="0" t="s">
        <v>424</v>
      </c>
      <c r="B413" s="0" t="s">
        <v>9</v>
      </c>
    </row>
    <row r="414" customFormat="false" ht="15" hidden="false" customHeight="false" outlineLevel="0" collapsed="false">
      <c r="A414" s="0" t="s">
        <v>425</v>
      </c>
      <c r="B414" s="0" t="s">
        <v>10</v>
      </c>
    </row>
    <row r="415" customFormat="false" ht="15" hidden="false" customHeight="false" outlineLevel="0" collapsed="false">
      <c r="A415" s="0" t="s">
        <v>426</v>
      </c>
      <c r="B415" s="0" t="s">
        <v>9</v>
      </c>
    </row>
    <row r="416" customFormat="false" ht="15" hidden="false" customHeight="false" outlineLevel="0" collapsed="false">
      <c r="A416" s="0" t="s">
        <v>427</v>
      </c>
      <c r="B416" s="0" t="s">
        <v>10</v>
      </c>
    </row>
    <row r="417" customFormat="false" ht="15" hidden="false" customHeight="false" outlineLevel="0" collapsed="false">
      <c r="A417" s="0" t="s">
        <v>428</v>
      </c>
      <c r="B417" s="0" t="s">
        <v>9</v>
      </c>
    </row>
    <row r="418" customFormat="false" ht="15" hidden="false" customHeight="false" outlineLevel="0" collapsed="false">
      <c r="A418" s="0" t="s">
        <v>429</v>
      </c>
      <c r="B418" s="0" t="s">
        <v>6</v>
      </c>
    </row>
    <row r="419" customFormat="false" ht="15" hidden="false" customHeight="false" outlineLevel="0" collapsed="false">
      <c r="A419" s="0" t="s">
        <v>430</v>
      </c>
      <c r="B419" s="0" t="s">
        <v>9</v>
      </c>
    </row>
    <row r="420" customFormat="false" ht="15" hidden="false" customHeight="false" outlineLevel="0" collapsed="false">
      <c r="A420" s="0" t="s">
        <v>431</v>
      </c>
      <c r="B420" s="0" t="s">
        <v>8</v>
      </c>
    </row>
    <row r="421" customFormat="false" ht="15" hidden="false" customHeight="false" outlineLevel="0" collapsed="false">
      <c r="A421" s="0" t="s">
        <v>432</v>
      </c>
      <c r="B421" s="0" t="s">
        <v>8</v>
      </c>
    </row>
    <row r="422" customFormat="false" ht="15" hidden="false" customHeight="false" outlineLevel="0" collapsed="false">
      <c r="A422" s="0" t="s">
        <v>433</v>
      </c>
      <c r="B422" s="0" t="s">
        <v>8</v>
      </c>
    </row>
    <row r="423" customFormat="false" ht="15" hidden="false" customHeight="false" outlineLevel="0" collapsed="false">
      <c r="A423" s="0" t="s">
        <v>434</v>
      </c>
      <c r="B423" s="0" t="s">
        <v>6</v>
      </c>
    </row>
    <row r="424" customFormat="false" ht="15" hidden="false" customHeight="false" outlineLevel="0" collapsed="false">
      <c r="A424" s="0" t="s">
        <v>435</v>
      </c>
      <c r="B424" s="0" t="s">
        <v>10</v>
      </c>
    </row>
    <row r="425" customFormat="false" ht="15" hidden="false" customHeight="false" outlineLevel="0" collapsed="false">
      <c r="A425" s="0" t="s">
        <v>436</v>
      </c>
      <c r="B425" s="0" t="s">
        <v>6</v>
      </c>
    </row>
    <row r="426" customFormat="false" ht="15" hidden="false" customHeight="false" outlineLevel="0" collapsed="false">
      <c r="A426" s="0" t="s">
        <v>437</v>
      </c>
      <c r="B426" s="0" t="s">
        <v>9</v>
      </c>
    </row>
    <row r="427" customFormat="false" ht="15" hidden="false" customHeight="false" outlineLevel="0" collapsed="false">
      <c r="A427" s="0" t="s">
        <v>438</v>
      </c>
      <c r="B427" s="0" t="s">
        <v>6</v>
      </c>
    </row>
    <row r="428" customFormat="false" ht="15" hidden="false" customHeight="false" outlineLevel="0" collapsed="false">
      <c r="A428" s="0" t="s">
        <v>439</v>
      </c>
      <c r="B428" s="0" t="s">
        <v>10</v>
      </c>
    </row>
    <row r="429" customFormat="false" ht="15" hidden="false" customHeight="false" outlineLevel="0" collapsed="false">
      <c r="A429" s="0" t="s">
        <v>440</v>
      </c>
      <c r="B429" s="0" t="s">
        <v>6</v>
      </c>
    </row>
    <row r="430" customFormat="false" ht="15" hidden="false" customHeight="false" outlineLevel="0" collapsed="false">
      <c r="A430" s="0" t="s">
        <v>441</v>
      </c>
      <c r="B430" s="0" t="s">
        <v>10</v>
      </c>
    </row>
    <row r="431" customFormat="false" ht="15" hidden="false" customHeight="false" outlineLevel="0" collapsed="false">
      <c r="A431" s="0" t="s">
        <v>442</v>
      </c>
      <c r="B431" s="0" t="s">
        <v>10</v>
      </c>
    </row>
    <row r="432" customFormat="false" ht="15" hidden="false" customHeight="false" outlineLevel="0" collapsed="false">
      <c r="A432" s="0" t="s">
        <v>443</v>
      </c>
      <c r="B432" s="0" t="s">
        <v>8</v>
      </c>
    </row>
    <row r="433" customFormat="false" ht="15" hidden="false" customHeight="false" outlineLevel="0" collapsed="false">
      <c r="A433" s="0" t="s">
        <v>444</v>
      </c>
      <c r="B433" s="0" t="s">
        <v>6</v>
      </c>
    </row>
    <row r="434" customFormat="false" ht="15" hidden="false" customHeight="false" outlineLevel="0" collapsed="false">
      <c r="A434" s="0" t="s">
        <v>445</v>
      </c>
      <c r="B434" s="0" t="s">
        <v>7</v>
      </c>
    </row>
    <row r="435" customFormat="false" ht="15" hidden="false" customHeight="false" outlineLevel="0" collapsed="false">
      <c r="A435" s="0" t="s">
        <v>446</v>
      </c>
      <c r="B435" s="0" t="s">
        <v>8</v>
      </c>
    </row>
    <row r="436" customFormat="false" ht="15" hidden="false" customHeight="false" outlineLevel="0" collapsed="false">
      <c r="A436" s="0" t="s">
        <v>447</v>
      </c>
      <c r="B436" s="0" t="s">
        <v>7</v>
      </c>
    </row>
    <row r="437" customFormat="false" ht="15" hidden="false" customHeight="false" outlineLevel="0" collapsed="false">
      <c r="A437" s="0" t="s">
        <v>448</v>
      </c>
      <c r="B437" s="0" t="s">
        <v>9</v>
      </c>
    </row>
    <row r="438" customFormat="false" ht="15" hidden="false" customHeight="false" outlineLevel="0" collapsed="false">
      <c r="A438" s="0" t="s">
        <v>449</v>
      </c>
      <c r="B438" s="0" t="s">
        <v>9</v>
      </c>
    </row>
    <row r="439" customFormat="false" ht="15" hidden="false" customHeight="false" outlineLevel="0" collapsed="false">
      <c r="A439" s="0" t="s">
        <v>450</v>
      </c>
      <c r="B439" s="0" t="s">
        <v>10</v>
      </c>
    </row>
    <row r="440" customFormat="false" ht="15" hidden="false" customHeight="false" outlineLevel="0" collapsed="false">
      <c r="A440" s="0" t="s">
        <v>451</v>
      </c>
      <c r="B440" s="0" t="s">
        <v>8</v>
      </c>
    </row>
    <row r="441" customFormat="false" ht="15" hidden="false" customHeight="false" outlineLevel="0" collapsed="false">
      <c r="A441" s="0" t="s">
        <v>452</v>
      </c>
      <c r="B441" s="0" t="s">
        <v>9</v>
      </c>
    </row>
    <row r="442" customFormat="false" ht="15" hidden="false" customHeight="false" outlineLevel="0" collapsed="false">
      <c r="A442" s="0" t="s">
        <v>453</v>
      </c>
      <c r="B442" s="0" t="s">
        <v>8</v>
      </c>
    </row>
    <row r="443" customFormat="false" ht="15" hidden="false" customHeight="false" outlineLevel="0" collapsed="false">
      <c r="A443" s="0" t="s">
        <v>454</v>
      </c>
      <c r="B443" s="0" t="s">
        <v>7</v>
      </c>
    </row>
    <row r="444" customFormat="false" ht="15" hidden="false" customHeight="false" outlineLevel="0" collapsed="false">
      <c r="A444" s="0" t="s">
        <v>455</v>
      </c>
      <c r="B444" s="0" t="s">
        <v>9</v>
      </c>
    </row>
    <row r="445" customFormat="false" ht="15" hidden="false" customHeight="false" outlineLevel="0" collapsed="false">
      <c r="A445" s="0" t="s">
        <v>456</v>
      </c>
      <c r="B445" s="0" t="s">
        <v>9</v>
      </c>
    </row>
    <row r="446" customFormat="false" ht="15" hidden="false" customHeight="false" outlineLevel="0" collapsed="false">
      <c r="A446" s="0" t="s">
        <v>457</v>
      </c>
      <c r="B446" s="0" t="s">
        <v>6</v>
      </c>
    </row>
    <row r="447" customFormat="false" ht="15" hidden="false" customHeight="false" outlineLevel="0" collapsed="false">
      <c r="A447" s="0" t="s">
        <v>458</v>
      </c>
      <c r="B447" s="0" t="s">
        <v>8</v>
      </c>
    </row>
    <row r="448" customFormat="false" ht="15" hidden="false" customHeight="false" outlineLevel="0" collapsed="false">
      <c r="A448" s="0" t="s">
        <v>459</v>
      </c>
      <c r="B448" s="0" t="s">
        <v>10</v>
      </c>
    </row>
    <row r="449" customFormat="false" ht="15" hidden="false" customHeight="false" outlineLevel="0" collapsed="false">
      <c r="A449" s="0" t="s">
        <v>460</v>
      </c>
      <c r="B449" s="0" t="s">
        <v>8</v>
      </c>
    </row>
    <row r="450" customFormat="false" ht="15" hidden="false" customHeight="false" outlineLevel="0" collapsed="false">
      <c r="A450" s="0" t="s">
        <v>461</v>
      </c>
      <c r="B450" s="0" t="s">
        <v>10</v>
      </c>
    </row>
    <row r="451" customFormat="false" ht="15" hidden="false" customHeight="false" outlineLevel="0" collapsed="false">
      <c r="A451" s="0" t="s">
        <v>462</v>
      </c>
      <c r="B451" s="0" t="s">
        <v>9</v>
      </c>
    </row>
    <row r="452" customFormat="false" ht="15" hidden="false" customHeight="false" outlineLevel="0" collapsed="false">
      <c r="A452" s="0" t="s">
        <v>463</v>
      </c>
      <c r="B452" s="0" t="s">
        <v>9</v>
      </c>
    </row>
    <row r="453" customFormat="false" ht="15" hidden="false" customHeight="false" outlineLevel="0" collapsed="false">
      <c r="A453" s="0" t="s">
        <v>464</v>
      </c>
      <c r="B453" s="0" t="s">
        <v>8</v>
      </c>
    </row>
    <row r="454" customFormat="false" ht="15" hidden="false" customHeight="false" outlineLevel="0" collapsed="false">
      <c r="A454" s="0" t="s">
        <v>465</v>
      </c>
      <c r="B454" s="0" t="s">
        <v>8</v>
      </c>
    </row>
    <row r="455" customFormat="false" ht="15" hidden="false" customHeight="false" outlineLevel="0" collapsed="false">
      <c r="A455" s="0" t="s">
        <v>466</v>
      </c>
      <c r="B455" s="0" t="s">
        <v>9</v>
      </c>
    </row>
    <row r="456" customFormat="false" ht="15" hidden="false" customHeight="false" outlineLevel="0" collapsed="false">
      <c r="A456" s="0" t="s">
        <v>467</v>
      </c>
      <c r="B456" s="0" t="s">
        <v>9</v>
      </c>
    </row>
    <row r="457" customFormat="false" ht="15" hidden="false" customHeight="false" outlineLevel="0" collapsed="false">
      <c r="A457" s="0" t="s">
        <v>468</v>
      </c>
      <c r="B457" s="0" t="s">
        <v>9</v>
      </c>
    </row>
    <row r="458" customFormat="false" ht="15" hidden="false" customHeight="false" outlineLevel="0" collapsed="false">
      <c r="A458" s="0" t="s">
        <v>469</v>
      </c>
      <c r="B458" s="0" t="s">
        <v>9</v>
      </c>
    </row>
    <row r="459" customFormat="false" ht="15" hidden="false" customHeight="false" outlineLevel="0" collapsed="false">
      <c r="A459" s="0" t="s">
        <v>470</v>
      </c>
      <c r="B459" s="0" t="s">
        <v>10</v>
      </c>
    </row>
    <row r="460" customFormat="false" ht="15" hidden="false" customHeight="false" outlineLevel="0" collapsed="false">
      <c r="A460" s="0" t="s">
        <v>471</v>
      </c>
      <c r="B460" s="0" t="s">
        <v>10</v>
      </c>
    </row>
    <row r="461" customFormat="false" ht="15" hidden="false" customHeight="false" outlineLevel="0" collapsed="false">
      <c r="A461" s="0" t="s">
        <v>472</v>
      </c>
      <c r="B461" s="0" t="s">
        <v>8</v>
      </c>
    </row>
    <row r="462" customFormat="false" ht="15" hidden="false" customHeight="false" outlineLevel="0" collapsed="false">
      <c r="A462" s="0" t="s">
        <v>473</v>
      </c>
      <c r="B462" s="0" t="s">
        <v>8</v>
      </c>
    </row>
    <row r="463" customFormat="false" ht="15" hidden="false" customHeight="false" outlineLevel="0" collapsed="false">
      <c r="A463" s="0" t="s">
        <v>474</v>
      </c>
      <c r="B463" s="0" t="s">
        <v>9</v>
      </c>
    </row>
    <row r="464" customFormat="false" ht="15" hidden="false" customHeight="false" outlineLevel="0" collapsed="false">
      <c r="A464" s="0" t="s">
        <v>475</v>
      </c>
      <c r="B464" s="0" t="s">
        <v>9</v>
      </c>
    </row>
    <row r="465" customFormat="false" ht="15" hidden="false" customHeight="false" outlineLevel="0" collapsed="false">
      <c r="A465" s="0" t="s">
        <v>476</v>
      </c>
      <c r="B465" s="0" t="s">
        <v>8</v>
      </c>
    </row>
    <row r="466" customFormat="false" ht="15" hidden="false" customHeight="false" outlineLevel="0" collapsed="false">
      <c r="A466" s="0" t="s">
        <v>477</v>
      </c>
      <c r="B466" s="0" t="s">
        <v>6</v>
      </c>
    </row>
    <row r="467" customFormat="false" ht="15" hidden="false" customHeight="false" outlineLevel="0" collapsed="false">
      <c r="A467" s="0" t="s">
        <v>478</v>
      </c>
      <c r="B467" s="0" t="s">
        <v>9</v>
      </c>
    </row>
    <row r="468" customFormat="false" ht="15" hidden="false" customHeight="false" outlineLevel="0" collapsed="false">
      <c r="A468" s="0" t="s">
        <v>479</v>
      </c>
      <c r="B468" s="0" t="s">
        <v>10</v>
      </c>
    </row>
    <row r="469" customFormat="false" ht="15" hidden="false" customHeight="false" outlineLevel="0" collapsed="false">
      <c r="A469" s="0" t="s">
        <v>480</v>
      </c>
      <c r="B469" s="0" t="s">
        <v>10</v>
      </c>
    </row>
    <row r="470" customFormat="false" ht="15" hidden="false" customHeight="false" outlineLevel="0" collapsed="false">
      <c r="A470" s="0" t="s">
        <v>481</v>
      </c>
      <c r="B470" s="0" t="s">
        <v>8</v>
      </c>
    </row>
    <row r="471" customFormat="false" ht="15" hidden="false" customHeight="false" outlineLevel="0" collapsed="false">
      <c r="A471" s="0" t="s">
        <v>482</v>
      </c>
      <c r="B471" s="0" t="s">
        <v>7</v>
      </c>
    </row>
    <row r="472" customFormat="false" ht="15" hidden="false" customHeight="false" outlineLevel="0" collapsed="false">
      <c r="A472" s="0" t="s">
        <v>483</v>
      </c>
      <c r="B472" s="0" t="s">
        <v>6</v>
      </c>
    </row>
    <row r="473" customFormat="false" ht="15" hidden="false" customHeight="false" outlineLevel="0" collapsed="false">
      <c r="A473" s="0" t="s">
        <v>484</v>
      </c>
      <c r="B473" s="0" t="s">
        <v>9</v>
      </c>
    </row>
    <row r="474" customFormat="false" ht="15" hidden="false" customHeight="false" outlineLevel="0" collapsed="false">
      <c r="A474" s="0" t="s">
        <v>485</v>
      </c>
      <c r="B474" s="0" t="s">
        <v>9</v>
      </c>
    </row>
    <row r="475" customFormat="false" ht="15" hidden="false" customHeight="false" outlineLevel="0" collapsed="false">
      <c r="A475" s="0" t="s">
        <v>486</v>
      </c>
      <c r="B475" s="0" t="s">
        <v>10</v>
      </c>
    </row>
    <row r="476" customFormat="false" ht="15" hidden="false" customHeight="false" outlineLevel="0" collapsed="false">
      <c r="A476" s="0" t="s">
        <v>487</v>
      </c>
      <c r="B476" s="0" t="s">
        <v>6</v>
      </c>
    </row>
    <row r="477" customFormat="false" ht="15" hidden="false" customHeight="false" outlineLevel="0" collapsed="false">
      <c r="A477" s="0" t="s">
        <v>488</v>
      </c>
      <c r="B477" s="0" t="s">
        <v>8</v>
      </c>
    </row>
    <row r="478" customFormat="false" ht="15" hidden="false" customHeight="false" outlineLevel="0" collapsed="false">
      <c r="A478" s="0" t="s">
        <v>489</v>
      </c>
      <c r="B478" s="0" t="s">
        <v>10</v>
      </c>
    </row>
    <row r="479" customFormat="false" ht="15" hidden="false" customHeight="false" outlineLevel="0" collapsed="false">
      <c r="A479" s="0" t="s">
        <v>490</v>
      </c>
      <c r="B479" s="0" t="s">
        <v>10</v>
      </c>
    </row>
    <row r="480" customFormat="false" ht="15" hidden="false" customHeight="false" outlineLevel="0" collapsed="false">
      <c r="A480" s="0" t="s">
        <v>491</v>
      </c>
      <c r="B480" s="0" t="s">
        <v>10</v>
      </c>
    </row>
    <row r="481" customFormat="false" ht="15" hidden="false" customHeight="false" outlineLevel="0" collapsed="false">
      <c r="A481" s="0" t="s">
        <v>492</v>
      </c>
      <c r="B481" s="0" t="s">
        <v>9</v>
      </c>
    </row>
    <row r="482" customFormat="false" ht="15" hidden="false" customHeight="false" outlineLevel="0" collapsed="false">
      <c r="A482" s="0" t="s">
        <v>493</v>
      </c>
      <c r="B482" s="0" t="s">
        <v>10</v>
      </c>
    </row>
    <row r="483" customFormat="false" ht="15" hidden="false" customHeight="false" outlineLevel="0" collapsed="false">
      <c r="A483" s="0" t="s">
        <v>494</v>
      </c>
      <c r="B483" s="0" t="s">
        <v>10</v>
      </c>
    </row>
    <row r="484" customFormat="false" ht="15" hidden="false" customHeight="false" outlineLevel="0" collapsed="false">
      <c r="A484" s="0" t="s">
        <v>495</v>
      </c>
      <c r="B484" s="0" t="s">
        <v>6</v>
      </c>
    </row>
    <row r="485" customFormat="false" ht="15" hidden="false" customHeight="false" outlineLevel="0" collapsed="false">
      <c r="A485" s="0" t="s">
        <v>496</v>
      </c>
      <c r="B485" s="0" t="s">
        <v>9</v>
      </c>
    </row>
    <row r="486" customFormat="false" ht="15" hidden="false" customHeight="false" outlineLevel="0" collapsed="false">
      <c r="A486" s="0" t="s">
        <v>497</v>
      </c>
      <c r="B486" s="0" t="s">
        <v>6</v>
      </c>
    </row>
    <row r="487" customFormat="false" ht="15" hidden="false" customHeight="false" outlineLevel="0" collapsed="false">
      <c r="A487" s="0" t="s">
        <v>498</v>
      </c>
      <c r="B487" s="0" t="s">
        <v>8</v>
      </c>
    </row>
    <row r="488" customFormat="false" ht="15" hidden="false" customHeight="false" outlineLevel="0" collapsed="false">
      <c r="A488" s="0" t="s">
        <v>499</v>
      </c>
      <c r="B488" s="0" t="s">
        <v>10</v>
      </c>
    </row>
    <row r="489" customFormat="false" ht="15" hidden="false" customHeight="false" outlineLevel="0" collapsed="false">
      <c r="A489" s="0" t="s">
        <v>500</v>
      </c>
      <c r="B489" s="0" t="s">
        <v>10</v>
      </c>
    </row>
    <row r="490" customFormat="false" ht="15" hidden="false" customHeight="false" outlineLevel="0" collapsed="false">
      <c r="A490" s="0" t="s">
        <v>501</v>
      </c>
      <c r="B490" s="0" t="s">
        <v>6</v>
      </c>
    </row>
    <row r="491" customFormat="false" ht="15" hidden="false" customHeight="false" outlineLevel="0" collapsed="false">
      <c r="A491" s="0" t="s">
        <v>502</v>
      </c>
      <c r="B491" s="0" t="s">
        <v>10</v>
      </c>
    </row>
    <row r="492" customFormat="false" ht="15" hidden="false" customHeight="false" outlineLevel="0" collapsed="false">
      <c r="A492" s="0" t="s">
        <v>503</v>
      </c>
      <c r="B492" s="0" t="s">
        <v>8</v>
      </c>
    </row>
    <row r="493" customFormat="false" ht="15" hidden="false" customHeight="false" outlineLevel="0" collapsed="false">
      <c r="A493" s="0" t="s">
        <v>504</v>
      </c>
      <c r="B493" s="0" t="s">
        <v>6</v>
      </c>
    </row>
    <row r="494" customFormat="false" ht="15" hidden="false" customHeight="false" outlineLevel="0" collapsed="false">
      <c r="A494" s="0" t="s">
        <v>505</v>
      </c>
      <c r="B494" s="0" t="s">
        <v>10</v>
      </c>
    </row>
    <row r="495" customFormat="false" ht="15" hidden="false" customHeight="false" outlineLevel="0" collapsed="false">
      <c r="A495" s="0" t="s">
        <v>506</v>
      </c>
      <c r="B495" s="0" t="s">
        <v>8</v>
      </c>
    </row>
    <row r="496" customFormat="false" ht="15" hidden="false" customHeight="false" outlineLevel="0" collapsed="false">
      <c r="A496" s="0" t="s">
        <v>507</v>
      </c>
      <c r="B496" s="0" t="s">
        <v>9</v>
      </c>
    </row>
    <row r="497" customFormat="false" ht="15" hidden="false" customHeight="false" outlineLevel="0" collapsed="false">
      <c r="A497" s="0" t="s">
        <v>508</v>
      </c>
      <c r="B497" s="0" t="s">
        <v>9</v>
      </c>
    </row>
    <row r="498" customFormat="false" ht="15" hidden="false" customHeight="false" outlineLevel="0" collapsed="false">
      <c r="A498" s="0" t="s">
        <v>509</v>
      </c>
      <c r="B498" s="0" t="s">
        <v>6</v>
      </c>
    </row>
    <row r="499" customFormat="false" ht="15" hidden="false" customHeight="false" outlineLevel="0" collapsed="false">
      <c r="A499" s="0" t="s">
        <v>510</v>
      </c>
      <c r="B499" s="0" t="s">
        <v>6</v>
      </c>
    </row>
    <row r="500" customFormat="false" ht="15" hidden="false" customHeight="false" outlineLevel="0" collapsed="false">
      <c r="A500" s="0" t="s">
        <v>511</v>
      </c>
      <c r="B500" s="0" t="s">
        <v>10</v>
      </c>
    </row>
    <row r="501" customFormat="false" ht="15" hidden="false" customHeight="false" outlineLevel="0" collapsed="false">
      <c r="A501" s="0" t="s">
        <v>512</v>
      </c>
      <c r="B501" s="0" t="s">
        <v>8</v>
      </c>
    </row>
    <row r="502" customFormat="false" ht="15" hidden="false" customHeight="false" outlineLevel="0" collapsed="false">
      <c r="A502" s="0" t="s">
        <v>513</v>
      </c>
      <c r="B502" s="0" t="s">
        <v>8</v>
      </c>
    </row>
    <row r="503" customFormat="false" ht="15" hidden="false" customHeight="false" outlineLevel="0" collapsed="false">
      <c r="A503" s="0" t="s">
        <v>514</v>
      </c>
      <c r="B503" s="0" t="s">
        <v>9</v>
      </c>
    </row>
    <row r="504" customFormat="false" ht="15" hidden="false" customHeight="false" outlineLevel="0" collapsed="false">
      <c r="A504" s="0" t="s">
        <v>515</v>
      </c>
      <c r="B504" s="0" t="s">
        <v>9</v>
      </c>
    </row>
    <row r="505" customFormat="false" ht="15" hidden="false" customHeight="false" outlineLevel="0" collapsed="false">
      <c r="A505" s="0" t="s">
        <v>516</v>
      </c>
      <c r="B505" s="0" t="s">
        <v>6</v>
      </c>
    </row>
    <row r="506" customFormat="false" ht="15" hidden="false" customHeight="false" outlineLevel="0" collapsed="false">
      <c r="A506" s="0" t="s">
        <v>517</v>
      </c>
      <c r="B506" s="0" t="s">
        <v>8</v>
      </c>
    </row>
    <row r="507" customFormat="false" ht="15" hidden="false" customHeight="false" outlineLevel="0" collapsed="false">
      <c r="A507" s="0" t="s">
        <v>518</v>
      </c>
      <c r="B507" s="0" t="s">
        <v>6</v>
      </c>
    </row>
    <row r="508" customFormat="false" ht="15" hidden="false" customHeight="false" outlineLevel="0" collapsed="false">
      <c r="A508" s="0" t="s">
        <v>519</v>
      </c>
      <c r="B508" s="0" t="s">
        <v>8</v>
      </c>
    </row>
    <row r="509" customFormat="false" ht="15" hidden="false" customHeight="false" outlineLevel="0" collapsed="false">
      <c r="A509" s="0" t="s">
        <v>520</v>
      </c>
      <c r="B509" s="0" t="s">
        <v>10</v>
      </c>
    </row>
    <row r="510" customFormat="false" ht="15" hidden="false" customHeight="false" outlineLevel="0" collapsed="false">
      <c r="A510" s="0" t="s">
        <v>521</v>
      </c>
      <c r="B510" s="0" t="s">
        <v>9</v>
      </c>
    </row>
    <row r="511" customFormat="false" ht="15" hidden="false" customHeight="false" outlineLevel="0" collapsed="false">
      <c r="A511" s="0" t="s">
        <v>522</v>
      </c>
      <c r="B511" s="0" t="s">
        <v>9</v>
      </c>
    </row>
    <row r="512" customFormat="false" ht="15" hidden="false" customHeight="false" outlineLevel="0" collapsed="false">
      <c r="A512" s="0" t="s">
        <v>523</v>
      </c>
      <c r="B512" s="0" t="s">
        <v>8</v>
      </c>
    </row>
    <row r="513" customFormat="false" ht="15" hidden="false" customHeight="false" outlineLevel="0" collapsed="false">
      <c r="A513" s="0" t="s">
        <v>524</v>
      </c>
      <c r="B513" s="0" t="s">
        <v>10</v>
      </c>
    </row>
    <row r="514" customFormat="false" ht="15" hidden="false" customHeight="false" outlineLevel="0" collapsed="false">
      <c r="A514" s="0" t="s">
        <v>525</v>
      </c>
      <c r="B514" s="0" t="s">
        <v>9</v>
      </c>
    </row>
    <row r="515" customFormat="false" ht="15" hidden="false" customHeight="false" outlineLevel="0" collapsed="false">
      <c r="A515" s="0" t="s">
        <v>526</v>
      </c>
      <c r="B515" s="0" t="s">
        <v>8</v>
      </c>
    </row>
    <row r="516" customFormat="false" ht="15" hidden="false" customHeight="false" outlineLevel="0" collapsed="false">
      <c r="A516" s="0" t="s">
        <v>527</v>
      </c>
      <c r="B516" s="0" t="s">
        <v>10</v>
      </c>
    </row>
    <row r="517" customFormat="false" ht="15" hidden="false" customHeight="false" outlineLevel="0" collapsed="false">
      <c r="A517" s="0" t="s">
        <v>528</v>
      </c>
      <c r="B517" s="0" t="s">
        <v>9</v>
      </c>
    </row>
    <row r="518" customFormat="false" ht="15" hidden="false" customHeight="false" outlineLevel="0" collapsed="false">
      <c r="A518" s="0" t="s">
        <v>529</v>
      </c>
      <c r="B518" s="0" t="s">
        <v>9</v>
      </c>
    </row>
    <row r="519" customFormat="false" ht="15" hidden="false" customHeight="false" outlineLevel="0" collapsed="false">
      <c r="A519" s="0" t="s">
        <v>530</v>
      </c>
      <c r="B519" s="0" t="s">
        <v>10</v>
      </c>
    </row>
    <row r="520" customFormat="false" ht="15" hidden="false" customHeight="false" outlineLevel="0" collapsed="false">
      <c r="A520" s="0" t="s">
        <v>531</v>
      </c>
      <c r="B520" s="0" t="s">
        <v>9</v>
      </c>
    </row>
    <row r="521" customFormat="false" ht="15" hidden="false" customHeight="false" outlineLevel="0" collapsed="false">
      <c r="A521" s="0" t="s">
        <v>532</v>
      </c>
      <c r="B521" s="0" t="s">
        <v>9</v>
      </c>
    </row>
    <row r="522" customFormat="false" ht="15" hidden="false" customHeight="false" outlineLevel="0" collapsed="false">
      <c r="A522" s="0" t="s">
        <v>533</v>
      </c>
      <c r="B522" s="0" t="s">
        <v>6</v>
      </c>
    </row>
    <row r="523" customFormat="false" ht="15" hidden="false" customHeight="false" outlineLevel="0" collapsed="false">
      <c r="A523" s="0" t="s">
        <v>534</v>
      </c>
      <c r="B523" s="0" t="s">
        <v>10</v>
      </c>
    </row>
    <row r="524" customFormat="false" ht="15" hidden="false" customHeight="false" outlineLevel="0" collapsed="false">
      <c r="A524" s="0" t="s">
        <v>535</v>
      </c>
      <c r="B524" s="0" t="s">
        <v>6</v>
      </c>
    </row>
    <row r="525" customFormat="false" ht="15" hidden="false" customHeight="false" outlineLevel="0" collapsed="false">
      <c r="A525" s="0" t="s">
        <v>536</v>
      </c>
      <c r="B525" s="0" t="s">
        <v>6</v>
      </c>
    </row>
    <row r="526" customFormat="false" ht="15" hidden="false" customHeight="false" outlineLevel="0" collapsed="false">
      <c r="A526" s="0" t="s">
        <v>537</v>
      </c>
      <c r="B526" s="0" t="s">
        <v>10</v>
      </c>
    </row>
    <row r="527" customFormat="false" ht="15" hidden="false" customHeight="false" outlineLevel="0" collapsed="false">
      <c r="A527" s="0" t="s">
        <v>538</v>
      </c>
      <c r="B527" s="0" t="s">
        <v>10</v>
      </c>
    </row>
    <row r="528" customFormat="false" ht="15" hidden="false" customHeight="false" outlineLevel="0" collapsed="false">
      <c r="A528" s="0" t="s">
        <v>539</v>
      </c>
      <c r="B528" s="0" t="s">
        <v>10</v>
      </c>
    </row>
    <row r="529" customFormat="false" ht="15" hidden="false" customHeight="false" outlineLevel="0" collapsed="false">
      <c r="A529" s="0" t="s">
        <v>540</v>
      </c>
      <c r="B529" s="0" t="s">
        <v>8</v>
      </c>
    </row>
    <row r="530" customFormat="false" ht="15" hidden="false" customHeight="false" outlineLevel="0" collapsed="false">
      <c r="A530" s="0" t="s">
        <v>541</v>
      </c>
      <c r="B530" s="0" t="s">
        <v>6</v>
      </c>
    </row>
    <row r="531" customFormat="false" ht="15" hidden="false" customHeight="false" outlineLevel="0" collapsed="false">
      <c r="A531" s="0" t="s">
        <v>542</v>
      </c>
      <c r="B531" s="0" t="s">
        <v>10</v>
      </c>
    </row>
    <row r="532" customFormat="false" ht="15" hidden="false" customHeight="false" outlineLevel="0" collapsed="false">
      <c r="A532" s="0" t="s">
        <v>543</v>
      </c>
      <c r="B532" s="0" t="s">
        <v>10</v>
      </c>
    </row>
    <row r="533" customFormat="false" ht="15" hidden="false" customHeight="false" outlineLevel="0" collapsed="false">
      <c r="A533" s="0" t="s">
        <v>544</v>
      </c>
      <c r="B533" s="0" t="s">
        <v>9</v>
      </c>
    </row>
    <row r="534" customFormat="false" ht="15" hidden="false" customHeight="false" outlineLevel="0" collapsed="false">
      <c r="A534" s="0" t="s">
        <v>545</v>
      </c>
      <c r="B534" s="0" t="s">
        <v>10</v>
      </c>
    </row>
    <row r="535" customFormat="false" ht="15" hidden="false" customHeight="false" outlineLevel="0" collapsed="false">
      <c r="A535" s="0" t="s">
        <v>546</v>
      </c>
      <c r="B535" s="0" t="s">
        <v>6</v>
      </c>
    </row>
    <row r="536" customFormat="false" ht="15" hidden="false" customHeight="false" outlineLevel="0" collapsed="false">
      <c r="A536" s="0" t="s">
        <v>547</v>
      </c>
      <c r="B536" s="0" t="s">
        <v>10</v>
      </c>
    </row>
    <row r="537" customFormat="false" ht="15" hidden="false" customHeight="false" outlineLevel="0" collapsed="false">
      <c r="A537" s="0" t="s">
        <v>548</v>
      </c>
      <c r="B537" s="0" t="s">
        <v>6</v>
      </c>
    </row>
    <row r="538" customFormat="false" ht="15" hidden="false" customHeight="false" outlineLevel="0" collapsed="false">
      <c r="A538" s="0" t="s">
        <v>549</v>
      </c>
      <c r="B538" s="0" t="s">
        <v>7</v>
      </c>
    </row>
    <row r="539" customFormat="false" ht="15" hidden="false" customHeight="false" outlineLevel="0" collapsed="false">
      <c r="A539" s="0" t="s">
        <v>550</v>
      </c>
      <c r="B539" s="0" t="s">
        <v>9</v>
      </c>
    </row>
    <row r="540" customFormat="false" ht="15" hidden="false" customHeight="false" outlineLevel="0" collapsed="false">
      <c r="A540" s="0" t="s">
        <v>551</v>
      </c>
      <c r="B540" s="0" t="s">
        <v>8</v>
      </c>
    </row>
    <row r="541" customFormat="false" ht="15" hidden="false" customHeight="false" outlineLevel="0" collapsed="false">
      <c r="A541" s="0" t="s">
        <v>552</v>
      </c>
      <c r="B541" s="0" t="s">
        <v>9</v>
      </c>
    </row>
    <row r="542" customFormat="false" ht="15" hidden="false" customHeight="false" outlineLevel="0" collapsed="false">
      <c r="A542" s="0" t="s">
        <v>553</v>
      </c>
      <c r="B542" s="0" t="s">
        <v>8</v>
      </c>
    </row>
    <row r="543" customFormat="false" ht="15" hidden="false" customHeight="false" outlineLevel="0" collapsed="false">
      <c r="A543" s="0" t="s">
        <v>554</v>
      </c>
      <c r="B543" s="0" t="s">
        <v>9</v>
      </c>
    </row>
    <row r="544" customFormat="false" ht="15" hidden="false" customHeight="false" outlineLevel="0" collapsed="false">
      <c r="A544" s="0" t="s">
        <v>555</v>
      </c>
      <c r="B544" s="0" t="s">
        <v>9</v>
      </c>
    </row>
    <row r="545" customFormat="false" ht="15" hidden="false" customHeight="false" outlineLevel="0" collapsed="false">
      <c r="A545" s="0" t="s">
        <v>556</v>
      </c>
      <c r="B545" s="0" t="s">
        <v>10</v>
      </c>
    </row>
    <row r="546" customFormat="false" ht="15" hidden="false" customHeight="false" outlineLevel="0" collapsed="false">
      <c r="A546" s="0" t="s">
        <v>557</v>
      </c>
      <c r="B546" s="0" t="s">
        <v>6</v>
      </c>
    </row>
    <row r="547" customFormat="false" ht="15" hidden="false" customHeight="false" outlineLevel="0" collapsed="false">
      <c r="A547" s="0" t="s">
        <v>558</v>
      </c>
      <c r="B547" s="0" t="s">
        <v>9</v>
      </c>
    </row>
    <row r="548" customFormat="false" ht="15" hidden="false" customHeight="false" outlineLevel="0" collapsed="false">
      <c r="A548" s="0" t="s">
        <v>559</v>
      </c>
      <c r="B548" s="0" t="s">
        <v>9</v>
      </c>
    </row>
    <row r="549" customFormat="false" ht="15" hidden="false" customHeight="false" outlineLevel="0" collapsed="false">
      <c r="A549" s="0" t="s">
        <v>560</v>
      </c>
      <c r="B549" s="0" t="s">
        <v>7</v>
      </c>
    </row>
    <row r="550" customFormat="false" ht="15" hidden="false" customHeight="false" outlineLevel="0" collapsed="false">
      <c r="A550" s="0" t="s">
        <v>561</v>
      </c>
      <c r="B550" s="0" t="s">
        <v>9</v>
      </c>
    </row>
    <row r="551" customFormat="false" ht="15" hidden="false" customHeight="false" outlineLevel="0" collapsed="false">
      <c r="A551" s="0" t="s">
        <v>562</v>
      </c>
      <c r="B551" s="0" t="s">
        <v>8</v>
      </c>
    </row>
    <row r="552" customFormat="false" ht="15" hidden="false" customHeight="false" outlineLevel="0" collapsed="false">
      <c r="A552" s="0" t="s">
        <v>563</v>
      </c>
      <c r="B552" s="0" t="s">
        <v>9</v>
      </c>
    </row>
    <row r="553" customFormat="false" ht="15" hidden="false" customHeight="false" outlineLevel="0" collapsed="false">
      <c r="A553" s="0" t="s">
        <v>564</v>
      </c>
      <c r="B553" s="0" t="s">
        <v>9</v>
      </c>
    </row>
    <row r="554" customFormat="false" ht="15" hidden="false" customHeight="false" outlineLevel="0" collapsed="false">
      <c r="A554" s="0" t="s">
        <v>565</v>
      </c>
      <c r="B554" s="0" t="s">
        <v>10</v>
      </c>
    </row>
    <row r="555" customFormat="false" ht="15" hidden="false" customHeight="false" outlineLevel="0" collapsed="false">
      <c r="A555" s="0" t="s">
        <v>566</v>
      </c>
      <c r="B555" s="0" t="s">
        <v>8</v>
      </c>
    </row>
    <row r="556" customFormat="false" ht="15" hidden="false" customHeight="false" outlineLevel="0" collapsed="false">
      <c r="A556" s="0" t="s">
        <v>567</v>
      </c>
      <c r="B556" s="0" t="s">
        <v>9</v>
      </c>
    </row>
    <row r="557" customFormat="false" ht="15" hidden="false" customHeight="false" outlineLevel="0" collapsed="false">
      <c r="A557" s="0" t="s">
        <v>568</v>
      </c>
      <c r="B557" s="0" t="s">
        <v>8</v>
      </c>
    </row>
    <row r="558" customFormat="false" ht="15" hidden="false" customHeight="false" outlineLevel="0" collapsed="false">
      <c r="A558" s="0" t="s">
        <v>569</v>
      </c>
      <c r="B558" s="0" t="s">
        <v>6</v>
      </c>
    </row>
    <row r="559" customFormat="false" ht="15" hidden="false" customHeight="false" outlineLevel="0" collapsed="false">
      <c r="A559" s="0" t="s">
        <v>570</v>
      </c>
      <c r="B559" s="0" t="s">
        <v>9</v>
      </c>
    </row>
    <row r="560" customFormat="false" ht="15" hidden="false" customHeight="false" outlineLevel="0" collapsed="false">
      <c r="A560" s="0" t="s">
        <v>571</v>
      </c>
      <c r="B560" s="0" t="s">
        <v>9</v>
      </c>
    </row>
    <row r="561" customFormat="false" ht="15" hidden="false" customHeight="false" outlineLevel="0" collapsed="false">
      <c r="A561" s="0" t="s">
        <v>572</v>
      </c>
      <c r="B561" s="0" t="s">
        <v>10</v>
      </c>
    </row>
    <row r="562" customFormat="false" ht="15" hidden="false" customHeight="false" outlineLevel="0" collapsed="false">
      <c r="A562" s="0" t="s">
        <v>573</v>
      </c>
      <c r="B562" s="0" t="s">
        <v>8</v>
      </c>
    </row>
    <row r="563" customFormat="false" ht="15" hidden="false" customHeight="false" outlineLevel="0" collapsed="false">
      <c r="A563" s="0" t="s">
        <v>574</v>
      </c>
      <c r="B563" s="0" t="s">
        <v>10</v>
      </c>
    </row>
    <row r="564" customFormat="false" ht="15" hidden="false" customHeight="false" outlineLevel="0" collapsed="false">
      <c r="A564" s="0" t="s">
        <v>575</v>
      </c>
      <c r="B564" s="0" t="s">
        <v>9</v>
      </c>
    </row>
    <row r="565" customFormat="false" ht="15" hidden="false" customHeight="false" outlineLevel="0" collapsed="false">
      <c r="A565" s="0" t="s">
        <v>576</v>
      </c>
      <c r="B565" s="0" t="s">
        <v>6</v>
      </c>
    </row>
    <row r="566" customFormat="false" ht="15" hidden="false" customHeight="false" outlineLevel="0" collapsed="false">
      <c r="A566" s="0" t="s">
        <v>577</v>
      </c>
      <c r="B566" s="0" t="s">
        <v>8</v>
      </c>
    </row>
    <row r="567" customFormat="false" ht="15" hidden="false" customHeight="false" outlineLevel="0" collapsed="false">
      <c r="A567" s="0" t="s">
        <v>578</v>
      </c>
      <c r="B567" s="0" t="s">
        <v>10</v>
      </c>
    </row>
    <row r="568" customFormat="false" ht="15" hidden="false" customHeight="false" outlineLevel="0" collapsed="false">
      <c r="A568" s="0" t="s">
        <v>579</v>
      </c>
      <c r="B568" s="0" t="s">
        <v>10</v>
      </c>
    </row>
    <row r="569" customFormat="false" ht="15" hidden="false" customHeight="false" outlineLevel="0" collapsed="false">
      <c r="A569" s="0" t="s">
        <v>580</v>
      </c>
      <c r="B569" s="0" t="s">
        <v>7</v>
      </c>
    </row>
    <row r="570" customFormat="false" ht="15" hidden="false" customHeight="false" outlineLevel="0" collapsed="false">
      <c r="A570" s="0" t="s">
        <v>581</v>
      </c>
      <c r="B570" s="0" t="s">
        <v>9</v>
      </c>
    </row>
    <row r="571" customFormat="false" ht="15" hidden="false" customHeight="false" outlineLevel="0" collapsed="false">
      <c r="A571" s="0" t="s">
        <v>582</v>
      </c>
      <c r="B571" s="0" t="s">
        <v>10</v>
      </c>
    </row>
    <row r="572" customFormat="false" ht="15" hidden="false" customHeight="false" outlineLevel="0" collapsed="false">
      <c r="A572" s="0" t="s">
        <v>583</v>
      </c>
      <c r="B572" s="0" t="s">
        <v>9</v>
      </c>
    </row>
    <row r="573" customFormat="false" ht="15" hidden="false" customHeight="false" outlineLevel="0" collapsed="false">
      <c r="A573" s="0" t="s">
        <v>584</v>
      </c>
      <c r="B573" s="0" t="s">
        <v>10</v>
      </c>
    </row>
    <row r="574" customFormat="false" ht="15" hidden="false" customHeight="false" outlineLevel="0" collapsed="false">
      <c r="A574" s="0" t="s">
        <v>585</v>
      </c>
      <c r="B574" s="0" t="s">
        <v>9</v>
      </c>
    </row>
    <row r="575" customFormat="false" ht="15" hidden="false" customHeight="false" outlineLevel="0" collapsed="false">
      <c r="A575" s="0" t="s">
        <v>586</v>
      </c>
      <c r="B575" s="0" t="s">
        <v>7</v>
      </c>
    </row>
    <row r="576" customFormat="false" ht="15" hidden="false" customHeight="false" outlineLevel="0" collapsed="false">
      <c r="A576" s="0" t="s">
        <v>587</v>
      </c>
      <c r="B576" s="0" t="s">
        <v>6</v>
      </c>
    </row>
    <row r="577" customFormat="false" ht="15" hidden="false" customHeight="false" outlineLevel="0" collapsed="false">
      <c r="A577" s="0" t="s">
        <v>588</v>
      </c>
      <c r="B577" s="0" t="s">
        <v>8</v>
      </c>
    </row>
    <row r="578" customFormat="false" ht="15" hidden="false" customHeight="false" outlineLevel="0" collapsed="false">
      <c r="A578" s="0" t="s">
        <v>589</v>
      </c>
      <c r="B578" s="0" t="s">
        <v>9</v>
      </c>
    </row>
    <row r="579" customFormat="false" ht="15" hidden="false" customHeight="false" outlineLevel="0" collapsed="false">
      <c r="A579" s="0" t="s">
        <v>590</v>
      </c>
      <c r="B579" s="0" t="s">
        <v>9</v>
      </c>
    </row>
    <row r="580" customFormat="false" ht="15" hidden="false" customHeight="false" outlineLevel="0" collapsed="false">
      <c r="A580" s="0" t="s">
        <v>591</v>
      </c>
      <c r="B580" s="0" t="s">
        <v>8</v>
      </c>
    </row>
    <row r="581" customFormat="false" ht="15" hidden="false" customHeight="false" outlineLevel="0" collapsed="false">
      <c r="A581" s="0" t="s">
        <v>592</v>
      </c>
      <c r="B581" s="0" t="s">
        <v>10</v>
      </c>
    </row>
    <row r="582" customFormat="false" ht="15" hidden="false" customHeight="false" outlineLevel="0" collapsed="false">
      <c r="A582" s="0" t="s">
        <v>593</v>
      </c>
      <c r="B582" s="0" t="s">
        <v>9</v>
      </c>
    </row>
    <row r="583" customFormat="false" ht="15" hidden="false" customHeight="false" outlineLevel="0" collapsed="false">
      <c r="A583" s="0" t="s">
        <v>594</v>
      </c>
      <c r="B583" s="0" t="s">
        <v>10</v>
      </c>
    </row>
    <row r="584" customFormat="false" ht="15" hidden="false" customHeight="false" outlineLevel="0" collapsed="false">
      <c r="A584" s="0" t="s">
        <v>595</v>
      </c>
      <c r="B584" s="0" t="s">
        <v>9</v>
      </c>
    </row>
    <row r="585" customFormat="false" ht="15" hidden="false" customHeight="false" outlineLevel="0" collapsed="false">
      <c r="A585" s="0" t="s">
        <v>596</v>
      </c>
      <c r="B585" s="0" t="s">
        <v>10</v>
      </c>
    </row>
    <row r="586" customFormat="false" ht="15" hidden="false" customHeight="false" outlineLevel="0" collapsed="false">
      <c r="A586" s="0" t="s">
        <v>597</v>
      </c>
      <c r="B586" s="0" t="s">
        <v>10</v>
      </c>
    </row>
    <row r="587" customFormat="false" ht="15" hidden="false" customHeight="false" outlineLevel="0" collapsed="false">
      <c r="A587" s="0" t="s">
        <v>598</v>
      </c>
      <c r="B587" s="0" t="s">
        <v>10</v>
      </c>
    </row>
    <row r="588" customFormat="false" ht="15" hidden="false" customHeight="false" outlineLevel="0" collapsed="false">
      <c r="A588" s="0" t="s">
        <v>599</v>
      </c>
      <c r="B588" s="0" t="s">
        <v>8</v>
      </c>
    </row>
    <row r="589" customFormat="false" ht="15" hidden="false" customHeight="false" outlineLevel="0" collapsed="false">
      <c r="A589" s="0" t="s">
        <v>600</v>
      </c>
      <c r="B589" s="0" t="s">
        <v>8</v>
      </c>
    </row>
    <row r="590" customFormat="false" ht="15" hidden="false" customHeight="false" outlineLevel="0" collapsed="false">
      <c r="A590" s="0" t="s">
        <v>601</v>
      </c>
      <c r="B590" s="0" t="s">
        <v>10</v>
      </c>
    </row>
    <row r="591" customFormat="false" ht="15" hidden="false" customHeight="false" outlineLevel="0" collapsed="false">
      <c r="A591" s="0" t="s">
        <v>602</v>
      </c>
      <c r="B591" s="0" t="s">
        <v>8</v>
      </c>
    </row>
    <row r="592" customFormat="false" ht="15" hidden="false" customHeight="false" outlineLevel="0" collapsed="false">
      <c r="A592" s="0" t="s">
        <v>603</v>
      </c>
      <c r="B592" s="0" t="s">
        <v>10</v>
      </c>
    </row>
    <row r="593" customFormat="false" ht="15" hidden="false" customHeight="false" outlineLevel="0" collapsed="false">
      <c r="A593" s="0" t="s">
        <v>604</v>
      </c>
      <c r="B593" s="0" t="s">
        <v>8</v>
      </c>
    </row>
    <row r="594" customFormat="false" ht="15" hidden="false" customHeight="false" outlineLevel="0" collapsed="false">
      <c r="A594" s="0" t="s">
        <v>605</v>
      </c>
      <c r="B594" s="0" t="s">
        <v>9</v>
      </c>
    </row>
    <row r="595" customFormat="false" ht="15" hidden="false" customHeight="false" outlineLevel="0" collapsed="false">
      <c r="A595" s="0" t="s">
        <v>606</v>
      </c>
      <c r="B595" s="0" t="s">
        <v>7</v>
      </c>
    </row>
    <row r="596" customFormat="false" ht="15" hidden="false" customHeight="false" outlineLevel="0" collapsed="false">
      <c r="A596" s="0" t="s">
        <v>607</v>
      </c>
      <c r="B596" s="0" t="s">
        <v>8</v>
      </c>
    </row>
    <row r="597" customFormat="false" ht="15" hidden="false" customHeight="false" outlineLevel="0" collapsed="false">
      <c r="A597" s="0" t="s">
        <v>608</v>
      </c>
      <c r="B597" s="0" t="s">
        <v>10</v>
      </c>
    </row>
    <row r="598" customFormat="false" ht="15" hidden="false" customHeight="false" outlineLevel="0" collapsed="false">
      <c r="A598" s="0" t="s">
        <v>609</v>
      </c>
      <c r="B598" s="0" t="s">
        <v>9</v>
      </c>
    </row>
    <row r="599" customFormat="false" ht="15" hidden="false" customHeight="false" outlineLevel="0" collapsed="false">
      <c r="A599" s="0" t="s">
        <v>610</v>
      </c>
      <c r="B599" s="0" t="s">
        <v>8</v>
      </c>
    </row>
    <row r="600" customFormat="false" ht="15" hidden="false" customHeight="false" outlineLevel="0" collapsed="false">
      <c r="A600" s="0" t="s">
        <v>611</v>
      </c>
      <c r="B600" s="0" t="s">
        <v>9</v>
      </c>
    </row>
    <row r="601" customFormat="false" ht="15" hidden="false" customHeight="false" outlineLevel="0" collapsed="false">
      <c r="A601" s="0" t="s">
        <v>612</v>
      </c>
      <c r="B601" s="0" t="s">
        <v>10</v>
      </c>
    </row>
    <row r="602" customFormat="false" ht="15" hidden="false" customHeight="false" outlineLevel="0" collapsed="false">
      <c r="A602" s="0" t="s">
        <v>613</v>
      </c>
      <c r="B602" s="0" t="s">
        <v>6</v>
      </c>
    </row>
    <row r="603" customFormat="false" ht="15" hidden="false" customHeight="false" outlineLevel="0" collapsed="false">
      <c r="A603" s="0" t="s">
        <v>614</v>
      </c>
      <c r="B603" s="0" t="s">
        <v>9</v>
      </c>
    </row>
    <row r="604" customFormat="false" ht="15" hidden="false" customHeight="false" outlineLevel="0" collapsed="false">
      <c r="A604" s="0" t="s">
        <v>615</v>
      </c>
      <c r="B604" s="0" t="s">
        <v>10</v>
      </c>
    </row>
    <row r="605" customFormat="false" ht="15" hidden="false" customHeight="false" outlineLevel="0" collapsed="false">
      <c r="A605" s="0" t="s">
        <v>616</v>
      </c>
      <c r="B605" s="0" t="s">
        <v>6</v>
      </c>
    </row>
    <row r="606" customFormat="false" ht="15" hidden="false" customHeight="false" outlineLevel="0" collapsed="false">
      <c r="A606" s="0" t="s">
        <v>617</v>
      </c>
      <c r="B606" s="0" t="s">
        <v>9</v>
      </c>
    </row>
    <row r="607" customFormat="false" ht="15" hidden="false" customHeight="false" outlineLevel="0" collapsed="false">
      <c r="A607" s="0" t="s">
        <v>618</v>
      </c>
      <c r="B607" s="0" t="s">
        <v>8</v>
      </c>
    </row>
    <row r="608" customFormat="false" ht="15" hidden="false" customHeight="false" outlineLevel="0" collapsed="false">
      <c r="A608" s="0" t="s">
        <v>619</v>
      </c>
      <c r="B608" s="0" t="s">
        <v>8</v>
      </c>
    </row>
    <row r="609" customFormat="false" ht="15" hidden="false" customHeight="false" outlineLevel="0" collapsed="false">
      <c r="A609" s="0" t="s">
        <v>620</v>
      </c>
      <c r="B609" s="0" t="s">
        <v>7</v>
      </c>
    </row>
    <row r="610" customFormat="false" ht="15" hidden="false" customHeight="false" outlineLevel="0" collapsed="false">
      <c r="A610" s="0" t="s">
        <v>621</v>
      </c>
      <c r="B610" s="0" t="s">
        <v>6</v>
      </c>
    </row>
    <row r="611" customFormat="false" ht="15" hidden="false" customHeight="false" outlineLevel="0" collapsed="false">
      <c r="A611" s="0" t="s">
        <v>622</v>
      </c>
      <c r="B611" s="0" t="s">
        <v>6</v>
      </c>
    </row>
    <row r="612" customFormat="false" ht="15" hidden="false" customHeight="false" outlineLevel="0" collapsed="false">
      <c r="A612" s="0" t="s">
        <v>623</v>
      </c>
      <c r="B612" s="0" t="s">
        <v>9</v>
      </c>
    </row>
    <row r="613" customFormat="false" ht="15" hidden="false" customHeight="false" outlineLevel="0" collapsed="false">
      <c r="A613" s="0" t="s">
        <v>624</v>
      </c>
      <c r="B613" s="0" t="s">
        <v>8</v>
      </c>
    </row>
    <row r="614" customFormat="false" ht="15" hidden="false" customHeight="false" outlineLevel="0" collapsed="false">
      <c r="A614" s="0" t="s">
        <v>625</v>
      </c>
      <c r="B614" s="0" t="s">
        <v>8</v>
      </c>
    </row>
    <row r="615" customFormat="false" ht="15" hidden="false" customHeight="false" outlineLevel="0" collapsed="false">
      <c r="A615" s="0" t="s">
        <v>626</v>
      </c>
      <c r="B615" s="0" t="s">
        <v>6</v>
      </c>
    </row>
    <row r="616" customFormat="false" ht="15" hidden="false" customHeight="false" outlineLevel="0" collapsed="false">
      <c r="A616" s="0" t="s">
        <v>627</v>
      </c>
      <c r="B616" s="0" t="s">
        <v>8</v>
      </c>
    </row>
    <row r="617" customFormat="false" ht="15" hidden="false" customHeight="false" outlineLevel="0" collapsed="false">
      <c r="A617" s="0" t="s">
        <v>628</v>
      </c>
      <c r="B617" s="0" t="s">
        <v>8</v>
      </c>
    </row>
    <row r="618" customFormat="false" ht="15" hidden="false" customHeight="false" outlineLevel="0" collapsed="false">
      <c r="A618" s="0" t="s">
        <v>629</v>
      </c>
      <c r="B618" s="0" t="s">
        <v>6</v>
      </c>
    </row>
    <row r="619" customFormat="false" ht="15" hidden="false" customHeight="false" outlineLevel="0" collapsed="false">
      <c r="A619" s="0" t="s">
        <v>630</v>
      </c>
      <c r="B619" s="0" t="s">
        <v>6</v>
      </c>
    </row>
    <row r="620" customFormat="false" ht="15" hidden="false" customHeight="false" outlineLevel="0" collapsed="false">
      <c r="A620" s="0" t="s">
        <v>631</v>
      </c>
      <c r="B620" s="0" t="s">
        <v>9</v>
      </c>
    </row>
    <row r="621" customFormat="false" ht="15" hidden="false" customHeight="false" outlineLevel="0" collapsed="false">
      <c r="A621" s="0" t="s">
        <v>632</v>
      </c>
      <c r="B621" s="0" t="s">
        <v>6</v>
      </c>
    </row>
    <row r="622" customFormat="false" ht="15" hidden="false" customHeight="false" outlineLevel="0" collapsed="false">
      <c r="A622" s="0" t="s">
        <v>633</v>
      </c>
      <c r="B622" s="0" t="s">
        <v>10</v>
      </c>
    </row>
    <row r="623" customFormat="false" ht="15" hidden="false" customHeight="false" outlineLevel="0" collapsed="false">
      <c r="A623" s="0" t="s">
        <v>634</v>
      </c>
      <c r="B623" s="0" t="s">
        <v>9</v>
      </c>
    </row>
    <row r="624" customFormat="false" ht="15" hidden="false" customHeight="false" outlineLevel="0" collapsed="false">
      <c r="A624" s="0" t="s">
        <v>635</v>
      </c>
      <c r="B624" s="0" t="s">
        <v>9</v>
      </c>
    </row>
    <row r="625" customFormat="false" ht="15" hidden="false" customHeight="false" outlineLevel="0" collapsed="false">
      <c r="A625" s="0" t="s">
        <v>636</v>
      </c>
      <c r="B625" s="0" t="s">
        <v>6</v>
      </c>
    </row>
    <row r="626" customFormat="false" ht="15" hidden="false" customHeight="false" outlineLevel="0" collapsed="false">
      <c r="A626" s="0" t="s">
        <v>637</v>
      </c>
      <c r="B626" s="0" t="s">
        <v>9</v>
      </c>
    </row>
    <row r="627" customFormat="false" ht="15" hidden="false" customHeight="false" outlineLevel="0" collapsed="false">
      <c r="A627" s="0" t="s">
        <v>638</v>
      </c>
      <c r="B627" s="0" t="s">
        <v>8</v>
      </c>
    </row>
    <row r="628" customFormat="false" ht="15" hidden="false" customHeight="false" outlineLevel="0" collapsed="false">
      <c r="A628" s="0" t="s">
        <v>639</v>
      </c>
      <c r="B628" s="0" t="s">
        <v>8</v>
      </c>
    </row>
    <row r="629" customFormat="false" ht="15" hidden="false" customHeight="false" outlineLevel="0" collapsed="false">
      <c r="A629" s="0" t="s">
        <v>640</v>
      </c>
      <c r="B629" s="0" t="s">
        <v>7</v>
      </c>
    </row>
    <row r="630" customFormat="false" ht="15" hidden="false" customHeight="false" outlineLevel="0" collapsed="false">
      <c r="A630" s="0" t="s">
        <v>641</v>
      </c>
      <c r="B630" s="0" t="s">
        <v>7</v>
      </c>
    </row>
    <row r="631" customFormat="false" ht="15" hidden="false" customHeight="false" outlineLevel="0" collapsed="false">
      <c r="A631" s="0" t="s">
        <v>642</v>
      </c>
      <c r="B631" s="0" t="s">
        <v>8</v>
      </c>
    </row>
    <row r="632" customFormat="false" ht="15" hidden="false" customHeight="false" outlineLevel="0" collapsed="false">
      <c r="A632" s="0" t="s">
        <v>643</v>
      </c>
      <c r="B632" s="0" t="s">
        <v>8</v>
      </c>
    </row>
    <row r="633" customFormat="false" ht="15" hidden="false" customHeight="false" outlineLevel="0" collapsed="false">
      <c r="A633" s="0" t="s">
        <v>644</v>
      </c>
      <c r="B633" s="0" t="s">
        <v>8</v>
      </c>
    </row>
    <row r="634" customFormat="false" ht="15" hidden="false" customHeight="false" outlineLevel="0" collapsed="false">
      <c r="A634" s="0" t="s">
        <v>645</v>
      </c>
      <c r="B634" s="0" t="s">
        <v>9</v>
      </c>
    </row>
    <row r="635" customFormat="false" ht="15" hidden="false" customHeight="false" outlineLevel="0" collapsed="false">
      <c r="A635" s="0" t="s">
        <v>646</v>
      </c>
      <c r="B635" s="0" t="s">
        <v>6</v>
      </c>
    </row>
    <row r="636" customFormat="false" ht="15" hidden="false" customHeight="false" outlineLevel="0" collapsed="false">
      <c r="A636" s="0" t="s">
        <v>647</v>
      </c>
      <c r="B636" s="0" t="s">
        <v>9</v>
      </c>
    </row>
    <row r="637" customFormat="false" ht="15" hidden="false" customHeight="false" outlineLevel="0" collapsed="false">
      <c r="A637" s="0" t="s">
        <v>648</v>
      </c>
      <c r="B637" s="0" t="s">
        <v>8</v>
      </c>
    </row>
    <row r="638" customFormat="false" ht="15" hidden="false" customHeight="false" outlineLevel="0" collapsed="false">
      <c r="A638" s="0" t="s">
        <v>649</v>
      </c>
      <c r="B638" s="0" t="s">
        <v>8</v>
      </c>
    </row>
    <row r="639" customFormat="false" ht="15" hidden="false" customHeight="false" outlineLevel="0" collapsed="false">
      <c r="A639" s="0" t="s">
        <v>650</v>
      </c>
      <c r="B639" s="0" t="s">
        <v>9</v>
      </c>
    </row>
    <row r="640" customFormat="false" ht="15" hidden="false" customHeight="false" outlineLevel="0" collapsed="false">
      <c r="A640" s="0" t="s">
        <v>651</v>
      </c>
      <c r="B640" s="0" t="s">
        <v>9</v>
      </c>
    </row>
    <row r="641" customFormat="false" ht="15" hidden="false" customHeight="false" outlineLevel="0" collapsed="false">
      <c r="A641" s="0" t="s">
        <v>652</v>
      </c>
      <c r="B641" s="0" t="s">
        <v>9</v>
      </c>
    </row>
    <row r="642" customFormat="false" ht="15" hidden="false" customHeight="false" outlineLevel="0" collapsed="false">
      <c r="A642" s="0" t="s">
        <v>653</v>
      </c>
      <c r="B642" s="0" t="s">
        <v>9</v>
      </c>
    </row>
    <row r="643" customFormat="false" ht="15" hidden="false" customHeight="false" outlineLevel="0" collapsed="false">
      <c r="A643" s="0" t="s">
        <v>654</v>
      </c>
      <c r="B643" s="0" t="s">
        <v>10</v>
      </c>
    </row>
    <row r="644" customFormat="false" ht="15" hidden="false" customHeight="false" outlineLevel="0" collapsed="false">
      <c r="A644" s="0" t="s">
        <v>655</v>
      </c>
      <c r="B644" s="0" t="s">
        <v>6</v>
      </c>
    </row>
    <row r="645" customFormat="false" ht="15" hidden="false" customHeight="false" outlineLevel="0" collapsed="false">
      <c r="A645" s="0" t="s">
        <v>656</v>
      </c>
      <c r="B645" s="0" t="s">
        <v>9</v>
      </c>
    </row>
    <row r="646" customFormat="false" ht="15" hidden="false" customHeight="false" outlineLevel="0" collapsed="false">
      <c r="A646" s="0" t="s">
        <v>657</v>
      </c>
      <c r="B646" s="0" t="s">
        <v>8</v>
      </c>
    </row>
    <row r="647" customFormat="false" ht="15" hidden="false" customHeight="false" outlineLevel="0" collapsed="false">
      <c r="A647" s="0" t="s">
        <v>658</v>
      </c>
      <c r="B647" s="0" t="s">
        <v>10</v>
      </c>
    </row>
    <row r="648" customFormat="false" ht="15" hidden="false" customHeight="false" outlineLevel="0" collapsed="false">
      <c r="A648" s="0" t="s">
        <v>659</v>
      </c>
      <c r="B648" s="0" t="s">
        <v>10</v>
      </c>
    </row>
    <row r="649" customFormat="false" ht="15" hidden="false" customHeight="false" outlineLevel="0" collapsed="false">
      <c r="A649" s="0" t="s">
        <v>660</v>
      </c>
      <c r="B649" s="0" t="s">
        <v>10</v>
      </c>
    </row>
    <row r="650" customFormat="false" ht="15" hidden="false" customHeight="false" outlineLevel="0" collapsed="false">
      <c r="A650" s="0" t="s">
        <v>661</v>
      </c>
      <c r="B650" s="0" t="s">
        <v>6</v>
      </c>
    </row>
    <row r="651" customFormat="false" ht="15" hidden="false" customHeight="false" outlineLevel="0" collapsed="false">
      <c r="A651" s="0" t="s">
        <v>662</v>
      </c>
      <c r="B651" s="0" t="s">
        <v>9</v>
      </c>
    </row>
    <row r="652" customFormat="false" ht="15" hidden="false" customHeight="false" outlineLevel="0" collapsed="false">
      <c r="A652" s="0" t="s">
        <v>663</v>
      </c>
      <c r="B652" s="0" t="s">
        <v>8</v>
      </c>
    </row>
    <row r="653" customFormat="false" ht="15" hidden="false" customHeight="false" outlineLevel="0" collapsed="false">
      <c r="A653" s="0" t="s">
        <v>664</v>
      </c>
      <c r="B653" s="0" t="s">
        <v>10</v>
      </c>
    </row>
    <row r="654" customFormat="false" ht="15" hidden="false" customHeight="false" outlineLevel="0" collapsed="false">
      <c r="A654" s="0" t="s">
        <v>665</v>
      </c>
      <c r="B654" s="0" t="s">
        <v>8</v>
      </c>
    </row>
    <row r="655" customFormat="false" ht="15" hidden="false" customHeight="false" outlineLevel="0" collapsed="false">
      <c r="A655" s="0" t="s">
        <v>666</v>
      </c>
      <c r="B655" s="0" t="s">
        <v>9</v>
      </c>
    </row>
    <row r="656" customFormat="false" ht="15" hidden="false" customHeight="false" outlineLevel="0" collapsed="false">
      <c r="A656" s="0" t="s">
        <v>667</v>
      </c>
      <c r="B656" s="0" t="s">
        <v>9</v>
      </c>
    </row>
    <row r="657" customFormat="false" ht="15" hidden="false" customHeight="false" outlineLevel="0" collapsed="false">
      <c r="A657" s="0" t="s">
        <v>668</v>
      </c>
      <c r="B657" s="0" t="s">
        <v>10</v>
      </c>
    </row>
    <row r="658" customFormat="false" ht="15" hidden="false" customHeight="false" outlineLevel="0" collapsed="false">
      <c r="A658" s="0" t="s">
        <v>669</v>
      </c>
      <c r="B658" s="0" t="s">
        <v>10</v>
      </c>
    </row>
    <row r="659" customFormat="false" ht="15" hidden="false" customHeight="false" outlineLevel="0" collapsed="false">
      <c r="A659" s="0" t="s">
        <v>670</v>
      </c>
      <c r="B659" s="0" t="s">
        <v>10</v>
      </c>
    </row>
    <row r="660" customFormat="false" ht="15" hidden="false" customHeight="false" outlineLevel="0" collapsed="false">
      <c r="A660" s="0" t="s">
        <v>671</v>
      </c>
      <c r="B660" s="0" t="s">
        <v>8</v>
      </c>
    </row>
    <row r="661" customFormat="false" ht="15" hidden="false" customHeight="false" outlineLevel="0" collapsed="false">
      <c r="A661" s="0" t="s">
        <v>672</v>
      </c>
      <c r="B661" s="0" t="s">
        <v>6</v>
      </c>
    </row>
    <row r="662" customFormat="false" ht="15" hidden="false" customHeight="false" outlineLevel="0" collapsed="false">
      <c r="A662" s="0" t="s">
        <v>673</v>
      </c>
      <c r="B662" s="0" t="s">
        <v>9</v>
      </c>
    </row>
    <row r="663" customFormat="false" ht="15" hidden="false" customHeight="false" outlineLevel="0" collapsed="false">
      <c r="A663" s="0" t="s">
        <v>674</v>
      </c>
      <c r="B663" s="0" t="s">
        <v>8</v>
      </c>
    </row>
    <row r="664" customFormat="false" ht="15" hidden="false" customHeight="false" outlineLevel="0" collapsed="false">
      <c r="A664" s="0" t="s">
        <v>675</v>
      </c>
      <c r="B664" s="0" t="s">
        <v>10</v>
      </c>
    </row>
    <row r="665" customFormat="false" ht="15" hidden="false" customHeight="false" outlineLevel="0" collapsed="false">
      <c r="A665" s="0" t="s">
        <v>676</v>
      </c>
      <c r="B665" s="0" t="s">
        <v>10</v>
      </c>
    </row>
    <row r="666" customFormat="false" ht="15" hidden="false" customHeight="false" outlineLevel="0" collapsed="false">
      <c r="A666" s="0" t="s">
        <v>677</v>
      </c>
      <c r="B666" s="0" t="s">
        <v>8</v>
      </c>
    </row>
    <row r="667" customFormat="false" ht="15" hidden="false" customHeight="false" outlineLevel="0" collapsed="false">
      <c r="A667" s="0" t="s">
        <v>678</v>
      </c>
      <c r="B667" s="0" t="s">
        <v>8</v>
      </c>
    </row>
    <row r="668" customFormat="false" ht="15" hidden="false" customHeight="false" outlineLevel="0" collapsed="false">
      <c r="A668" s="0" t="s">
        <v>679</v>
      </c>
      <c r="B668" s="0" t="s">
        <v>10</v>
      </c>
    </row>
    <row r="669" customFormat="false" ht="15" hidden="false" customHeight="false" outlineLevel="0" collapsed="false">
      <c r="A669" s="0" t="s">
        <v>680</v>
      </c>
      <c r="B669" s="0" t="s">
        <v>9</v>
      </c>
    </row>
    <row r="670" customFormat="false" ht="15" hidden="false" customHeight="false" outlineLevel="0" collapsed="false">
      <c r="A670" s="0" t="s">
        <v>681</v>
      </c>
      <c r="B670" s="0" t="s">
        <v>6</v>
      </c>
    </row>
    <row r="671" customFormat="false" ht="15" hidden="false" customHeight="false" outlineLevel="0" collapsed="false">
      <c r="A671" s="0" t="s">
        <v>682</v>
      </c>
      <c r="B671" s="0" t="s">
        <v>10</v>
      </c>
    </row>
    <row r="672" customFormat="false" ht="15" hidden="false" customHeight="false" outlineLevel="0" collapsed="false">
      <c r="A672" s="0" t="s">
        <v>683</v>
      </c>
      <c r="B672" s="0" t="s">
        <v>9</v>
      </c>
    </row>
    <row r="673" customFormat="false" ht="15" hidden="false" customHeight="false" outlineLevel="0" collapsed="false">
      <c r="A673" s="0" t="s">
        <v>684</v>
      </c>
      <c r="B673" s="0" t="s">
        <v>8</v>
      </c>
    </row>
    <row r="674" customFormat="false" ht="15" hidden="false" customHeight="false" outlineLevel="0" collapsed="false">
      <c r="A674" s="0" t="s">
        <v>685</v>
      </c>
      <c r="B674" s="0" t="s">
        <v>9</v>
      </c>
    </row>
    <row r="675" customFormat="false" ht="15" hidden="false" customHeight="false" outlineLevel="0" collapsed="false">
      <c r="A675" s="0" t="s">
        <v>686</v>
      </c>
      <c r="B675" s="0" t="s">
        <v>7</v>
      </c>
    </row>
    <row r="676" customFormat="false" ht="15" hidden="false" customHeight="false" outlineLevel="0" collapsed="false">
      <c r="A676" s="0" t="s">
        <v>687</v>
      </c>
      <c r="B676" s="0" t="s">
        <v>9</v>
      </c>
    </row>
    <row r="677" customFormat="false" ht="15" hidden="false" customHeight="false" outlineLevel="0" collapsed="false">
      <c r="A677" s="0" t="s">
        <v>688</v>
      </c>
      <c r="B677" s="0" t="s">
        <v>8</v>
      </c>
    </row>
    <row r="678" customFormat="false" ht="15" hidden="false" customHeight="false" outlineLevel="0" collapsed="false">
      <c r="A678" s="0" t="s">
        <v>689</v>
      </c>
      <c r="B678" s="0" t="s">
        <v>9</v>
      </c>
    </row>
    <row r="679" customFormat="false" ht="15" hidden="false" customHeight="false" outlineLevel="0" collapsed="false">
      <c r="A679" s="0" t="s">
        <v>690</v>
      </c>
      <c r="B679" s="0" t="s">
        <v>6</v>
      </c>
    </row>
    <row r="680" customFormat="false" ht="15" hidden="false" customHeight="false" outlineLevel="0" collapsed="false">
      <c r="A680" s="0" t="s">
        <v>691</v>
      </c>
      <c r="B680" s="0" t="s">
        <v>10</v>
      </c>
    </row>
    <row r="681" customFormat="false" ht="15" hidden="false" customHeight="false" outlineLevel="0" collapsed="false">
      <c r="A681" s="0" t="s">
        <v>692</v>
      </c>
      <c r="B681" s="0" t="s">
        <v>8</v>
      </c>
    </row>
    <row r="682" customFormat="false" ht="15" hidden="false" customHeight="false" outlineLevel="0" collapsed="false">
      <c r="A682" s="0" t="s">
        <v>693</v>
      </c>
      <c r="B682" s="0" t="s">
        <v>9</v>
      </c>
    </row>
    <row r="683" customFormat="false" ht="15" hidden="false" customHeight="false" outlineLevel="0" collapsed="false">
      <c r="A683" s="0" t="s">
        <v>694</v>
      </c>
      <c r="B683" s="0" t="s">
        <v>8</v>
      </c>
    </row>
    <row r="684" customFormat="false" ht="15" hidden="false" customHeight="false" outlineLevel="0" collapsed="false">
      <c r="A684" s="0" t="s">
        <v>695</v>
      </c>
      <c r="B684" s="0" t="s">
        <v>10</v>
      </c>
    </row>
    <row r="685" customFormat="false" ht="15" hidden="false" customHeight="false" outlineLevel="0" collapsed="false">
      <c r="A685" s="0" t="s">
        <v>696</v>
      </c>
      <c r="B685" s="0" t="s">
        <v>9</v>
      </c>
    </row>
    <row r="686" customFormat="false" ht="15" hidden="false" customHeight="false" outlineLevel="0" collapsed="false">
      <c r="A686" s="0" t="s">
        <v>697</v>
      </c>
      <c r="B686" s="0" t="s">
        <v>10</v>
      </c>
    </row>
    <row r="687" customFormat="false" ht="15" hidden="false" customHeight="false" outlineLevel="0" collapsed="false">
      <c r="A687" s="0" t="s">
        <v>698</v>
      </c>
      <c r="B687" s="0" t="s">
        <v>9</v>
      </c>
    </row>
    <row r="688" customFormat="false" ht="15" hidden="false" customHeight="false" outlineLevel="0" collapsed="false">
      <c r="A688" s="0" t="s">
        <v>699</v>
      </c>
      <c r="B688" s="0" t="s">
        <v>9</v>
      </c>
    </row>
    <row r="689" customFormat="false" ht="15" hidden="false" customHeight="false" outlineLevel="0" collapsed="false">
      <c r="A689" s="0" t="s">
        <v>700</v>
      </c>
      <c r="B689" s="0" t="s">
        <v>9</v>
      </c>
    </row>
    <row r="690" customFormat="false" ht="15" hidden="false" customHeight="false" outlineLevel="0" collapsed="false">
      <c r="A690" s="0" t="s">
        <v>701</v>
      </c>
      <c r="B690" s="0" t="s">
        <v>9</v>
      </c>
    </row>
    <row r="691" customFormat="false" ht="15" hidden="false" customHeight="false" outlineLevel="0" collapsed="false">
      <c r="A691" s="0" t="s">
        <v>702</v>
      </c>
      <c r="B691" s="0" t="s">
        <v>9</v>
      </c>
    </row>
    <row r="692" customFormat="false" ht="15" hidden="false" customHeight="false" outlineLevel="0" collapsed="false">
      <c r="A692" s="0" t="s">
        <v>703</v>
      </c>
      <c r="B692" s="0" t="s">
        <v>8</v>
      </c>
    </row>
    <row r="693" customFormat="false" ht="15" hidden="false" customHeight="false" outlineLevel="0" collapsed="false">
      <c r="A693" s="0" t="s">
        <v>704</v>
      </c>
      <c r="B693" s="0" t="s">
        <v>6</v>
      </c>
    </row>
    <row r="694" customFormat="false" ht="15" hidden="false" customHeight="false" outlineLevel="0" collapsed="false">
      <c r="A694" s="0" t="s">
        <v>705</v>
      </c>
      <c r="B694" s="0" t="s">
        <v>6</v>
      </c>
    </row>
    <row r="695" customFormat="false" ht="15" hidden="false" customHeight="false" outlineLevel="0" collapsed="false">
      <c r="A695" s="0" t="s">
        <v>706</v>
      </c>
      <c r="B695" s="0" t="s">
        <v>8</v>
      </c>
    </row>
    <row r="696" customFormat="false" ht="15" hidden="false" customHeight="false" outlineLevel="0" collapsed="false">
      <c r="A696" s="0" t="s">
        <v>707</v>
      </c>
      <c r="B696" s="0" t="s">
        <v>6</v>
      </c>
    </row>
    <row r="697" customFormat="false" ht="15" hidden="false" customHeight="false" outlineLevel="0" collapsed="false">
      <c r="A697" s="0" t="s">
        <v>708</v>
      </c>
      <c r="B697" s="0" t="s">
        <v>6</v>
      </c>
    </row>
    <row r="698" customFormat="false" ht="15" hidden="false" customHeight="false" outlineLevel="0" collapsed="false">
      <c r="A698" s="0" t="s">
        <v>709</v>
      </c>
      <c r="B698" s="0" t="s">
        <v>6</v>
      </c>
    </row>
    <row r="699" customFormat="false" ht="15" hidden="false" customHeight="false" outlineLevel="0" collapsed="false">
      <c r="A699" s="0" t="s">
        <v>710</v>
      </c>
      <c r="B699" s="0" t="s">
        <v>10</v>
      </c>
    </row>
    <row r="700" customFormat="false" ht="15" hidden="false" customHeight="false" outlineLevel="0" collapsed="false">
      <c r="A700" s="0" t="s">
        <v>711</v>
      </c>
      <c r="B700" s="0" t="s">
        <v>10</v>
      </c>
    </row>
    <row r="701" customFormat="false" ht="15" hidden="false" customHeight="false" outlineLevel="0" collapsed="false">
      <c r="A701" s="0" t="s">
        <v>712</v>
      </c>
      <c r="B701" s="0" t="s">
        <v>10</v>
      </c>
    </row>
    <row r="702" customFormat="false" ht="15" hidden="false" customHeight="false" outlineLevel="0" collapsed="false">
      <c r="A702" s="0" t="s">
        <v>713</v>
      </c>
      <c r="B702" s="0" t="s">
        <v>9</v>
      </c>
    </row>
    <row r="703" customFormat="false" ht="15" hidden="false" customHeight="false" outlineLevel="0" collapsed="false">
      <c r="A703" s="0" t="s">
        <v>714</v>
      </c>
      <c r="B703" s="0" t="s">
        <v>10</v>
      </c>
    </row>
    <row r="704" customFormat="false" ht="15" hidden="false" customHeight="false" outlineLevel="0" collapsed="false">
      <c r="A704" s="0" t="s">
        <v>715</v>
      </c>
      <c r="B704" s="0" t="s">
        <v>10</v>
      </c>
    </row>
    <row r="705" customFormat="false" ht="15" hidden="false" customHeight="false" outlineLevel="0" collapsed="false">
      <c r="A705" s="0" t="s">
        <v>716</v>
      </c>
      <c r="B705" s="0" t="s">
        <v>10</v>
      </c>
    </row>
    <row r="706" customFormat="false" ht="15" hidden="false" customHeight="false" outlineLevel="0" collapsed="false">
      <c r="A706" s="0" t="s">
        <v>717</v>
      </c>
      <c r="B706" s="0" t="s">
        <v>6</v>
      </c>
    </row>
    <row r="707" customFormat="false" ht="15" hidden="false" customHeight="false" outlineLevel="0" collapsed="false">
      <c r="A707" s="0" t="s">
        <v>718</v>
      </c>
      <c r="B707" s="0" t="s">
        <v>10</v>
      </c>
    </row>
    <row r="708" customFormat="false" ht="15" hidden="false" customHeight="false" outlineLevel="0" collapsed="false">
      <c r="A708" s="0" t="s">
        <v>719</v>
      </c>
      <c r="B708" s="0" t="s">
        <v>9</v>
      </c>
    </row>
    <row r="709" customFormat="false" ht="15" hidden="false" customHeight="false" outlineLevel="0" collapsed="false">
      <c r="A709" s="0" t="s">
        <v>720</v>
      </c>
      <c r="B709" s="0" t="s">
        <v>10</v>
      </c>
    </row>
    <row r="710" customFormat="false" ht="15" hidden="false" customHeight="false" outlineLevel="0" collapsed="false">
      <c r="A710" s="0" t="s">
        <v>721</v>
      </c>
      <c r="B710" s="0" t="s">
        <v>10</v>
      </c>
    </row>
    <row r="711" customFormat="false" ht="15" hidden="false" customHeight="false" outlineLevel="0" collapsed="false">
      <c r="A711" s="0" t="s">
        <v>722</v>
      </c>
      <c r="B711" s="0" t="s">
        <v>8</v>
      </c>
    </row>
    <row r="712" customFormat="false" ht="15" hidden="false" customHeight="false" outlineLevel="0" collapsed="false">
      <c r="A712" s="0" t="s">
        <v>723</v>
      </c>
      <c r="B712" s="0" t="s">
        <v>8</v>
      </c>
    </row>
    <row r="713" customFormat="false" ht="15" hidden="false" customHeight="false" outlineLevel="0" collapsed="false">
      <c r="A713" s="0" t="s">
        <v>724</v>
      </c>
      <c r="B713" s="0" t="s">
        <v>8</v>
      </c>
    </row>
    <row r="714" customFormat="false" ht="15" hidden="false" customHeight="false" outlineLevel="0" collapsed="false">
      <c r="A714" s="0" t="s">
        <v>725</v>
      </c>
      <c r="B714" s="0" t="s">
        <v>6</v>
      </c>
    </row>
    <row r="715" customFormat="false" ht="15" hidden="false" customHeight="false" outlineLevel="0" collapsed="false">
      <c r="A715" s="0" t="s">
        <v>726</v>
      </c>
      <c r="B715" s="0" t="s">
        <v>10</v>
      </c>
    </row>
    <row r="716" customFormat="false" ht="15" hidden="false" customHeight="false" outlineLevel="0" collapsed="false">
      <c r="A716" s="0" t="s">
        <v>727</v>
      </c>
      <c r="B716" s="0" t="s">
        <v>6</v>
      </c>
    </row>
    <row r="717" customFormat="false" ht="15" hidden="false" customHeight="false" outlineLevel="0" collapsed="false">
      <c r="A717" s="0" t="s">
        <v>728</v>
      </c>
      <c r="B717" s="0" t="s">
        <v>9</v>
      </c>
    </row>
    <row r="718" customFormat="false" ht="15" hidden="false" customHeight="false" outlineLevel="0" collapsed="false">
      <c r="A718" s="0" t="s">
        <v>729</v>
      </c>
      <c r="B718" s="0" t="s">
        <v>7</v>
      </c>
    </row>
    <row r="719" customFormat="false" ht="15" hidden="false" customHeight="false" outlineLevel="0" collapsed="false">
      <c r="A719" s="0" t="s">
        <v>730</v>
      </c>
      <c r="B719" s="0" t="s">
        <v>9</v>
      </c>
    </row>
    <row r="720" customFormat="false" ht="15" hidden="false" customHeight="false" outlineLevel="0" collapsed="false">
      <c r="A720" s="0" t="s">
        <v>731</v>
      </c>
      <c r="B720" s="0" t="s">
        <v>10</v>
      </c>
    </row>
    <row r="721" customFormat="false" ht="15" hidden="false" customHeight="false" outlineLevel="0" collapsed="false">
      <c r="A721" s="0" t="s">
        <v>732</v>
      </c>
      <c r="B721" s="0" t="s">
        <v>9</v>
      </c>
    </row>
    <row r="722" customFormat="false" ht="15" hidden="false" customHeight="false" outlineLevel="0" collapsed="false">
      <c r="A722" s="0" t="s">
        <v>733</v>
      </c>
      <c r="B722" s="0" t="s">
        <v>9</v>
      </c>
    </row>
    <row r="723" customFormat="false" ht="15" hidden="false" customHeight="false" outlineLevel="0" collapsed="false">
      <c r="A723" s="0" t="s">
        <v>734</v>
      </c>
      <c r="B723" s="0" t="s">
        <v>6</v>
      </c>
    </row>
    <row r="724" customFormat="false" ht="15" hidden="false" customHeight="false" outlineLevel="0" collapsed="false">
      <c r="A724" s="0" t="s">
        <v>735</v>
      </c>
      <c r="B724" s="0" t="s">
        <v>9</v>
      </c>
    </row>
    <row r="725" customFormat="false" ht="15" hidden="false" customHeight="false" outlineLevel="0" collapsed="false">
      <c r="A725" s="0" t="s">
        <v>736</v>
      </c>
      <c r="B725" s="0" t="s">
        <v>6</v>
      </c>
    </row>
    <row r="726" customFormat="false" ht="15" hidden="false" customHeight="false" outlineLevel="0" collapsed="false">
      <c r="A726" s="0" t="s">
        <v>737</v>
      </c>
      <c r="B726" s="0" t="s">
        <v>9</v>
      </c>
    </row>
    <row r="727" customFormat="false" ht="15" hidden="false" customHeight="false" outlineLevel="0" collapsed="false">
      <c r="A727" s="0" t="s">
        <v>738</v>
      </c>
      <c r="B727" s="0" t="s">
        <v>6</v>
      </c>
    </row>
    <row r="728" customFormat="false" ht="15" hidden="false" customHeight="false" outlineLevel="0" collapsed="false">
      <c r="A728" s="0" t="s">
        <v>739</v>
      </c>
      <c r="B728" s="0" t="s">
        <v>10</v>
      </c>
    </row>
    <row r="729" customFormat="false" ht="15" hidden="false" customHeight="false" outlineLevel="0" collapsed="false">
      <c r="A729" s="0" t="s">
        <v>740</v>
      </c>
      <c r="B729" s="0" t="s">
        <v>10</v>
      </c>
    </row>
    <row r="730" customFormat="false" ht="15" hidden="false" customHeight="false" outlineLevel="0" collapsed="false">
      <c r="A730" s="0" t="s">
        <v>741</v>
      </c>
      <c r="B730" s="0" t="s">
        <v>9</v>
      </c>
    </row>
    <row r="731" customFormat="false" ht="15" hidden="false" customHeight="false" outlineLevel="0" collapsed="false">
      <c r="A731" s="0" t="s">
        <v>742</v>
      </c>
      <c r="B731" s="0" t="s">
        <v>9</v>
      </c>
    </row>
    <row r="732" customFormat="false" ht="15" hidden="false" customHeight="false" outlineLevel="0" collapsed="false">
      <c r="A732" s="0" t="s">
        <v>743</v>
      </c>
      <c r="B732" s="0" t="s">
        <v>9</v>
      </c>
    </row>
    <row r="733" customFormat="false" ht="15" hidden="false" customHeight="false" outlineLevel="0" collapsed="false">
      <c r="A733" s="0" t="s">
        <v>744</v>
      </c>
      <c r="B733" s="0" t="s">
        <v>9</v>
      </c>
    </row>
    <row r="734" customFormat="false" ht="15" hidden="false" customHeight="false" outlineLevel="0" collapsed="false">
      <c r="A734" s="0" t="s">
        <v>745</v>
      </c>
      <c r="B734" s="0" t="s">
        <v>9</v>
      </c>
    </row>
    <row r="735" customFormat="false" ht="15" hidden="false" customHeight="false" outlineLevel="0" collapsed="false">
      <c r="A735" s="0" t="s">
        <v>746</v>
      </c>
      <c r="B735" s="0" t="s">
        <v>8</v>
      </c>
    </row>
    <row r="736" customFormat="false" ht="15" hidden="false" customHeight="false" outlineLevel="0" collapsed="false">
      <c r="A736" s="0" t="s">
        <v>747</v>
      </c>
      <c r="B736" s="0" t="s">
        <v>6</v>
      </c>
    </row>
    <row r="737" customFormat="false" ht="15" hidden="false" customHeight="false" outlineLevel="0" collapsed="false">
      <c r="A737" s="0" t="s">
        <v>748</v>
      </c>
      <c r="B737" s="0" t="s">
        <v>9</v>
      </c>
    </row>
    <row r="738" customFormat="false" ht="15" hidden="false" customHeight="false" outlineLevel="0" collapsed="false">
      <c r="A738" s="0" t="s">
        <v>749</v>
      </c>
      <c r="B738" s="0" t="s">
        <v>8</v>
      </c>
    </row>
    <row r="739" customFormat="false" ht="15" hidden="false" customHeight="false" outlineLevel="0" collapsed="false">
      <c r="A739" s="0" t="s">
        <v>750</v>
      </c>
      <c r="B739" s="0" t="s">
        <v>6</v>
      </c>
    </row>
    <row r="740" customFormat="false" ht="15" hidden="false" customHeight="false" outlineLevel="0" collapsed="false">
      <c r="A740" s="0" t="s">
        <v>751</v>
      </c>
      <c r="B740" s="0" t="s">
        <v>9</v>
      </c>
    </row>
    <row r="741" customFormat="false" ht="15" hidden="false" customHeight="false" outlineLevel="0" collapsed="false">
      <c r="A741" s="0" t="s">
        <v>752</v>
      </c>
      <c r="B741" s="0" t="s">
        <v>8</v>
      </c>
    </row>
    <row r="742" customFormat="false" ht="15" hidden="false" customHeight="false" outlineLevel="0" collapsed="false">
      <c r="A742" s="0" t="s">
        <v>753</v>
      </c>
      <c r="B742" s="0" t="s">
        <v>9</v>
      </c>
    </row>
    <row r="743" customFormat="false" ht="15" hidden="false" customHeight="false" outlineLevel="0" collapsed="false">
      <c r="A743" s="0" t="s">
        <v>754</v>
      </c>
      <c r="B743" s="0" t="s">
        <v>10</v>
      </c>
    </row>
    <row r="744" customFormat="false" ht="15" hidden="false" customHeight="false" outlineLevel="0" collapsed="false">
      <c r="A744" s="0" t="s">
        <v>755</v>
      </c>
      <c r="B744" s="0" t="s">
        <v>8</v>
      </c>
    </row>
    <row r="745" customFormat="false" ht="15" hidden="false" customHeight="false" outlineLevel="0" collapsed="false">
      <c r="A745" s="0" t="s">
        <v>756</v>
      </c>
      <c r="B745" s="0" t="s">
        <v>8</v>
      </c>
    </row>
    <row r="746" customFormat="false" ht="15" hidden="false" customHeight="false" outlineLevel="0" collapsed="false">
      <c r="A746" s="0" t="s">
        <v>757</v>
      </c>
      <c r="B746" s="0" t="s">
        <v>10</v>
      </c>
    </row>
    <row r="747" customFormat="false" ht="15" hidden="false" customHeight="false" outlineLevel="0" collapsed="false">
      <c r="A747" s="0" t="s">
        <v>758</v>
      </c>
      <c r="B747" s="0" t="s">
        <v>9</v>
      </c>
    </row>
    <row r="748" customFormat="false" ht="15" hidden="false" customHeight="false" outlineLevel="0" collapsed="false">
      <c r="A748" s="0" t="s">
        <v>759</v>
      </c>
      <c r="B748" s="0" t="s">
        <v>8</v>
      </c>
    </row>
    <row r="749" customFormat="false" ht="15" hidden="false" customHeight="false" outlineLevel="0" collapsed="false">
      <c r="A749" s="0" t="s">
        <v>760</v>
      </c>
      <c r="B749" s="0" t="s">
        <v>9</v>
      </c>
    </row>
    <row r="750" customFormat="false" ht="15" hidden="false" customHeight="false" outlineLevel="0" collapsed="false">
      <c r="A750" s="0" t="s">
        <v>761</v>
      </c>
      <c r="B750" s="0" t="s">
        <v>9</v>
      </c>
    </row>
    <row r="751" customFormat="false" ht="15" hidden="false" customHeight="false" outlineLevel="0" collapsed="false">
      <c r="A751" s="0" t="s">
        <v>762</v>
      </c>
      <c r="B751" s="0" t="s">
        <v>9</v>
      </c>
    </row>
    <row r="752" customFormat="false" ht="15" hidden="false" customHeight="false" outlineLevel="0" collapsed="false">
      <c r="A752" s="0" t="s">
        <v>763</v>
      </c>
      <c r="B752" s="0" t="s">
        <v>9</v>
      </c>
    </row>
    <row r="753" customFormat="false" ht="15" hidden="false" customHeight="false" outlineLevel="0" collapsed="false">
      <c r="A753" s="0" t="s">
        <v>764</v>
      </c>
      <c r="B753" s="0" t="s">
        <v>8</v>
      </c>
    </row>
    <row r="754" customFormat="false" ht="15" hidden="false" customHeight="false" outlineLevel="0" collapsed="false">
      <c r="A754" s="0" t="s">
        <v>765</v>
      </c>
      <c r="B754" s="0" t="s">
        <v>10</v>
      </c>
    </row>
    <row r="755" customFormat="false" ht="15" hidden="false" customHeight="false" outlineLevel="0" collapsed="false">
      <c r="A755" s="0" t="s">
        <v>766</v>
      </c>
      <c r="B755" s="0" t="s">
        <v>10</v>
      </c>
    </row>
    <row r="756" customFormat="false" ht="15" hidden="false" customHeight="false" outlineLevel="0" collapsed="false">
      <c r="A756" s="0" t="s">
        <v>767</v>
      </c>
      <c r="B756" s="0" t="s">
        <v>8</v>
      </c>
    </row>
    <row r="757" customFormat="false" ht="15" hidden="false" customHeight="false" outlineLevel="0" collapsed="false">
      <c r="A757" s="0" t="s">
        <v>768</v>
      </c>
      <c r="B757" s="0" t="s">
        <v>6</v>
      </c>
    </row>
    <row r="758" customFormat="false" ht="15" hidden="false" customHeight="false" outlineLevel="0" collapsed="false">
      <c r="A758" s="0" t="s">
        <v>769</v>
      </c>
      <c r="B758" s="0" t="s">
        <v>9</v>
      </c>
    </row>
    <row r="759" customFormat="false" ht="15" hidden="false" customHeight="false" outlineLevel="0" collapsed="false">
      <c r="A759" s="0" t="s">
        <v>770</v>
      </c>
      <c r="B759" s="0" t="s">
        <v>8</v>
      </c>
    </row>
    <row r="760" customFormat="false" ht="15" hidden="false" customHeight="false" outlineLevel="0" collapsed="false">
      <c r="A760" s="0" t="s">
        <v>771</v>
      </c>
      <c r="B760" s="0" t="s">
        <v>10</v>
      </c>
    </row>
    <row r="761" customFormat="false" ht="15" hidden="false" customHeight="false" outlineLevel="0" collapsed="false">
      <c r="A761" s="0" t="s">
        <v>772</v>
      </c>
      <c r="B761" s="0" t="s">
        <v>6</v>
      </c>
    </row>
    <row r="762" customFormat="false" ht="15" hidden="false" customHeight="false" outlineLevel="0" collapsed="false">
      <c r="A762" s="0" t="s">
        <v>773</v>
      </c>
      <c r="B762" s="0" t="s">
        <v>10</v>
      </c>
    </row>
    <row r="763" customFormat="false" ht="15" hidden="false" customHeight="false" outlineLevel="0" collapsed="false">
      <c r="A763" s="0" t="s">
        <v>774</v>
      </c>
      <c r="B763" s="0" t="s">
        <v>6</v>
      </c>
    </row>
    <row r="764" customFormat="false" ht="15" hidden="false" customHeight="false" outlineLevel="0" collapsed="false">
      <c r="A764" s="0" t="s">
        <v>775</v>
      </c>
      <c r="B764" s="0" t="s">
        <v>9</v>
      </c>
    </row>
    <row r="765" customFormat="false" ht="15" hidden="false" customHeight="false" outlineLevel="0" collapsed="false">
      <c r="A765" s="0" t="s">
        <v>776</v>
      </c>
      <c r="B765" s="0" t="s">
        <v>10</v>
      </c>
    </row>
    <row r="766" customFormat="false" ht="15" hidden="false" customHeight="false" outlineLevel="0" collapsed="false">
      <c r="A766" s="0" t="s">
        <v>777</v>
      </c>
      <c r="B766" s="0" t="s">
        <v>10</v>
      </c>
    </row>
    <row r="767" customFormat="false" ht="15" hidden="false" customHeight="false" outlineLevel="0" collapsed="false">
      <c r="A767" s="0" t="s">
        <v>778</v>
      </c>
      <c r="B767" s="0" t="s">
        <v>8</v>
      </c>
    </row>
    <row r="768" customFormat="false" ht="15" hidden="false" customHeight="false" outlineLevel="0" collapsed="false">
      <c r="A768" s="0" t="s">
        <v>779</v>
      </c>
      <c r="B768" s="0" t="s">
        <v>8</v>
      </c>
    </row>
    <row r="769" customFormat="false" ht="15" hidden="false" customHeight="false" outlineLevel="0" collapsed="false">
      <c r="A769" s="0" t="s">
        <v>780</v>
      </c>
      <c r="B769" s="0" t="s">
        <v>9</v>
      </c>
    </row>
    <row r="770" customFormat="false" ht="15" hidden="false" customHeight="false" outlineLevel="0" collapsed="false">
      <c r="A770" s="0" t="s">
        <v>781</v>
      </c>
      <c r="B770" s="0" t="s">
        <v>10</v>
      </c>
    </row>
    <row r="771" customFormat="false" ht="15" hidden="false" customHeight="false" outlineLevel="0" collapsed="false">
      <c r="A771" s="0" t="s">
        <v>782</v>
      </c>
      <c r="B771" s="0" t="s">
        <v>8</v>
      </c>
    </row>
    <row r="772" customFormat="false" ht="15" hidden="false" customHeight="false" outlineLevel="0" collapsed="false">
      <c r="A772" s="0" t="s">
        <v>783</v>
      </c>
      <c r="B772" s="0" t="s">
        <v>6</v>
      </c>
    </row>
    <row r="773" customFormat="false" ht="15" hidden="false" customHeight="false" outlineLevel="0" collapsed="false">
      <c r="A773" s="0" t="s">
        <v>784</v>
      </c>
      <c r="B773" s="0" t="s">
        <v>8</v>
      </c>
    </row>
    <row r="774" customFormat="false" ht="15" hidden="false" customHeight="false" outlineLevel="0" collapsed="false">
      <c r="A774" s="0" t="s">
        <v>785</v>
      </c>
      <c r="B774" s="0" t="s">
        <v>8</v>
      </c>
    </row>
    <row r="775" customFormat="false" ht="15" hidden="false" customHeight="false" outlineLevel="0" collapsed="false">
      <c r="A775" s="0" t="s">
        <v>786</v>
      </c>
      <c r="B775" s="0" t="s">
        <v>7</v>
      </c>
    </row>
    <row r="776" customFormat="false" ht="15" hidden="false" customHeight="false" outlineLevel="0" collapsed="false">
      <c r="A776" s="0" t="s">
        <v>787</v>
      </c>
      <c r="B776" s="0" t="s">
        <v>9</v>
      </c>
    </row>
    <row r="777" customFormat="false" ht="15" hidden="false" customHeight="false" outlineLevel="0" collapsed="false">
      <c r="A777" s="0" t="s">
        <v>788</v>
      </c>
      <c r="B777" s="0" t="s">
        <v>10</v>
      </c>
    </row>
    <row r="778" customFormat="false" ht="15" hidden="false" customHeight="false" outlineLevel="0" collapsed="false">
      <c r="A778" s="0" t="s">
        <v>789</v>
      </c>
      <c r="B778" s="0" t="s">
        <v>10</v>
      </c>
    </row>
    <row r="779" customFormat="false" ht="15" hidden="false" customHeight="false" outlineLevel="0" collapsed="false">
      <c r="A779" s="0" t="s">
        <v>790</v>
      </c>
      <c r="B779" s="0" t="s">
        <v>8</v>
      </c>
    </row>
    <row r="780" customFormat="false" ht="15" hidden="false" customHeight="false" outlineLevel="0" collapsed="false">
      <c r="A780" s="0" t="s">
        <v>791</v>
      </c>
      <c r="B780" s="0" t="s">
        <v>8</v>
      </c>
    </row>
    <row r="781" customFormat="false" ht="15" hidden="false" customHeight="false" outlineLevel="0" collapsed="false">
      <c r="A781" s="0" t="s">
        <v>792</v>
      </c>
      <c r="B781" s="0" t="s">
        <v>8</v>
      </c>
    </row>
    <row r="782" customFormat="false" ht="15" hidden="false" customHeight="false" outlineLevel="0" collapsed="false">
      <c r="A782" s="0" t="s">
        <v>793</v>
      </c>
      <c r="B782" s="0" t="s">
        <v>7</v>
      </c>
    </row>
    <row r="783" customFormat="false" ht="15" hidden="false" customHeight="false" outlineLevel="0" collapsed="false">
      <c r="A783" s="0" t="s">
        <v>794</v>
      </c>
      <c r="B783" s="0" t="s">
        <v>6</v>
      </c>
    </row>
    <row r="784" customFormat="false" ht="15" hidden="false" customHeight="false" outlineLevel="0" collapsed="false">
      <c r="A784" s="0" t="s">
        <v>795</v>
      </c>
      <c r="B784" s="0" t="s">
        <v>8</v>
      </c>
    </row>
    <row r="785" customFormat="false" ht="15" hidden="false" customHeight="false" outlineLevel="0" collapsed="false">
      <c r="A785" s="0" t="s">
        <v>796</v>
      </c>
      <c r="B785" s="0" t="s">
        <v>9</v>
      </c>
    </row>
    <row r="786" customFormat="false" ht="15" hidden="false" customHeight="false" outlineLevel="0" collapsed="false">
      <c r="A786" s="0" t="s">
        <v>797</v>
      </c>
      <c r="B786" s="0" t="s">
        <v>6</v>
      </c>
    </row>
    <row r="787" customFormat="false" ht="15" hidden="false" customHeight="false" outlineLevel="0" collapsed="false">
      <c r="A787" s="0" t="s">
        <v>798</v>
      </c>
      <c r="B787" s="0" t="s">
        <v>8</v>
      </c>
    </row>
    <row r="788" customFormat="false" ht="15" hidden="false" customHeight="false" outlineLevel="0" collapsed="false">
      <c r="A788" s="0" t="s">
        <v>799</v>
      </c>
      <c r="B788" s="0" t="s">
        <v>9</v>
      </c>
    </row>
    <row r="789" customFormat="false" ht="15" hidden="false" customHeight="false" outlineLevel="0" collapsed="false">
      <c r="A789" s="0" t="s">
        <v>800</v>
      </c>
      <c r="B789" s="0" t="s">
        <v>9</v>
      </c>
    </row>
    <row r="790" customFormat="false" ht="15" hidden="false" customHeight="false" outlineLevel="0" collapsed="false">
      <c r="A790" s="0" t="s">
        <v>801</v>
      </c>
      <c r="B790" s="0" t="s">
        <v>9</v>
      </c>
    </row>
    <row r="791" customFormat="false" ht="15" hidden="false" customHeight="false" outlineLevel="0" collapsed="false">
      <c r="A791" s="0" t="s">
        <v>802</v>
      </c>
      <c r="B791" s="0" t="s">
        <v>6</v>
      </c>
    </row>
    <row r="792" customFormat="false" ht="15" hidden="false" customHeight="false" outlineLevel="0" collapsed="false">
      <c r="A792" s="0" t="s">
        <v>803</v>
      </c>
      <c r="B792" s="0" t="s">
        <v>9</v>
      </c>
    </row>
    <row r="793" customFormat="false" ht="15" hidden="false" customHeight="false" outlineLevel="0" collapsed="false">
      <c r="A793" s="0" t="s">
        <v>804</v>
      </c>
      <c r="B793" s="0" t="s">
        <v>8</v>
      </c>
    </row>
    <row r="794" customFormat="false" ht="15" hidden="false" customHeight="false" outlineLevel="0" collapsed="false">
      <c r="A794" s="0" t="s">
        <v>805</v>
      </c>
      <c r="B794" s="0" t="s">
        <v>8</v>
      </c>
    </row>
    <row r="795" customFormat="false" ht="15" hidden="false" customHeight="false" outlineLevel="0" collapsed="false">
      <c r="A795" s="0" t="s">
        <v>806</v>
      </c>
      <c r="B795" s="0" t="s">
        <v>9</v>
      </c>
    </row>
    <row r="796" customFormat="false" ht="15" hidden="false" customHeight="false" outlineLevel="0" collapsed="false">
      <c r="A796" s="0" t="s">
        <v>807</v>
      </c>
      <c r="B796" s="0" t="s">
        <v>6</v>
      </c>
    </row>
    <row r="797" customFormat="false" ht="15" hidden="false" customHeight="false" outlineLevel="0" collapsed="false">
      <c r="A797" s="0" t="s">
        <v>808</v>
      </c>
      <c r="B797" s="0" t="s">
        <v>8</v>
      </c>
    </row>
    <row r="798" customFormat="false" ht="15" hidden="false" customHeight="false" outlineLevel="0" collapsed="false">
      <c r="A798" s="0" t="s">
        <v>809</v>
      </c>
      <c r="B798" s="0" t="s">
        <v>6</v>
      </c>
    </row>
    <row r="799" customFormat="false" ht="15" hidden="false" customHeight="false" outlineLevel="0" collapsed="false">
      <c r="A799" s="0" t="s">
        <v>810</v>
      </c>
      <c r="B799" s="0" t="s">
        <v>7</v>
      </c>
    </row>
    <row r="800" customFormat="false" ht="15" hidden="false" customHeight="false" outlineLevel="0" collapsed="false">
      <c r="A800" s="0" t="s">
        <v>811</v>
      </c>
      <c r="B800" s="0" t="s">
        <v>10</v>
      </c>
    </row>
    <row r="801" customFormat="false" ht="15" hidden="false" customHeight="false" outlineLevel="0" collapsed="false">
      <c r="A801" s="0" t="s">
        <v>812</v>
      </c>
      <c r="B801" s="0" t="s">
        <v>7</v>
      </c>
    </row>
    <row r="802" customFormat="false" ht="15" hidden="false" customHeight="false" outlineLevel="0" collapsed="false">
      <c r="A802" s="0" t="s">
        <v>813</v>
      </c>
      <c r="B802" s="0" t="s">
        <v>6</v>
      </c>
    </row>
    <row r="803" customFormat="false" ht="15" hidden="false" customHeight="false" outlineLevel="0" collapsed="false">
      <c r="A803" s="0" t="s">
        <v>814</v>
      </c>
      <c r="B803" s="0" t="s">
        <v>10</v>
      </c>
    </row>
    <row r="804" customFormat="false" ht="15" hidden="false" customHeight="false" outlineLevel="0" collapsed="false">
      <c r="A804" s="0" t="s">
        <v>815</v>
      </c>
      <c r="B804" s="0" t="s">
        <v>10</v>
      </c>
    </row>
    <row r="805" customFormat="false" ht="15" hidden="false" customHeight="false" outlineLevel="0" collapsed="false">
      <c r="A805" s="0" t="s">
        <v>816</v>
      </c>
      <c r="B805" s="0" t="s">
        <v>10</v>
      </c>
    </row>
    <row r="806" customFormat="false" ht="15" hidden="false" customHeight="false" outlineLevel="0" collapsed="false">
      <c r="A806" s="0" t="s">
        <v>817</v>
      </c>
      <c r="B806" s="0" t="s">
        <v>6</v>
      </c>
    </row>
    <row r="807" customFormat="false" ht="15" hidden="false" customHeight="false" outlineLevel="0" collapsed="false">
      <c r="A807" s="0" t="s">
        <v>818</v>
      </c>
      <c r="B807" s="0" t="s">
        <v>10</v>
      </c>
    </row>
    <row r="808" customFormat="false" ht="15" hidden="false" customHeight="false" outlineLevel="0" collapsed="false">
      <c r="A808" s="0" t="s">
        <v>819</v>
      </c>
      <c r="B808" s="0" t="s">
        <v>9</v>
      </c>
    </row>
    <row r="809" customFormat="false" ht="15" hidden="false" customHeight="false" outlineLevel="0" collapsed="false">
      <c r="A809" s="0" t="s">
        <v>820</v>
      </c>
      <c r="B809" s="0" t="s">
        <v>10</v>
      </c>
    </row>
    <row r="810" customFormat="false" ht="15" hidden="false" customHeight="false" outlineLevel="0" collapsed="false">
      <c r="A810" s="0" t="s">
        <v>821</v>
      </c>
      <c r="B810" s="0" t="s">
        <v>8</v>
      </c>
    </row>
    <row r="811" customFormat="false" ht="15" hidden="false" customHeight="false" outlineLevel="0" collapsed="false">
      <c r="A811" s="0" t="s">
        <v>822</v>
      </c>
      <c r="B811" s="0" t="s">
        <v>9</v>
      </c>
    </row>
    <row r="812" customFormat="false" ht="15" hidden="false" customHeight="false" outlineLevel="0" collapsed="false">
      <c r="A812" s="0" t="s">
        <v>823</v>
      </c>
      <c r="B812" s="0" t="s">
        <v>10</v>
      </c>
    </row>
    <row r="813" customFormat="false" ht="15" hidden="false" customHeight="false" outlineLevel="0" collapsed="false">
      <c r="A813" s="0" t="s">
        <v>824</v>
      </c>
      <c r="B813" s="0" t="s">
        <v>10</v>
      </c>
    </row>
    <row r="814" customFormat="false" ht="15" hidden="false" customHeight="false" outlineLevel="0" collapsed="false">
      <c r="A814" s="0" t="s">
        <v>825</v>
      </c>
      <c r="B814" s="0" t="s">
        <v>6</v>
      </c>
    </row>
    <row r="815" customFormat="false" ht="15" hidden="false" customHeight="false" outlineLevel="0" collapsed="false">
      <c r="A815" s="0" t="s">
        <v>826</v>
      </c>
      <c r="B815" s="0" t="s">
        <v>10</v>
      </c>
    </row>
    <row r="816" customFormat="false" ht="15" hidden="false" customHeight="false" outlineLevel="0" collapsed="false">
      <c r="A816" s="0" t="s">
        <v>827</v>
      </c>
      <c r="B816" s="0" t="s">
        <v>8</v>
      </c>
    </row>
    <row r="817" customFormat="false" ht="15" hidden="false" customHeight="false" outlineLevel="0" collapsed="false">
      <c r="A817" s="0" t="s">
        <v>828</v>
      </c>
      <c r="B817" s="0" t="s">
        <v>10</v>
      </c>
    </row>
    <row r="818" customFormat="false" ht="15" hidden="false" customHeight="false" outlineLevel="0" collapsed="false">
      <c r="A818" s="0" t="s">
        <v>829</v>
      </c>
      <c r="B818" s="0" t="s">
        <v>8</v>
      </c>
    </row>
    <row r="819" customFormat="false" ht="15" hidden="false" customHeight="false" outlineLevel="0" collapsed="false">
      <c r="A819" s="0" t="s">
        <v>830</v>
      </c>
      <c r="B819" s="0" t="s">
        <v>8</v>
      </c>
    </row>
    <row r="820" customFormat="false" ht="15" hidden="false" customHeight="false" outlineLevel="0" collapsed="false">
      <c r="A820" s="0" t="s">
        <v>831</v>
      </c>
      <c r="B820" s="0" t="s">
        <v>10</v>
      </c>
    </row>
    <row r="821" customFormat="false" ht="15" hidden="false" customHeight="false" outlineLevel="0" collapsed="false">
      <c r="A821" s="0" t="s">
        <v>832</v>
      </c>
      <c r="B821" s="0" t="s">
        <v>6</v>
      </c>
    </row>
    <row r="822" customFormat="false" ht="15" hidden="false" customHeight="false" outlineLevel="0" collapsed="false">
      <c r="A822" s="0" t="s">
        <v>833</v>
      </c>
      <c r="B822" s="0" t="s">
        <v>9</v>
      </c>
    </row>
    <row r="823" customFormat="false" ht="15" hidden="false" customHeight="false" outlineLevel="0" collapsed="false">
      <c r="A823" s="0" t="s">
        <v>834</v>
      </c>
      <c r="B823" s="0" t="s">
        <v>10</v>
      </c>
    </row>
    <row r="824" customFormat="false" ht="15" hidden="false" customHeight="false" outlineLevel="0" collapsed="false">
      <c r="A824" s="0" t="s">
        <v>835</v>
      </c>
      <c r="B824" s="0" t="s">
        <v>10</v>
      </c>
    </row>
    <row r="825" customFormat="false" ht="15" hidden="false" customHeight="false" outlineLevel="0" collapsed="false">
      <c r="A825" s="0" t="s">
        <v>836</v>
      </c>
      <c r="B825" s="0" t="s">
        <v>10</v>
      </c>
    </row>
    <row r="826" customFormat="false" ht="15" hidden="false" customHeight="false" outlineLevel="0" collapsed="false">
      <c r="A826" s="0" t="s">
        <v>837</v>
      </c>
      <c r="B826" s="0" t="s">
        <v>6</v>
      </c>
    </row>
    <row r="827" customFormat="false" ht="15" hidden="false" customHeight="false" outlineLevel="0" collapsed="false">
      <c r="A827" s="0" t="s">
        <v>838</v>
      </c>
      <c r="B827" s="0" t="s">
        <v>10</v>
      </c>
    </row>
    <row r="828" customFormat="false" ht="15" hidden="false" customHeight="false" outlineLevel="0" collapsed="false">
      <c r="A828" s="0" t="s">
        <v>839</v>
      </c>
      <c r="B828" s="0" t="s">
        <v>10</v>
      </c>
    </row>
    <row r="829" customFormat="false" ht="15" hidden="false" customHeight="false" outlineLevel="0" collapsed="false">
      <c r="A829" s="0" t="s">
        <v>840</v>
      </c>
      <c r="B829" s="0" t="s">
        <v>9</v>
      </c>
    </row>
    <row r="830" customFormat="false" ht="15" hidden="false" customHeight="false" outlineLevel="0" collapsed="false">
      <c r="A830" s="0" t="s">
        <v>841</v>
      </c>
      <c r="B830" s="0" t="s">
        <v>7</v>
      </c>
    </row>
    <row r="831" customFormat="false" ht="15" hidden="false" customHeight="false" outlineLevel="0" collapsed="false">
      <c r="A831" s="0" t="s">
        <v>842</v>
      </c>
      <c r="B831" s="0" t="s">
        <v>10</v>
      </c>
    </row>
    <row r="832" customFormat="false" ht="15" hidden="false" customHeight="false" outlineLevel="0" collapsed="false">
      <c r="A832" s="0" t="s">
        <v>843</v>
      </c>
      <c r="B832" s="0" t="s">
        <v>10</v>
      </c>
    </row>
    <row r="833" customFormat="false" ht="15" hidden="false" customHeight="false" outlineLevel="0" collapsed="false">
      <c r="A833" s="0" t="s">
        <v>844</v>
      </c>
      <c r="B833" s="0" t="s">
        <v>6</v>
      </c>
    </row>
    <row r="834" customFormat="false" ht="15" hidden="false" customHeight="false" outlineLevel="0" collapsed="false">
      <c r="A834" s="0" t="s">
        <v>845</v>
      </c>
      <c r="B834" s="0" t="s">
        <v>8</v>
      </c>
    </row>
    <row r="835" customFormat="false" ht="15" hidden="false" customHeight="false" outlineLevel="0" collapsed="false">
      <c r="A835" s="0" t="s">
        <v>846</v>
      </c>
      <c r="B835" s="0" t="s">
        <v>10</v>
      </c>
    </row>
    <row r="836" customFormat="false" ht="15" hidden="false" customHeight="false" outlineLevel="0" collapsed="false">
      <c r="A836" s="0" t="s">
        <v>847</v>
      </c>
      <c r="B836" s="0" t="s">
        <v>10</v>
      </c>
    </row>
    <row r="837" customFormat="false" ht="15" hidden="false" customHeight="false" outlineLevel="0" collapsed="false">
      <c r="A837" s="0" t="s">
        <v>848</v>
      </c>
      <c r="B837" s="0" t="s">
        <v>9</v>
      </c>
    </row>
    <row r="838" customFormat="false" ht="15" hidden="false" customHeight="false" outlineLevel="0" collapsed="false">
      <c r="A838" s="0" t="s">
        <v>849</v>
      </c>
      <c r="B838" s="0" t="s">
        <v>7</v>
      </c>
    </row>
    <row r="839" customFormat="false" ht="15" hidden="false" customHeight="false" outlineLevel="0" collapsed="false">
      <c r="A839" s="0" t="s">
        <v>850</v>
      </c>
      <c r="B839" s="0" t="s">
        <v>9</v>
      </c>
    </row>
    <row r="840" customFormat="false" ht="15" hidden="false" customHeight="false" outlineLevel="0" collapsed="false">
      <c r="A840" s="0" t="s">
        <v>851</v>
      </c>
      <c r="B840" s="0" t="s">
        <v>10</v>
      </c>
    </row>
    <row r="841" customFormat="false" ht="15" hidden="false" customHeight="false" outlineLevel="0" collapsed="false">
      <c r="A841" s="0" t="s">
        <v>852</v>
      </c>
      <c r="B841" s="0" t="s">
        <v>10</v>
      </c>
    </row>
    <row r="842" customFormat="false" ht="15" hidden="false" customHeight="false" outlineLevel="0" collapsed="false">
      <c r="A842" s="0" t="s">
        <v>853</v>
      </c>
      <c r="B842" s="0" t="s">
        <v>10</v>
      </c>
    </row>
    <row r="843" customFormat="false" ht="15" hidden="false" customHeight="false" outlineLevel="0" collapsed="false">
      <c r="A843" s="0" t="s">
        <v>854</v>
      </c>
      <c r="B843" s="0" t="s">
        <v>8</v>
      </c>
    </row>
    <row r="844" customFormat="false" ht="15" hidden="false" customHeight="false" outlineLevel="0" collapsed="false">
      <c r="A844" s="0" t="s">
        <v>855</v>
      </c>
      <c r="B844" s="0" t="s">
        <v>8</v>
      </c>
    </row>
    <row r="845" customFormat="false" ht="15" hidden="false" customHeight="false" outlineLevel="0" collapsed="false">
      <c r="A845" s="0" t="s">
        <v>856</v>
      </c>
      <c r="B845" s="0" t="s">
        <v>8</v>
      </c>
    </row>
    <row r="846" customFormat="false" ht="15" hidden="false" customHeight="false" outlineLevel="0" collapsed="false">
      <c r="A846" s="0" t="s">
        <v>857</v>
      </c>
      <c r="B846" s="0" t="s">
        <v>8</v>
      </c>
    </row>
    <row r="847" customFormat="false" ht="15" hidden="false" customHeight="false" outlineLevel="0" collapsed="false">
      <c r="A847" s="0" t="s">
        <v>858</v>
      </c>
      <c r="B847" s="0" t="s">
        <v>8</v>
      </c>
    </row>
    <row r="848" customFormat="false" ht="15" hidden="false" customHeight="false" outlineLevel="0" collapsed="false">
      <c r="A848" s="0" t="s">
        <v>859</v>
      </c>
      <c r="B848" s="0" t="s">
        <v>9</v>
      </c>
    </row>
    <row r="849" customFormat="false" ht="15" hidden="false" customHeight="false" outlineLevel="0" collapsed="false">
      <c r="A849" s="0" t="s">
        <v>860</v>
      </c>
      <c r="B849" s="0" t="s">
        <v>10</v>
      </c>
    </row>
    <row r="850" customFormat="false" ht="15" hidden="false" customHeight="false" outlineLevel="0" collapsed="false">
      <c r="A850" s="0" t="s">
        <v>861</v>
      </c>
      <c r="B850" s="0" t="s">
        <v>9</v>
      </c>
    </row>
    <row r="851" customFormat="false" ht="15" hidden="false" customHeight="false" outlineLevel="0" collapsed="false">
      <c r="A851" s="0" t="s">
        <v>862</v>
      </c>
      <c r="B851" s="0" t="s">
        <v>10</v>
      </c>
    </row>
    <row r="852" customFormat="false" ht="15" hidden="false" customHeight="false" outlineLevel="0" collapsed="false">
      <c r="A852" s="0" t="s">
        <v>863</v>
      </c>
      <c r="B852" s="0" t="s">
        <v>9</v>
      </c>
    </row>
    <row r="853" customFormat="false" ht="15" hidden="false" customHeight="false" outlineLevel="0" collapsed="false">
      <c r="A853" s="0" t="s">
        <v>864</v>
      </c>
      <c r="B853" s="0" t="s">
        <v>10</v>
      </c>
    </row>
    <row r="854" customFormat="false" ht="15" hidden="false" customHeight="false" outlineLevel="0" collapsed="false">
      <c r="A854" s="0" t="s">
        <v>865</v>
      </c>
      <c r="B854" s="0" t="s">
        <v>10</v>
      </c>
    </row>
    <row r="855" customFormat="false" ht="15" hidden="false" customHeight="false" outlineLevel="0" collapsed="false">
      <c r="A855" s="0" t="s">
        <v>866</v>
      </c>
      <c r="B855" s="0" t="s">
        <v>10</v>
      </c>
    </row>
    <row r="856" customFormat="false" ht="15" hidden="false" customHeight="false" outlineLevel="0" collapsed="false">
      <c r="A856" s="0" t="s">
        <v>867</v>
      </c>
      <c r="B856" s="0" t="s">
        <v>6</v>
      </c>
    </row>
    <row r="857" customFormat="false" ht="15" hidden="false" customHeight="false" outlineLevel="0" collapsed="false">
      <c r="A857" s="0" t="s">
        <v>868</v>
      </c>
      <c r="B857" s="0" t="s">
        <v>9</v>
      </c>
    </row>
    <row r="858" customFormat="false" ht="15" hidden="false" customHeight="false" outlineLevel="0" collapsed="false">
      <c r="A858" s="0" t="s">
        <v>869</v>
      </c>
      <c r="B858" s="0" t="s">
        <v>9</v>
      </c>
    </row>
    <row r="859" customFormat="false" ht="15" hidden="false" customHeight="false" outlineLevel="0" collapsed="false">
      <c r="A859" s="0" t="s">
        <v>870</v>
      </c>
      <c r="B859" s="0" t="s">
        <v>6</v>
      </c>
    </row>
    <row r="860" customFormat="false" ht="15" hidden="false" customHeight="false" outlineLevel="0" collapsed="false">
      <c r="A860" s="0" t="s">
        <v>871</v>
      </c>
      <c r="B860" s="0" t="s">
        <v>8</v>
      </c>
    </row>
    <row r="861" customFormat="false" ht="15" hidden="false" customHeight="false" outlineLevel="0" collapsed="false">
      <c r="A861" s="0" t="s">
        <v>872</v>
      </c>
      <c r="B861" s="0" t="s">
        <v>10</v>
      </c>
    </row>
    <row r="862" customFormat="false" ht="15" hidden="false" customHeight="false" outlineLevel="0" collapsed="false">
      <c r="A862" s="0" t="s">
        <v>873</v>
      </c>
      <c r="B862" s="0" t="s">
        <v>9</v>
      </c>
    </row>
    <row r="863" customFormat="false" ht="15" hidden="false" customHeight="false" outlineLevel="0" collapsed="false">
      <c r="A863" s="0" t="s">
        <v>874</v>
      </c>
      <c r="B863" s="0" t="s">
        <v>6</v>
      </c>
    </row>
    <row r="864" customFormat="false" ht="15" hidden="false" customHeight="false" outlineLevel="0" collapsed="false">
      <c r="A864" s="0" t="s">
        <v>875</v>
      </c>
      <c r="B864" s="0" t="s">
        <v>9</v>
      </c>
    </row>
    <row r="865" customFormat="false" ht="15" hidden="false" customHeight="false" outlineLevel="0" collapsed="false">
      <c r="A865" s="0" t="s">
        <v>876</v>
      </c>
      <c r="B865" s="0" t="s">
        <v>8</v>
      </c>
    </row>
    <row r="866" customFormat="false" ht="15" hidden="false" customHeight="false" outlineLevel="0" collapsed="false">
      <c r="A866" s="0" t="s">
        <v>877</v>
      </c>
      <c r="B866" s="0" t="s">
        <v>8</v>
      </c>
    </row>
    <row r="867" customFormat="false" ht="15" hidden="false" customHeight="false" outlineLevel="0" collapsed="false">
      <c r="A867" s="0" t="s">
        <v>878</v>
      </c>
      <c r="B867" s="0" t="s">
        <v>9</v>
      </c>
    </row>
    <row r="868" customFormat="false" ht="15" hidden="false" customHeight="false" outlineLevel="0" collapsed="false">
      <c r="A868" s="0" t="s">
        <v>879</v>
      </c>
      <c r="B868" s="0" t="s">
        <v>10</v>
      </c>
    </row>
    <row r="869" customFormat="false" ht="15" hidden="false" customHeight="false" outlineLevel="0" collapsed="false">
      <c r="A869" s="0" t="s">
        <v>880</v>
      </c>
      <c r="B869" s="0" t="s">
        <v>9</v>
      </c>
    </row>
    <row r="870" customFormat="false" ht="15" hidden="false" customHeight="false" outlineLevel="0" collapsed="false">
      <c r="A870" s="0" t="s">
        <v>881</v>
      </c>
      <c r="B870" s="0" t="s">
        <v>7</v>
      </c>
    </row>
    <row r="871" customFormat="false" ht="15" hidden="false" customHeight="false" outlineLevel="0" collapsed="false">
      <c r="A871" s="0" t="s">
        <v>882</v>
      </c>
      <c r="B871" s="0" t="s">
        <v>6</v>
      </c>
    </row>
    <row r="872" customFormat="false" ht="15" hidden="false" customHeight="false" outlineLevel="0" collapsed="false">
      <c r="A872" s="0" t="s">
        <v>883</v>
      </c>
      <c r="B872" s="0" t="s">
        <v>9</v>
      </c>
    </row>
    <row r="873" customFormat="false" ht="15" hidden="false" customHeight="false" outlineLevel="0" collapsed="false">
      <c r="A873" s="0" t="s">
        <v>884</v>
      </c>
      <c r="B873" s="0" t="s">
        <v>9</v>
      </c>
    </row>
    <row r="874" customFormat="false" ht="15" hidden="false" customHeight="false" outlineLevel="0" collapsed="false">
      <c r="A874" s="0" t="s">
        <v>885</v>
      </c>
      <c r="B874" s="0" t="s">
        <v>8</v>
      </c>
    </row>
    <row r="875" customFormat="false" ht="15" hidden="false" customHeight="false" outlineLevel="0" collapsed="false">
      <c r="A875" s="0" t="s">
        <v>886</v>
      </c>
      <c r="B875" s="0" t="s">
        <v>9</v>
      </c>
    </row>
    <row r="876" customFormat="false" ht="15" hidden="false" customHeight="false" outlineLevel="0" collapsed="false">
      <c r="A876" s="0" t="s">
        <v>887</v>
      </c>
      <c r="B876" s="0" t="s">
        <v>9</v>
      </c>
    </row>
    <row r="877" customFormat="false" ht="15" hidden="false" customHeight="false" outlineLevel="0" collapsed="false">
      <c r="A877" s="0" t="s">
        <v>888</v>
      </c>
      <c r="B877" s="0" t="s">
        <v>9</v>
      </c>
    </row>
    <row r="878" customFormat="false" ht="15" hidden="false" customHeight="false" outlineLevel="0" collapsed="false">
      <c r="A878" s="0" t="s">
        <v>889</v>
      </c>
      <c r="B878" s="0" t="s">
        <v>8</v>
      </c>
    </row>
    <row r="879" customFormat="false" ht="15" hidden="false" customHeight="false" outlineLevel="0" collapsed="false">
      <c r="A879" s="0" t="s">
        <v>890</v>
      </c>
      <c r="B879" s="0" t="s">
        <v>9</v>
      </c>
    </row>
    <row r="880" customFormat="false" ht="15" hidden="false" customHeight="false" outlineLevel="0" collapsed="false">
      <c r="A880" s="0" t="s">
        <v>891</v>
      </c>
      <c r="B880" s="0" t="s">
        <v>6</v>
      </c>
    </row>
    <row r="881" customFormat="false" ht="15" hidden="false" customHeight="false" outlineLevel="0" collapsed="false">
      <c r="A881" s="0" t="s">
        <v>892</v>
      </c>
      <c r="B881" s="0" t="s">
        <v>9</v>
      </c>
    </row>
    <row r="882" customFormat="false" ht="15" hidden="false" customHeight="false" outlineLevel="0" collapsed="false">
      <c r="A882" s="0" t="s">
        <v>893</v>
      </c>
      <c r="B882" s="0" t="s">
        <v>8</v>
      </c>
    </row>
    <row r="883" customFormat="false" ht="15" hidden="false" customHeight="false" outlineLevel="0" collapsed="false">
      <c r="A883" s="0" t="s">
        <v>894</v>
      </c>
      <c r="B883" s="0" t="s">
        <v>8</v>
      </c>
    </row>
    <row r="884" customFormat="false" ht="15" hidden="false" customHeight="false" outlineLevel="0" collapsed="false">
      <c r="A884" s="0" t="s">
        <v>895</v>
      </c>
      <c r="B884" s="0" t="s">
        <v>6</v>
      </c>
    </row>
    <row r="885" customFormat="false" ht="15" hidden="false" customHeight="false" outlineLevel="0" collapsed="false">
      <c r="A885" s="0" t="s">
        <v>896</v>
      </c>
      <c r="B885" s="0" t="s">
        <v>8</v>
      </c>
    </row>
    <row r="886" customFormat="false" ht="15" hidden="false" customHeight="false" outlineLevel="0" collapsed="false">
      <c r="A886" s="0" t="s">
        <v>897</v>
      </c>
      <c r="B886" s="0" t="s">
        <v>10</v>
      </c>
    </row>
    <row r="887" customFormat="false" ht="15" hidden="false" customHeight="false" outlineLevel="0" collapsed="false">
      <c r="A887" s="0" t="s">
        <v>898</v>
      </c>
      <c r="B887" s="0" t="s">
        <v>6</v>
      </c>
    </row>
    <row r="888" customFormat="false" ht="15" hidden="false" customHeight="false" outlineLevel="0" collapsed="false">
      <c r="A888" s="0" t="s">
        <v>899</v>
      </c>
      <c r="B888" s="0" t="s">
        <v>6</v>
      </c>
    </row>
    <row r="889" customFormat="false" ht="15" hidden="false" customHeight="false" outlineLevel="0" collapsed="false">
      <c r="A889" s="0" t="s">
        <v>900</v>
      </c>
      <c r="B889" s="0" t="s">
        <v>8</v>
      </c>
    </row>
    <row r="890" customFormat="false" ht="15" hidden="false" customHeight="false" outlineLevel="0" collapsed="false">
      <c r="A890" s="0" t="s">
        <v>901</v>
      </c>
      <c r="B890" s="0" t="s">
        <v>6</v>
      </c>
    </row>
    <row r="891" customFormat="false" ht="15" hidden="false" customHeight="false" outlineLevel="0" collapsed="false">
      <c r="A891" s="0" t="s">
        <v>902</v>
      </c>
      <c r="B891" s="0" t="s">
        <v>8</v>
      </c>
    </row>
    <row r="892" customFormat="false" ht="15" hidden="false" customHeight="false" outlineLevel="0" collapsed="false">
      <c r="A892" s="0" t="s">
        <v>903</v>
      </c>
      <c r="B892" s="0" t="s">
        <v>9</v>
      </c>
    </row>
    <row r="893" customFormat="false" ht="15" hidden="false" customHeight="false" outlineLevel="0" collapsed="false">
      <c r="A893" s="0" t="s">
        <v>904</v>
      </c>
      <c r="B893" s="0" t="s">
        <v>10</v>
      </c>
    </row>
    <row r="894" customFormat="false" ht="15" hidden="false" customHeight="false" outlineLevel="0" collapsed="false">
      <c r="A894" s="0" t="s">
        <v>905</v>
      </c>
      <c r="B894" s="0" t="s">
        <v>7</v>
      </c>
    </row>
    <row r="895" customFormat="false" ht="15" hidden="false" customHeight="false" outlineLevel="0" collapsed="false">
      <c r="A895" s="0" t="s">
        <v>906</v>
      </c>
      <c r="B895" s="0" t="s">
        <v>10</v>
      </c>
    </row>
    <row r="896" customFormat="false" ht="15" hidden="false" customHeight="false" outlineLevel="0" collapsed="false">
      <c r="A896" s="0" t="s">
        <v>907</v>
      </c>
      <c r="B896" s="0" t="s">
        <v>9</v>
      </c>
    </row>
    <row r="897" customFormat="false" ht="15" hidden="false" customHeight="false" outlineLevel="0" collapsed="false">
      <c r="A897" s="0" t="s">
        <v>908</v>
      </c>
      <c r="B897" s="0" t="s">
        <v>9</v>
      </c>
    </row>
    <row r="898" customFormat="false" ht="15" hidden="false" customHeight="false" outlineLevel="0" collapsed="false">
      <c r="A898" s="0" t="s">
        <v>909</v>
      </c>
      <c r="B898" s="0" t="s">
        <v>9</v>
      </c>
    </row>
    <row r="899" customFormat="false" ht="15" hidden="false" customHeight="false" outlineLevel="0" collapsed="false">
      <c r="A899" s="0" t="s">
        <v>910</v>
      </c>
      <c r="B899" s="0" t="s">
        <v>9</v>
      </c>
    </row>
    <row r="900" customFormat="false" ht="15" hidden="false" customHeight="false" outlineLevel="0" collapsed="false">
      <c r="A900" s="0" t="s">
        <v>911</v>
      </c>
      <c r="B900" s="0" t="s">
        <v>10</v>
      </c>
    </row>
    <row r="901" customFormat="false" ht="15" hidden="false" customHeight="false" outlineLevel="0" collapsed="false">
      <c r="A901" s="0" t="s">
        <v>912</v>
      </c>
      <c r="B901" s="0" t="s">
        <v>9</v>
      </c>
    </row>
    <row r="902" customFormat="false" ht="15" hidden="false" customHeight="false" outlineLevel="0" collapsed="false">
      <c r="A902" s="0" t="s">
        <v>913</v>
      </c>
      <c r="B902" s="0" t="s">
        <v>6</v>
      </c>
    </row>
    <row r="903" customFormat="false" ht="15" hidden="false" customHeight="false" outlineLevel="0" collapsed="false">
      <c r="A903" s="0" t="s">
        <v>914</v>
      </c>
      <c r="B903" s="0" t="s">
        <v>9</v>
      </c>
    </row>
    <row r="904" customFormat="false" ht="15" hidden="false" customHeight="false" outlineLevel="0" collapsed="false">
      <c r="A904" s="0" t="s">
        <v>915</v>
      </c>
      <c r="B904" s="0" t="s">
        <v>6</v>
      </c>
    </row>
    <row r="905" customFormat="false" ht="15" hidden="false" customHeight="false" outlineLevel="0" collapsed="false">
      <c r="A905" s="0" t="s">
        <v>916</v>
      </c>
      <c r="B905" s="0" t="s">
        <v>6</v>
      </c>
    </row>
    <row r="906" customFormat="false" ht="15" hidden="false" customHeight="false" outlineLevel="0" collapsed="false">
      <c r="A906" s="0" t="s">
        <v>917</v>
      </c>
      <c r="B906" s="0" t="s">
        <v>10</v>
      </c>
    </row>
    <row r="907" customFormat="false" ht="15" hidden="false" customHeight="false" outlineLevel="0" collapsed="false">
      <c r="A907" s="0" t="s">
        <v>918</v>
      </c>
      <c r="B907" s="0" t="s">
        <v>8</v>
      </c>
    </row>
    <row r="908" customFormat="false" ht="15" hidden="false" customHeight="false" outlineLevel="0" collapsed="false">
      <c r="A908" s="0" t="s">
        <v>919</v>
      </c>
      <c r="B908" s="0" t="s">
        <v>9</v>
      </c>
    </row>
    <row r="909" customFormat="false" ht="15" hidden="false" customHeight="false" outlineLevel="0" collapsed="false">
      <c r="A909" s="0" t="s">
        <v>920</v>
      </c>
      <c r="B909" s="0" t="s">
        <v>10</v>
      </c>
    </row>
    <row r="910" customFormat="false" ht="15" hidden="false" customHeight="false" outlineLevel="0" collapsed="false">
      <c r="A910" s="0" t="s">
        <v>921</v>
      </c>
      <c r="B910" s="0" t="s">
        <v>10</v>
      </c>
    </row>
    <row r="911" customFormat="false" ht="15" hidden="false" customHeight="false" outlineLevel="0" collapsed="false">
      <c r="A911" s="0" t="s">
        <v>922</v>
      </c>
      <c r="B911" s="0" t="s">
        <v>10</v>
      </c>
    </row>
    <row r="912" customFormat="false" ht="15" hidden="false" customHeight="false" outlineLevel="0" collapsed="false">
      <c r="A912" s="0" t="s">
        <v>923</v>
      </c>
      <c r="B912" s="0" t="s">
        <v>6</v>
      </c>
    </row>
    <row r="913" customFormat="false" ht="15" hidden="false" customHeight="false" outlineLevel="0" collapsed="false">
      <c r="A913" s="0" t="s">
        <v>924</v>
      </c>
      <c r="B913" s="0" t="s">
        <v>9</v>
      </c>
    </row>
    <row r="914" customFormat="false" ht="15" hidden="false" customHeight="false" outlineLevel="0" collapsed="false">
      <c r="A914" s="0" t="s">
        <v>925</v>
      </c>
      <c r="B914" s="0" t="s">
        <v>8</v>
      </c>
    </row>
    <row r="915" customFormat="false" ht="15" hidden="false" customHeight="false" outlineLevel="0" collapsed="false">
      <c r="A915" s="0" t="s">
        <v>926</v>
      </c>
      <c r="B915" s="0" t="s">
        <v>8</v>
      </c>
    </row>
    <row r="916" customFormat="false" ht="15" hidden="false" customHeight="false" outlineLevel="0" collapsed="false">
      <c r="A916" s="0" t="s">
        <v>927</v>
      </c>
      <c r="B916" s="0" t="s">
        <v>6</v>
      </c>
    </row>
    <row r="917" customFormat="false" ht="15" hidden="false" customHeight="false" outlineLevel="0" collapsed="false">
      <c r="A917" s="0" t="s">
        <v>928</v>
      </c>
      <c r="B917" s="0" t="s">
        <v>10</v>
      </c>
    </row>
    <row r="918" customFormat="false" ht="15" hidden="false" customHeight="false" outlineLevel="0" collapsed="false">
      <c r="A918" s="0" t="s">
        <v>929</v>
      </c>
      <c r="B918" s="0" t="s">
        <v>9</v>
      </c>
    </row>
    <row r="919" customFormat="false" ht="15" hidden="false" customHeight="false" outlineLevel="0" collapsed="false">
      <c r="A919" s="0" t="s">
        <v>930</v>
      </c>
      <c r="B919" s="0" t="s">
        <v>6</v>
      </c>
    </row>
    <row r="920" customFormat="false" ht="15" hidden="false" customHeight="false" outlineLevel="0" collapsed="false">
      <c r="A920" s="0" t="s">
        <v>931</v>
      </c>
      <c r="B920" s="0" t="s">
        <v>8</v>
      </c>
    </row>
    <row r="921" customFormat="false" ht="15" hidden="false" customHeight="false" outlineLevel="0" collapsed="false">
      <c r="A921" s="0" t="s">
        <v>932</v>
      </c>
      <c r="B921" s="0" t="s">
        <v>8</v>
      </c>
    </row>
    <row r="922" customFormat="false" ht="15" hidden="false" customHeight="false" outlineLevel="0" collapsed="false">
      <c r="A922" s="0" t="s">
        <v>933</v>
      </c>
      <c r="B922" s="0" t="s">
        <v>10</v>
      </c>
    </row>
    <row r="923" customFormat="false" ht="15" hidden="false" customHeight="false" outlineLevel="0" collapsed="false">
      <c r="A923" s="0" t="s">
        <v>934</v>
      </c>
      <c r="B923" s="0" t="s">
        <v>6</v>
      </c>
    </row>
    <row r="924" customFormat="false" ht="15" hidden="false" customHeight="false" outlineLevel="0" collapsed="false">
      <c r="A924" s="0" t="s">
        <v>935</v>
      </c>
      <c r="B924" s="0" t="s">
        <v>9</v>
      </c>
    </row>
    <row r="925" customFormat="false" ht="15" hidden="false" customHeight="false" outlineLevel="0" collapsed="false">
      <c r="A925" s="0" t="s">
        <v>936</v>
      </c>
      <c r="B925" s="0" t="s">
        <v>9</v>
      </c>
    </row>
    <row r="926" customFormat="false" ht="15" hidden="false" customHeight="false" outlineLevel="0" collapsed="false">
      <c r="A926" s="0" t="s">
        <v>937</v>
      </c>
      <c r="B926" s="0" t="s">
        <v>9</v>
      </c>
    </row>
    <row r="927" customFormat="false" ht="15" hidden="false" customHeight="false" outlineLevel="0" collapsed="false">
      <c r="A927" s="0" t="s">
        <v>938</v>
      </c>
      <c r="B927" s="0" t="s">
        <v>9</v>
      </c>
    </row>
    <row r="928" customFormat="false" ht="15" hidden="false" customHeight="false" outlineLevel="0" collapsed="false">
      <c r="A928" s="0" t="s">
        <v>939</v>
      </c>
      <c r="B928" s="0" t="s">
        <v>10</v>
      </c>
    </row>
    <row r="929" customFormat="false" ht="15" hidden="false" customHeight="false" outlineLevel="0" collapsed="false">
      <c r="A929" s="0" t="s">
        <v>940</v>
      </c>
      <c r="B929" s="0" t="s">
        <v>8</v>
      </c>
    </row>
    <row r="930" customFormat="false" ht="15" hidden="false" customHeight="false" outlineLevel="0" collapsed="false">
      <c r="A930" s="0" t="s">
        <v>941</v>
      </c>
      <c r="B930" s="0" t="s">
        <v>8</v>
      </c>
    </row>
    <row r="931" customFormat="false" ht="15" hidden="false" customHeight="false" outlineLevel="0" collapsed="false">
      <c r="A931" s="0" t="s">
        <v>942</v>
      </c>
      <c r="B931" s="0" t="s">
        <v>10</v>
      </c>
    </row>
    <row r="932" customFormat="false" ht="15" hidden="false" customHeight="false" outlineLevel="0" collapsed="false">
      <c r="A932" s="0" t="s">
        <v>943</v>
      </c>
      <c r="B932" s="0" t="s">
        <v>8</v>
      </c>
    </row>
    <row r="933" customFormat="false" ht="15" hidden="false" customHeight="false" outlineLevel="0" collapsed="false">
      <c r="A933" s="0" t="s">
        <v>944</v>
      </c>
      <c r="B933" s="0" t="s">
        <v>8</v>
      </c>
    </row>
    <row r="934" customFormat="false" ht="15" hidden="false" customHeight="false" outlineLevel="0" collapsed="false">
      <c r="A934" s="0" t="s">
        <v>945</v>
      </c>
      <c r="B934" s="0" t="s">
        <v>9</v>
      </c>
    </row>
    <row r="935" customFormat="false" ht="15" hidden="false" customHeight="false" outlineLevel="0" collapsed="false">
      <c r="A935" s="0" t="s">
        <v>946</v>
      </c>
      <c r="B935" s="0" t="s">
        <v>10</v>
      </c>
    </row>
    <row r="936" customFormat="false" ht="15" hidden="false" customHeight="false" outlineLevel="0" collapsed="false">
      <c r="A936" s="0" t="s">
        <v>947</v>
      </c>
      <c r="B936" s="0" t="s">
        <v>7</v>
      </c>
    </row>
    <row r="937" customFormat="false" ht="15" hidden="false" customHeight="false" outlineLevel="0" collapsed="false">
      <c r="A937" s="0" t="s">
        <v>948</v>
      </c>
      <c r="B937" s="0" t="s">
        <v>6</v>
      </c>
    </row>
    <row r="938" customFormat="false" ht="15" hidden="false" customHeight="false" outlineLevel="0" collapsed="false">
      <c r="A938" s="0" t="s">
        <v>949</v>
      </c>
      <c r="B938" s="0" t="s">
        <v>9</v>
      </c>
    </row>
    <row r="939" customFormat="false" ht="15" hidden="false" customHeight="false" outlineLevel="0" collapsed="false">
      <c r="A939" s="0" t="s">
        <v>950</v>
      </c>
      <c r="B939" s="0" t="s">
        <v>10</v>
      </c>
    </row>
    <row r="940" customFormat="false" ht="15" hidden="false" customHeight="false" outlineLevel="0" collapsed="false">
      <c r="A940" s="0" t="s">
        <v>951</v>
      </c>
      <c r="B940" s="0" t="s">
        <v>8</v>
      </c>
    </row>
    <row r="941" customFormat="false" ht="15" hidden="false" customHeight="false" outlineLevel="0" collapsed="false">
      <c r="A941" s="0" t="s">
        <v>952</v>
      </c>
      <c r="B941" s="0" t="s">
        <v>9</v>
      </c>
    </row>
    <row r="942" customFormat="false" ht="15" hidden="false" customHeight="false" outlineLevel="0" collapsed="false">
      <c r="A942" s="0" t="s">
        <v>953</v>
      </c>
      <c r="B942" s="0" t="s">
        <v>8</v>
      </c>
    </row>
    <row r="943" customFormat="false" ht="15" hidden="false" customHeight="false" outlineLevel="0" collapsed="false">
      <c r="A943" s="0" t="s">
        <v>954</v>
      </c>
      <c r="B943" s="0" t="s">
        <v>9</v>
      </c>
    </row>
    <row r="944" customFormat="false" ht="15" hidden="false" customHeight="false" outlineLevel="0" collapsed="false">
      <c r="A944" s="0" t="s">
        <v>955</v>
      </c>
      <c r="B944" s="0" t="s">
        <v>10</v>
      </c>
    </row>
    <row r="945" customFormat="false" ht="15" hidden="false" customHeight="false" outlineLevel="0" collapsed="false">
      <c r="A945" s="0" t="s">
        <v>956</v>
      </c>
      <c r="B945" s="0" t="s">
        <v>9</v>
      </c>
    </row>
    <row r="946" customFormat="false" ht="15" hidden="false" customHeight="false" outlineLevel="0" collapsed="false">
      <c r="A946" s="0" t="s">
        <v>957</v>
      </c>
      <c r="B946" s="0" t="s">
        <v>9</v>
      </c>
    </row>
    <row r="947" customFormat="false" ht="15" hidden="false" customHeight="false" outlineLevel="0" collapsed="false">
      <c r="A947" s="0" t="s">
        <v>958</v>
      </c>
      <c r="B947" s="0" t="s">
        <v>10</v>
      </c>
    </row>
    <row r="948" customFormat="false" ht="15" hidden="false" customHeight="false" outlineLevel="0" collapsed="false">
      <c r="A948" s="0" t="s">
        <v>959</v>
      </c>
      <c r="B948" s="0" t="s">
        <v>8</v>
      </c>
    </row>
    <row r="949" customFormat="false" ht="15" hidden="false" customHeight="false" outlineLevel="0" collapsed="false">
      <c r="A949" s="0" t="s">
        <v>960</v>
      </c>
      <c r="B949" s="0" t="s">
        <v>10</v>
      </c>
    </row>
    <row r="950" customFormat="false" ht="15" hidden="false" customHeight="false" outlineLevel="0" collapsed="false">
      <c r="A950" s="0" t="s">
        <v>961</v>
      </c>
      <c r="B950" s="0" t="s">
        <v>8</v>
      </c>
    </row>
    <row r="951" customFormat="false" ht="15" hidden="false" customHeight="false" outlineLevel="0" collapsed="false">
      <c r="A951" s="0" t="s">
        <v>962</v>
      </c>
      <c r="B951" s="0" t="s">
        <v>9</v>
      </c>
    </row>
    <row r="952" customFormat="false" ht="15" hidden="false" customHeight="false" outlineLevel="0" collapsed="false">
      <c r="A952" s="0" t="s">
        <v>963</v>
      </c>
      <c r="B952" s="0" t="s">
        <v>10</v>
      </c>
    </row>
    <row r="953" customFormat="false" ht="15" hidden="false" customHeight="false" outlineLevel="0" collapsed="false">
      <c r="A953" s="0" t="s">
        <v>964</v>
      </c>
      <c r="B953" s="0" t="s">
        <v>10</v>
      </c>
    </row>
    <row r="954" customFormat="false" ht="15" hidden="false" customHeight="false" outlineLevel="0" collapsed="false">
      <c r="A954" s="0" t="s">
        <v>965</v>
      </c>
      <c r="B954" s="0" t="s">
        <v>9</v>
      </c>
    </row>
    <row r="955" customFormat="false" ht="15" hidden="false" customHeight="false" outlineLevel="0" collapsed="false">
      <c r="A955" s="0" t="s">
        <v>966</v>
      </c>
      <c r="B955" s="0" t="s">
        <v>10</v>
      </c>
    </row>
    <row r="956" customFormat="false" ht="15" hidden="false" customHeight="false" outlineLevel="0" collapsed="false">
      <c r="A956" s="0" t="s">
        <v>967</v>
      </c>
      <c r="B956" s="0" t="s">
        <v>9</v>
      </c>
    </row>
    <row r="957" customFormat="false" ht="15" hidden="false" customHeight="false" outlineLevel="0" collapsed="false">
      <c r="A957" s="0" t="s">
        <v>968</v>
      </c>
      <c r="B957" s="0" t="s">
        <v>6</v>
      </c>
    </row>
    <row r="958" customFormat="false" ht="15" hidden="false" customHeight="false" outlineLevel="0" collapsed="false">
      <c r="A958" s="0" t="s">
        <v>969</v>
      </c>
      <c r="B958" s="0" t="s">
        <v>8</v>
      </c>
    </row>
    <row r="959" customFormat="false" ht="15" hidden="false" customHeight="false" outlineLevel="0" collapsed="false">
      <c r="A959" s="0" t="s">
        <v>970</v>
      </c>
      <c r="B959" s="0" t="s">
        <v>8</v>
      </c>
    </row>
    <row r="960" customFormat="false" ht="15" hidden="false" customHeight="false" outlineLevel="0" collapsed="false">
      <c r="A960" s="0" t="s">
        <v>971</v>
      </c>
      <c r="B960" s="0" t="s">
        <v>10</v>
      </c>
    </row>
    <row r="961" customFormat="false" ht="15" hidden="false" customHeight="false" outlineLevel="0" collapsed="false">
      <c r="A961" s="0" t="s">
        <v>972</v>
      </c>
      <c r="B961" s="0" t="s">
        <v>9</v>
      </c>
    </row>
    <row r="962" customFormat="false" ht="15" hidden="false" customHeight="false" outlineLevel="0" collapsed="false">
      <c r="A962" s="0" t="s">
        <v>973</v>
      </c>
      <c r="B962" s="0" t="s">
        <v>10</v>
      </c>
    </row>
    <row r="963" customFormat="false" ht="15" hidden="false" customHeight="false" outlineLevel="0" collapsed="false">
      <c r="A963" s="0" t="s">
        <v>974</v>
      </c>
      <c r="B963" s="0" t="s">
        <v>10</v>
      </c>
    </row>
    <row r="964" customFormat="false" ht="15" hidden="false" customHeight="false" outlineLevel="0" collapsed="false">
      <c r="A964" s="0" t="s">
        <v>975</v>
      </c>
      <c r="B964" s="0" t="s">
        <v>8</v>
      </c>
    </row>
    <row r="965" customFormat="false" ht="15" hidden="false" customHeight="false" outlineLevel="0" collapsed="false">
      <c r="A965" s="0" t="s">
        <v>976</v>
      </c>
      <c r="B965" s="0" t="s">
        <v>9</v>
      </c>
    </row>
    <row r="966" customFormat="false" ht="15" hidden="false" customHeight="false" outlineLevel="0" collapsed="false">
      <c r="A966" s="0" t="s">
        <v>977</v>
      </c>
      <c r="B966" s="0" t="s">
        <v>9</v>
      </c>
    </row>
    <row r="967" customFormat="false" ht="15" hidden="false" customHeight="false" outlineLevel="0" collapsed="false">
      <c r="A967" s="0" t="s">
        <v>978</v>
      </c>
      <c r="B967" s="0" t="s">
        <v>6</v>
      </c>
    </row>
    <row r="968" customFormat="false" ht="15" hidden="false" customHeight="false" outlineLevel="0" collapsed="false">
      <c r="A968" s="0" t="s">
        <v>979</v>
      </c>
      <c r="B968" s="0" t="s">
        <v>6</v>
      </c>
    </row>
    <row r="969" customFormat="false" ht="15" hidden="false" customHeight="false" outlineLevel="0" collapsed="false">
      <c r="A969" s="0" t="s">
        <v>980</v>
      </c>
      <c r="B969" s="0" t="s">
        <v>9</v>
      </c>
    </row>
    <row r="970" customFormat="false" ht="15" hidden="false" customHeight="false" outlineLevel="0" collapsed="false">
      <c r="A970" s="0" t="s">
        <v>981</v>
      </c>
      <c r="B970" s="0" t="s">
        <v>8</v>
      </c>
    </row>
    <row r="971" customFormat="false" ht="15" hidden="false" customHeight="false" outlineLevel="0" collapsed="false">
      <c r="A971" s="0" t="s">
        <v>982</v>
      </c>
      <c r="B971" s="0" t="s">
        <v>10</v>
      </c>
    </row>
    <row r="972" customFormat="false" ht="15" hidden="false" customHeight="false" outlineLevel="0" collapsed="false">
      <c r="A972" s="0" t="s">
        <v>983</v>
      </c>
      <c r="B972" s="0" t="s">
        <v>10</v>
      </c>
    </row>
    <row r="973" customFormat="false" ht="15" hidden="false" customHeight="false" outlineLevel="0" collapsed="false">
      <c r="A973" s="0" t="s">
        <v>984</v>
      </c>
      <c r="B973" s="0" t="s">
        <v>9</v>
      </c>
    </row>
    <row r="974" customFormat="false" ht="15" hidden="false" customHeight="false" outlineLevel="0" collapsed="false">
      <c r="A974" s="0" t="s">
        <v>985</v>
      </c>
      <c r="B974" s="0" t="s">
        <v>8</v>
      </c>
    </row>
    <row r="975" customFormat="false" ht="15" hidden="false" customHeight="false" outlineLevel="0" collapsed="false">
      <c r="A975" s="0" t="s">
        <v>986</v>
      </c>
      <c r="B975" s="0" t="s">
        <v>10</v>
      </c>
    </row>
    <row r="976" customFormat="false" ht="15" hidden="false" customHeight="false" outlineLevel="0" collapsed="false">
      <c r="A976" s="0" t="s">
        <v>987</v>
      </c>
      <c r="B976" s="0" t="s">
        <v>10</v>
      </c>
    </row>
    <row r="977" customFormat="false" ht="15" hidden="false" customHeight="false" outlineLevel="0" collapsed="false">
      <c r="A977" s="0" t="s">
        <v>988</v>
      </c>
      <c r="B977" s="0" t="s">
        <v>9</v>
      </c>
    </row>
    <row r="978" customFormat="false" ht="15" hidden="false" customHeight="false" outlineLevel="0" collapsed="false">
      <c r="A978" s="0" t="s">
        <v>989</v>
      </c>
      <c r="B978" s="0" t="s">
        <v>9</v>
      </c>
    </row>
    <row r="979" customFormat="false" ht="15" hidden="false" customHeight="false" outlineLevel="0" collapsed="false">
      <c r="A979" s="0" t="s">
        <v>990</v>
      </c>
      <c r="B979" s="0" t="s">
        <v>6</v>
      </c>
    </row>
    <row r="980" customFormat="false" ht="15" hidden="false" customHeight="false" outlineLevel="0" collapsed="false">
      <c r="A980" s="0" t="s">
        <v>991</v>
      </c>
      <c r="B980" s="0" t="s">
        <v>8</v>
      </c>
    </row>
    <row r="981" customFormat="false" ht="15" hidden="false" customHeight="false" outlineLevel="0" collapsed="false">
      <c r="A981" s="0" t="s">
        <v>992</v>
      </c>
      <c r="B981" s="0" t="s">
        <v>10</v>
      </c>
    </row>
    <row r="982" customFormat="false" ht="15" hidden="false" customHeight="false" outlineLevel="0" collapsed="false">
      <c r="A982" s="0" t="s">
        <v>993</v>
      </c>
      <c r="B982" s="0" t="s">
        <v>6</v>
      </c>
    </row>
    <row r="983" customFormat="false" ht="15" hidden="false" customHeight="false" outlineLevel="0" collapsed="false">
      <c r="A983" s="0" t="s">
        <v>994</v>
      </c>
      <c r="B983" s="0" t="s">
        <v>6</v>
      </c>
    </row>
    <row r="984" customFormat="false" ht="15" hidden="false" customHeight="false" outlineLevel="0" collapsed="false">
      <c r="A984" s="0" t="s">
        <v>995</v>
      </c>
      <c r="B984" s="0" t="s">
        <v>9</v>
      </c>
    </row>
    <row r="985" customFormat="false" ht="15" hidden="false" customHeight="false" outlineLevel="0" collapsed="false">
      <c r="A985" s="0" t="s">
        <v>996</v>
      </c>
      <c r="B985" s="0" t="s">
        <v>8</v>
      </c>
    </row>
    <row r="986" customFormat="false" ht="15" hidden="false" customHeight="false" outlineLevel="0" collapsed="false">
      <c r="A986" s="0" t="s">
        <v>997</v>
      </c>
      <c r="B986" s="0" t="s">
        <v>10</v>
      </c>
    </row>
    <row r="987" customFormat="false" ht="15" hidden="false" customHeight="false" outlineLevel="0" collapsed="false">
      <c r="A987" s="0" t="s">
        <v>998</v>
      </c>
      <c r="B987" s="0" t="s">
        <v>9</v>
      </c>
    </row>
    <row r="988" customFormat="false" ht="15" hidden="false" customHeight="false" outlineLevel="0" collapsed="false">
      <c r="A988" s="0" t="s">
        <v>999</v>
      </c>
      <c r="B988" s="0" t="s">
        <v>10</v>
      </c>
    </row>
    <row r="989" customFormat="false" ht="15" hidden="false" customHeight="false" outlineLevel="0" collapsed="false">
      <c r="A989" s="0" t="s">
        <v>1000</v>
      </c>
      <c r="B989" s="0" t="s">
        <v>10</v>
      </c>
    </row>
    <row r="990" customFormat="false" ht="15" hidden="false" customHeight="false" outlineLevel="0" collapsed="false">
      <c r="A990" s="0" t="s">
        <v>1001</v>
      </c>
      <c r="B990" s="0" t="s">
        <v>10</v>
      </c>
    </row>
    <row r="991" customFormat="false" ht="15" hidden="false" customHeight="false" outlineLevel="0" collapsed="false">
      <c r="A991" s="0" t="s">
        <v>1002</v>
      </c>
      <c r="B991" s="0" t="s">
        <v>10</v>
      </c>
    </row>
    <row r="992" customFormat="false" ht="15" hidden="false" customHeight="false" outlineLevel="0" collapsed="false">
      <c r="A992" s="0" t="s">
        <v>1003</v>
      </c>
      <c r="B992" s="0" t="s">
        <v>9</v>
      </c>
    </row>
    <row r="993" customFormat="false" ht="15" hidden="false" customHeight="false" outlineLevel="0" collapsed="false">
      <c r="A993" s="0" t="s">
        <v>1004</v>
      </c>
      <c r="B993" s="0" t="s">
        <v>8</v>
      </c>
    </row>
    <row r="994" customFormat="false" ht="15" hidden="false" customHeight="false" outlineLevel="0" collapsed="false">
      <c r="A994" s="0" t="s">
        <v>1005</v>
      </c>
      <c r="B994" s="0" t="s">
        <v>10</v>
      </c>
    </row>
    <row r="995" customFormat="false" ht="15" hidden="false" customHeight="false" outlineLevel="0" collapsed="false">
      <c r="A995" s="0" t="s">
        <v>1006</v>
      </c>
      <c r="B995" s="0" t="s">
        <v>10</v>
      </c>
    </row>
    <row r="996" customFormat="false" ht="15" hidden="false" customHeight="false" outlineLevel="0" collapsed="false">
      <c r="A996" s="0" t="s">
        <v>1007</v>
      </c>
      <c r="B996" s="0" t="s">
        <v>9</v>
      </c>
    </row>
    <row r="997" customFormat="false" ht="15" hidden="false" customHeight="false" outlineLevel="0" collapsed="false">
      <c r="A997" s="0" t="s">
        <v>1008</v>
      </c>
      <c r="B997" s="0" t="s">
        <v>8</v>
      </c>
    </row>
    <row r="998" customFormat="false" ht="15" hidden="false" customHeight="false" outlineLevel="0" collapsed="false">
      <c r="A998" s="0" t="s">
        <v>1009</v>
      </c>
      <c r="B998" s="0" t="s">
        <v>9</v>
      </c>
    </row>
    <row r="999" customFormat="false" ht="15" hidden="false" customHeight="false" outlineLevel="0" collapsed="false">
      <c r="A999" s="0" t="s">
        <v>1010</v>
      </c>
      <c r="B999" s="0" t="s">
        <v>9</v>
      </c>
    </row>
    <row r="1000" customFormat="false" ht="15" hidden="false" customHeight="false" outlineLevel="0" collapsed="false">
      <c r="A1000" s="0" t="s">
        <v>1011</v>
      </c>
      <c r="B1000" s="0" t="s">
        <v>8</v>
      </c>
    </row>
    <row r="1001" customFormat="false" ht="15" hidden="false" customHeight="false" outlineLevel="0" collapsed="false">
      <c r="A1001" s="0" t="s">
        <v>1012</v>
      </c>
      <c r="B1001" s="0" t="s">
        <v>9</v>
      </c>
    </row>
    <row r="1002" customFormat="false" ht="15" hidden="false" customHeight="false" outlineLevel="0" collapsed="false">
      <c r="A1002" s="0" t="s">
        <v>1013</v>
      </c>
      <c r="B1002" s="0" t="s">
        <v>10</v>
      </c>
    </row>
    <row r="1003" customFormat="false" ht="15" hidden="false" customHeight="false" outlineLevel="0" collapsed="false">
      <c r="A1003" s="0" t="s">
        <v>1014</v>
      </c>
      <c r="B1003" s="0" t="s">
        <v>6</v>
      </c>
    </row>
    <row r="1004" customFormat="false" ht="15" hidden="false" customHeight="false" outlineLevel="0" collapsed="false">
      <c r="A1004" s="0" t="s">
        <v>1015</v>
      </c>
      <c r="B1004" s="0" t="s">
        <v>8</v>
      </c>
    </row>
    <row r="1005" customFormat="false" ht="15" hidden="false" customHeight="false" outlineLevel="0" collapsed="false">
      <c r="A1005" s="0" t="s">
        <v>1016</v>
      </c>
      <c r="B1005" s="0" t="s">
        <v>10</v>
      </c>
    </row>
    <row r="1006" customFormat="false" ht="15" hidden="false" customHeight="false" outlineLevel="0" collapsed="false">
      <c r="A1006" s="0" t="s">
        <v>1017</v>
      </c>
      <c r="B1006" s="0" t="s">
        <v>10</v>
      </c>
    </row>
    <row r="1007" customFormat="false" ht="15" hidden="false" customHeight="false" outlineLevel="0" collapsed="false">
      <c r="A1007" s="0" t="s">
        <v>1018</v>
      </c>
      <c r="B1007" s="0" t="s">
        <v>6</v>
      </c>
    </row>
    <row r="1008" customFormat="false" ht="15" hidden="false" customHeight="false" outlineLevel="0" collapsed="false">
      <c r="A1008" s="0" t="s">
        <v>1019</v>
      </c>
      <c r="B1008" s="0" t="s">
        <v>9</v>
      </c>
    </row>
    <row r="1009" customFormat="false" ht="15" hidden="false" customHeight="false" outlineLevel="0" collapsed="false">
      <c r="A1009" s="0" t="s">
        <v>1020</v>
      </c>
      <c r="B1009" s="0" t="s">
        <v>8</v>
      </c>
    </row>
    <row r="1010" customFormat="false" ht="15" hidden="false" customHeight="false" outlineLevel="0" collapsed="false">
      <c r="A1010" s="0" t="s">
        <v>1021</v>
      </c>
      <c r="B1010" s="0" t="s">
        <v>10</v>
      </c>
    </row>
    <row r="1011" customFormat="false" ht="15" hidden="false" customHeight="false" outlineLevel="0" collapsed="false">
      <c r="A1011" s="0" t="s">
        <v>1022</v>
      </c>
      <c r="B1011" s="0" t="s">
        <v>6</v>
      </c>
    </row>
    <row r="1012" customFormat="false" ht="15" hidden="false" customHeight="false" outlineLevel="0" collapsed="false">
      <c r="A1012" s="0" t="s">
        <v>1023</v>
      </c>
      <c r="B1012" s="0" t="s">
        <v>10</v>
      </c>
    </row>
    <row r="1013" customFormat="false" ht="15" hidden="false" customHeight="false" outlineLevel="0" collapsed="false">
      <c r="A1013" s="0" t="s">
        <v>1024</v>
      </c>
      <c r="B1013" s="0" t="s">
        <v>10</v>
      </c>
    </row>
    <row r="1014" customFormat="false" ht="15" hidden="false" customHeight="false" outlineLevel="0" collapsed="false">
      <c r="A1014" s="0" t="s">
        <v>1025</v>
      </c>
      <c r="B1014" s="0" t="s">
        <v>6</v>
      </c>
    </row>
    <row r="1015" customFormat="false" ht="15" hidden="false" customHeight="false" outlineLevel="0" collapsed="false">
      <c r="A1015" s="0" t="s">
        <v>1026</v>
      </c>
      <c r="B1015" s="0" t="s">
        <v>9</v>
      </c>
    </row>
    <row r="1016" customFormat="false" ht="15" hidden="false" customHeight="false" outlineLevel="0" collapsed="false">
      <c r="A1016" s="0" t="s">
        <v>1027</v>
      </c>
      <c r="B1016" s="0" t="s">
        <v>6</v>
      </c>
    </row>
    <row r="1017" customFormat="false" ht="15" hidden="false" customHeight="false" outlineLevel="0" collapsed="false">
      <c r="A1017" s="0" t="s">
        <v>1028</v>
      </c>
      <c r="B1017" s="0" t="s">
        <v>10</v>
      </c>
    </row>
    <row r="1018" customFormat="false" ht="15" hidden="false" customHeight="false" outlineLevel="0" collapsed="false">
      <c r="A1018" s="0" t="s">
        <v>1029</v>
      </c>
      <c r="B1018" s="0" t="s">
        <v>10</v>
      </c>
    </row>
    <row r="1019" customFormat="false" ht="15" hidden="false" customHeight="false" outlineLevel="0" collapsed="false">
      <c r="A1019" s="0" t="s">
        <v>1030</v>
      </c>
      <c r="B1019" s="0" t="s">
        <v>9</v>
      </c>
    </row>
    <row r="1020" customFormat="false" ht="15" hidden="false" customHeight="false" outlineLevel="0" collapsed="false">
      <c r="A1020" s="0" t="s">
        <v>1031</v>
      </c>
      <c r="B1020" s="0" t="s">
        <v>9</v>
      </c>
    </row>
    <row r="1021" customFormat="false" ht="15" hidden="false" customHeight="false" outlineLevel="0" collapsed="false">
      <c r="A1021" s="0" t="s">
        <v>1032</v>
      </c>
      <c r="B1021" s="0" t="s">
        <v>8</v>
      </c>
    </row>
    <row r="1022" customFormat="false" ht="15" hidden="false" customHeight="false" outlineLevel="0" collapsed="false">
      <c r="A1022" s="0" t="s">
        <v>1033</v>
      </c>
      <c r="B1022" s="0" t="s">
        <v>8</v>
      </c>
    </row>
    <row r="1023" customFormat="false" ht="15" hidden="false" customHeight="false" outlineLevel="0" collapsed="false">
      <c r="A1023" s="0" t="s">
        <v>1034</v>
      </c>
      <c r="B1023" s="0" t="s">
        <v>9</v>
      </c>
    </row>
    <row r="1024" customFormat="false" ht="15" hidden="false" customHeight="false" outlineLevel="0" collapsed="false">
      <c r="A1024" s="0" t="s">
        <v>1035</v>
      </c>
      <c r="B1024" s="0" t="s">
        <v>9</v>
      </c>
    </row>
    <row r="1025" customFormat="false" ht="15" hidden="false" customHeight="false" outlineLevel="0" collapsed="false">
      <c r="A1025" s="0" t="s">
        <v>1036</v>
      </c>
      <c r="B1025" s="0" t="s">
        <v>8</v>
      </c>
    </row>
    <row r="1026" customFormat="false" ht="15" hidden="false" customHeight="false" outlineLevel="0" collapsed="false">
      <c r="A1026" s="0" t="s">
        <v>1037</v>
      </c>
      <c r="B1026" s="0" t="s">
        <v>6</v>
      </c>
    </row>
    <row r="1027" customFormat="false" ht="15" hidden="false" customHeight="false" outlineLevel="0" collapsed="false">
      <c r="A1027" s="0" t="s">
        <v>1038</v>
      </c>
      <c r="B1027" s="0" t="s">
        <v>10</v>
      </c>
    </row>
    <row r="1028" customFormat="false" ht="15" hidden="false" customHeight="false" outlineLevel="0" collapsed="false">
      <c r="A1028" s="0" t="s">
        <v>1039</v>
      </c>
      <c r="B1028" s="0" t="s">
        <v>10</v>
      </c>
    </row>
    <row r="1029" customFormat="false" ht="15" hidden="false" customHeight="false" outlineLevel="0" collapsed="false">
      <c r="A1029" s="0" t="s">
        <v>1040</v>
      </c>
      <c r="B1029" s="0" t="s">
        <v>10</v>
      </c>
    </row>
    <row r="1030" customFormat="false" ht="15" hidden="false" customHeight="false" outlineLevel="0" collapsed="false">
      <c r="A1030" s="0" t="s">
        <v>1041</v>
      </c>
      <c r="B1030" s="0" t="s">
        <v>9</v>
      </c>
    </row>
    <row r="1031" customFormat="false" ht="15" hidden="false" customHeight="false" outlineLevel="0" collapsed="false">
      <c r="A1031" s="0" t="s">
        <v>1042</v>
      </c>
      <c r="B1031" s="0" t="s">
        <v>8</v>
      </c>
    </row>
    <row r="1032" customFormat="false" ht="15" hidden="false" customHeight="false" outlineLevel="0" collapsed="false">
      <c r="A1032" s="0" t="s">
        <v>1043</v>
      </c>
      <c r="B1032" s="0" t="s">
        <v>10</v>
      </c>
    </row>
    <row r="1033" customFormat="false" ht="15" hidden="false" customHeight="false" outlineLevel="0" collapsed="false">
      <c r="A1033" s="0" t="s">
        <v>1044</v>
      </c>
      <c r="B1033" s="0" t="s">
        <v>10</v>
      </c>
    </row>
    <row r="1034" customFormat="false" ht="15" hidden="false" customHeight="false" outlineLevel="0" collapsed="false">
      <c r="A1034" s="0" t="s">
        <v>1045</v>
      </c>
      <c r="B1034" s="0" t="s">
        <v>6</v>
      </c>
    </row>
    <row r="1035" customFormat="false" ht="15" hidden="false" customHeight="false" outlineLevel="0" collapsed="false">
      <c r="A1035" s="0" t="s">
        <v>1046</v>
      </c>
      <c r="B1035" s="0" t="s">
        <v>6</v>
      </c>
    </row>
    <row r="1036" customFormat="false" ht="15" hidden="false" customHeight="false" outlineLevel="0" collapsed="false">
      <c r="A1036" s="0" t="s">
        <v>1047</v>
      </c>
      <c r="B1036" s="0" t="s">
        <v>6</v>
      </c>
    </row>
    <row r="1037" customFormat="false" ht="15" hidden="false" customHeight="false" outlineLevel="0" collapsed="false">
      <c r="A1037" s="0" t="s">
        <v>1048</v>
      </c>
      <c r="B1037" s="0" t="s">
        <v>9</v>
      </c>
    </row>
    <row r="1038" customFormat="false" ht="15" hidden="false" customHeight="false" outlineLevel="0" collapsed="false">
      <c r="A1038" s="0" t="s">
        <v>1049</v>
      </c>
      <c r="B1038" s="0" t="s">
        <v>9</v>
      </c>
    </row>
    <row r="1039" customFormat="false" ht="15" hidden="false" customHeight="false" outlineLevel="0" collapsed="false">
      <c r="A1039" s="0" t="s">
        <v>1050</v>
      </c>
      <c r="B1039" s="0" t="s">
        <v>9</v>
      </c>
    </row>
    <row r="1040" customFormat="false" ht="15" hidden="false" customHeight="false" outlineLevel="0" collapsed="false">
      <c r="A1040" s="0" t="s">
        <v>1051</v>
      </c>
      <c r="B1040" s="0" t="s">
        <v>9</v>
      </c>
    </row>
    <row r="1041" customFormat="false" ht="15" hidden="false" customHeight="false" outlineLevel="0" collapsed="false">
      <c r="A1041" s="0" t="s">
        <v>1052</v>
      </c>
      <c r="B1041" s="0" t="s">
        <v>10</v>
      </c>
    </row>
    <row r="1042" customFormat="false" ht="15" hidden="false" customHeight="false" outlineLevel="0" collapsed="false">
      <c r="A1042" s="0" t="s">
        <v>1053</v>
      </c>
      <c r="B1042" s="0" t="s">
        <v>9</v>
      </c>
    </row>
    <row r="1043" customFormat="false" ht="15" hidden="false" customHeight="false" outlineLevel="0" collapsed="false">
      <c r="A1043" s="0" t="s">
        <v>1054</v>
      </c>
      <c r="B1043" s="0" t="s">
        <v>10</v>
      </c>
    </row>
    <row r="1044" customFormat="false" ht="15" hidden="false" customHeight="false" outlineLevel="0" collapsed="false">
      <c r="A1044" s="0" t="s">
        <v>1055</v>
      </c>
      <c r="B1044" s="0" t="s">
        <v>8</v>
      </c>
    </row>
    <row r="1045" customFormat="false" ht="15" hidden="false" customHeight="false" outlineLevel="0" collapsed="false">
      <c r="A1045" s="0" t="s">
        <v>1056</v>
      </c>
      <c r="B1045" s="0" t="s">
        <v>8</v>
      </c>
    </row>
    <row r="1046" customFormat="false" ht="15" hidden="false" customHeight="false" outlineLevel="0" collapsed="false">
      <c r="A1046" s="0" t="s">
        <v>1057</v>
      </c>
      <c r="B1046" s="0" t="s">
        <v>9</v>
      </c>
    </row>
    <row r="1047" customFormat="false" ht="15" hidden="false" customHeight="false" outlineLevel="0" collapsed="false">
      <c r="A1047" s="0" t="s">
        <v>1058</v>
      </c>
      <c r="B1047" s="0" t="s">
        <v>9</v>
      </c>
    </row>
    <row r="1048" customFormat="false" ht="15" hidden="false" customHeight="false" outlineLevel="0" collapsed="false">
      <c r="A1048" s="0" t="s">
        <v>1059</v>
      </c>
      <c r="B1048" s="0" t="s">
        <v>6</v>
      </c>
    </row>
    <row r="1049" customFormat="false" ht="15" hidden="false" customHeight="false" outlineLevel="0" collapsed="false">
      <c r="A1049" s="0" t="s">
        <v>1060</v>
      </c>
      <c r="B1049" s="0" t="s">
        <v>6</v>
      </c>
    </row>
    <row r="1050" customFormat="false" ht="15" hidden="false" customHeight="false" outlineLevel="0" collapsed="false">
      <c r="A1050" s="0" t="s">
        <v>1061</v>
      </c>
      <c r="B1050" s="0" t="s">
        <v>9</v>
      </c>
    </row>
    <row r="1051" customFormat="false" ht="15" hidden="false" customHeight="false" outlineLevel="0" collapsed="false">
      <c r="A1051" s="0" t="s">
        <v>1062</v>
      </c>
      <c r="B1051" s="0" t="s">
        <v>10</v>
      </c>
    </row>
    <row r="1052" customFormat="false" ht="15" hidden="false" customHeight="false" outlineLevel="0" collapsed="false">
      <c r="A1052" s="0" t="s">
        <v>1063</v>
      </c>
      <c r="B1052" s="0" t="s">
        <v>10</v>
      </c>
    </row>
    <row r="1053" customFormat="false" ht="15" hidden="false" customHeight="false" outlineLevel="0" collapsed="false">
      <c r="A1053" s="0" t="s">
        <v>1064</v>
      </c>
      <c r="B1053" s="0" t="s">
        <v>8</v>
      </c>
    </row>
    <row r="1054" customFormat="false" ht="15" hidden="false" customHeight="false" outlineLevel="0" collapsed="false">
      <c r="A1054" s="0" t="s">
        <v>1065</v>
      </c>
      <c r="B1054" s="0" t="s">
        <v>10</v>
      </c>
    </row>
    <row r="1055" customFormat="false" ht="15" hidden="false" customHeight="false" outlineLevel="0" collapsed="false">
      <c r="A1055" s="0" t="s">
        <v>1066</v>
      </c>
      <c r="B1055" s="0" t="s">
        <v>9</v>
      </c>
    </row>
    <row r="1056" customFormat="false" ht="15" hidden="false" customHeight="false" outlineLevel="0" collapsed="false">
      <c r="A1056" s="0" t="s">
        <v>1067</v>
      </c>
      <c r="B1056" s="0" t="s">
        <v>10</v>
      </c>
    </row>
    <row r="1057" customFormat="false" ht="15" hidden="false" customHeight="false" outlineLevel="0" collapsed="false">
      <c r="A1057" s="0" t="s">
        <v>1068</v>
      </c>
      <c r="B1057" s="0" t="s">
        <v>9</v>
      </c>
    </row>
    <row r="1058" customFormat="false" ht="15" hidden="false" customHeight="false" outlineLevel="0" collapsed="false">
      <c r="A1058" s="0" t="s">
        <v>1069</v>
      </c>
      <c r="B1058" s="0" t="s">
        <v>10</v>
      </c>
    </row>
    <row r="1059" customFormat="false" ht="15" hidden="false" customHeight="false" outlineLevel="0" collapsed="false">
      <c r="A1059" s="0" t="s">
        <v>1070</v>
      </c>
      <c r="B1059" s="0" t="s">
        <v>9</v>
      </c>
    </row>
    <row r="1060" customFormat="false" ht="15" hidden="false" customHeight="false" outlineLevel="0" collapsed="false">
      <c r="A1060" s="0" t="s">
        <v>1071</v>
      </c>
      <c r="B1060" s="0" t="s">
        <v>9</v>
      </c>
    </row>
    <row r="1061" customFormat="false" ht="15" hidden="false" customHeight="false" outlineLevel="0" collapsed="false">
      <c r="A1061" s="0" t="s">
        <v>1072</v>
      </c>
      <c r="B1061" s="0" t="s">
        <v>8</v>
      </c>
    </row>
    <row r="1062" customFormat="false" ht="15" hidden="false" customHeight="false" outlineLevel="0" collapsed="false">
      <c r="A1062" s="0" t="s">
        <v>1073</v>
      </c>
      <c r="B1062" s="0" t="s">
        <v>9</v>
      </c>
    </row>
    <row r="1063" customFormat="false" ht="15" hidden="false" customHeight="false" outlineLevel="0" collapsed="false">
      <c r="A1063" s="0" t="s">
        <v>1074</v>
      </c>
      <c r="B1063" s="0" t="s">
        <v>6</v>
      </c>
    </row>
    <row r="1064" customFormat="false" ht="15" hidden="false" customHeight="false" outlineLevel="0" collapsed="false">
      <c r="A1064" s="0" t="s">
        <v>1075</v>
      </c>
      <c r="B1064" s="0" t="s">
        <v>10</v>
      </c>
    </row>
    <row r="1065" customFormat="false" ht="15" hidden="false" customHeight="false" outlineLevel="0" collapsed="false">
      <c r="A1065" s="0" t="s">
        <v>1076</v>
      </c>
      <c r="B1065" s="0" t="s">
        <v>9</v>
      </c>
    </row>
    <row r="1066" customFormat="false" ht="15" hidden="false" customHeight="false" outlineLevel="0" collapsed="false">
      <c r="A1066" s="0" t="s">
        <v>1077</v>
      </c>
      <c r="B1066" s="0" t="s">
        <v>9</v>
      </c>
    </row>
    <row r="1067" customFormat="false" ht="15" hidden="false" customHeight="false" outlineLevel="0" collapsed="false">
      <c r="A1067" s="0" t="s">
        <v>1078</v>
      </c>
      <c r="B1067" s="0" t="s">
        <v>9</v>
      </c>
    </row>
    <row r="1068" customFormat="false" ht="15" hidden="false" customHeight="false" outlineLevel="0" collapsed="false">
      <c r="A1068" s="0" t="s">
        <v>1079</v>
      </c>
      <c r="B1068" s="0" t="s">
        <v>8</v>
      </c>
    </row>
    <row r="1069" customFormat="false" ht="15" hidden="false" customHeight="false" outlineLevel="0" collapsed="false">
      <c r="A1069" s="0" t="s">
        <v>1080</v>
      </c>
      <c r="B1069" s="0" t="s">
        <v>10</v>
      </c>
    </row>
    <row r="1070" customFormat="false" ht="15" hidden="false" customHeight="false" outlineLevel="0" collapsed="false">
      <c r="A1070" s="0" t="s">
        <v>1081</v>
      </c>
      <c r="B1070" s="0" t="s">
        <v>6</v>
      </c>
    </row>
    <row r="1071" customFormat="false" ht="15" hidden="false" customHeight="false" outlineLevel="0" collapsed="false">
      <c r="A1071" s="0" t="s">
        <v>1082</v>
      </c>
      <c r="B1071" s="0" t="s">
        <v>9</v>
      </c>
    </row>
    <row r="1072" customFormat="false" ht="15" hidden="false" customHeight="false" outlineLevel="0" collapsed="false">
      <c r="A1072" s="0" t="s">
        <v>1083</v>
      </c>
      <c r="B1072" s="0" t="s">
        <v>10</v>
      </c>
    </row>
    <row r="1073" customFormat="false" ht="15" hidden="false" customHeight="false" outlineLevel="0" collapsed="false">
      <c r="A1073" s="0" t="s">
        <v>1084</v>
      </c>
      <c r="B1073" s="0" t="s">
        <v>6</v>
      </c>
    </row>
    <row r="1074" customFormat="false" ht="15" hidden="false" customHeight="false" outlineLevel="0" collapsed="false">
      <c r="A1074" s="0" t="s">
        <v>1085</v>
      </c>
      <c r="B1074" s="0" t="s">
        <v>10</v>
      </c>
    </row>
    <row r="1075" customFormat="false" ht="15" hidden="false" customHeight="false" outlineLevel="0" collapsed="false">
      <c r="A1075" s="0" t="s">
        <v>1086</v>
      </c>
      <c r="B1075" s="0" t="s">
        <v>6</v>
      </c>
    </row>
    <row r="1076" customFormat="false" ht="15" hidden="false" customHeight="false" outlineLevel="0" collapsed="false">
      <c r="A1076" s="0" t="s">
        <v>1087</v>
      </c>
      <c r="B1076" s="0" t="s">
        <v>10</v>
      </c>
    </row>
    <row r="1077" customFormat="false" ht="15" hidden="false" customHeight="false" outlineLevel="0" collapsed="false">
      <c r="A1077" s="0" t="s">
        <v>1088</v>
      </c>
      <c r="B1077" s="0" t="s">
        <v>6</v>
      </c>
    </row>
    <row r="1078" customFormat="false" ht="15" hidden="false" customHeight="false" outlineLevel="0" collapsed="false">
      <c r="A1078" s="0" t="s">
        <v>1089</v>
      </c>
      <c r="B1078" s="0" t="s">
        <v>8</v>
      </c>
    </row>
    <row r="1079" customFormat="false" ht="15" hidden="false" customHeight="false" outlineLevel="0" collapsed="false">
      <c r="A1079" s="0" t="s">
        <v>1090</v>
      </c>
      <c r="B1079" s="0" t="s">
        <v>8</v>
      </c>
    </row>
    <row r="1080" customFormat="false" ht="15" hidden="false" customHeight="false" outlineLevel="0" collapsed="false">
      <c r="A1080" s="0" t="s">
        <v>1091</v>
      </c>
      <c r="B1080" s="0" t="s">
        <v>8</v>
      </c>
    </row>
    <row r="1081" customFormat="false" ht="15" hidden="false" customHeight="false" outlineLevel="0" collapsed="false">
      <c r="A1081" s="0" t="s">
        <v>1092</v>
      </c>
      <c r="B1081" s="0" t="s">
        <v>10</v>
      </c>
    </row>
    <row r="1082" customFormat="false" ht="15" hidden="false" customHeight="false" outlineLevel="0" collapsed="false">
      <c r="A1082" s="0" t="s">
        <v>1093</v>
      </c>
      <c r="B1082" s="0" t="s">
        <v>9</v>
      </c>
    </row>
    <row r="1083" customFormat="false" ht="15" hidden="false" customHeight="false" outlineLevel="0" collapsed="false">
      <c r="A1083" s="0" t="s">
        <v>1094</v>
      </c>
      <c r="B1083" s="0" t="s">
        <v>10</v>
      </c>
    </row>
    <row r="1084" customFormat="false" ht="15" hidden="false" customHeight="false" outlineLevel="0" collapsed="false">
      <c r="A1084" s="0" t="s">
        <v>1095</v>
      </c>
      <c r="B1084" s="0" t="s">
        <v>8</v>
      </c>
    </row>
    <row r="1085" customFormat="false" ht="15" hidden="false" customHeight="false" outlineLevel="0" collapsed="false">
      <c r="A1085" s="0" t="s">
        <v>1096</v>
      </c>
      <c r="B1085" s="0" t="s">
        <v>10</v>
      </c>
    </row>
    <row r="1086" customFormat="false" ht="15" hidden="false" customHeight="false" outlineLevel="0" collapsed="false">
      <c r="A1086" s="0" t="s">
        <v>1097</v>
      </c>
      <c r="B1086" s="0" t="s">
        <v>8</v>
      </c>
    </row>
    <row r="1087" customFormat="false" ht="15" hidden="false" customHeight="false" outlineLevel="0" collapsed="false">
      <c r="A1087" s="0" t="s">
        <v>1098</v>
      </c>
      <c r="B1087" s="0" t="s">
        <v>9</v>
      </c>
    </row>
    <row r="1088" customFormat="false" ht="15" hidden="false" customHeight="false" outlineLevel="0" collapsed="false">
      <c r="A1088" s="0" t="s">
        <v>1099</v>
      </c>
      <c r="B1088" s="0" t="s">
        <v>8</v>
      </c>
    </row>
    <row r="1089" customFormat="false" ht="15" hidden="false" customHeight="false" outlineLevel="0" collapsed="false">
      <c r="A1089" s="0" t="s">
        <v>1100</v>
      </c>
      <c r="B1089" s="0" t="s">
        <v>8</v>
      </c>
    </row>
    <row r="1090" customFormat="false" ht="15" hidden="false" customHeight="false" outlineLevel="0" collapsed="false">
      <c r="A1090" s="0" t="s">
        <v>1101</v>
      </c>
      <c r="B1090" s="0" t="s">
        <v>9</v>
      </c>
    </row>
    <row r="1091" customFormat="false" ht="15" hidden="false" customHeight="false" outlineLevel="0" collapsed="false">
      <c r="A1091" s="0" t="s">
        <v>1102</v>
      </c>
      <c r="B1091" s="0" t="s">
        <v>10</v>
      </c>
    </row>
    <row r="1092" customFormat="false" ht="15" hidden="false" customHeight="false" outlineLevel="0" collapsed="false">
      <c r="A1092" s="0" t="s">
        <v>1103</v>
      </c>
      <c r="B1092" s="0" t="s">
        <v>7</v>
      </c>
    </row>
    <row r="1093" customFormat="false" ht="15" hidden="false" customHeight="false" outlineLevel="0" collapsed="false">
      <c r="A1093" s="0" t="s">
        <v>1104</v>
      </c>
      <c r="B1093" s="0" t="s">
        <v>10</v>
      </c>
    </row>
    <row r="1094" customFormat="false" ht="15" hidden="false" customHeight="false" outlineLevel="0" collapsed="false">
      <c r="A1094" s="0" t="s">
        <v>1105</v>
      </c>
      <c r="B1094" s="0" t="s">
        <v>9</v>
      </c>
    </row>
    <row r="1095" customFormat="false" ht="15" hidden="false" customHeight="false" outlineLevel="0" collapsed="false">
      <c r="A1095" s="0" t="s">
        <v>1106</v>
      </c>
      <c r="B1095" s="0" t="s">
        <v>6</v>
      </c>
    </row>
    <row r="1096" customFormat="false" ht="15" hidden="false" customHeight="false" outlineLevel="0" collapsed="false">
      <c r="A1096" s="0" t="s">
        <v>1107</v>
      </c>
      <c r="B1096" s="0" t="s">
        <v>6</v>
      </c>
    </row>
    <row r="1097" customFormat="false" ht="15" hidden="false" customHeight="false" outlineLevel="0" collapsed="false">
      <c r="A1097" s="0" t="s">
        <v>1108</v>
      </c>
      <c r="B1097" s="0" t="s">
        <v>6</v>
      </c>
    </row>
    <row r="1098" customFormat="false" ht="15" hidden="false" customHeight="false" outlineLevel="0" collapsed="false">
      <c r="A1098" s="0" t="s">
        <v>1109</v>
      </c>
      <c r="B1098" s="0" t="s">
        <v>6</v>
      </c>
    </row>
    <row r="1099" customFormat="false" ht="15" hidden="false" customHeight="false" outlineLevel="0" collapsed="false">
      <c r="A1099" s="0" t="s">
        <v>1110</v>
      </c>
      <c r="B1099" s="0" t="s">
        <v>9</v>
      </c>
    </row>
    <row r="1100" customFormat="false" ht="15" hidden="false" customHeight="false" outlineLevel="0" collapsed="false">
      <c r="A1100" s="0" t="s">
        <v>1111</v>
      </c>
      <c r="B1100" s="0" t="s">
        <v>8</v>
      </c>
    </row>
    <row r="1101" customFormat="false" ht="15" hidden="false" customHeight="false" outlineLevel="0" collapsed="false">
      <c r="A1101" s="0" t="s">
        <v>1112</v>
      </c>
      <c r="B1101" s="0" t="s">
        <v>10</v>
      </c>
    </row>
    <row r="1102" customFormat="false" ht="15" hidden="false" customHeight="false" outlineLevel="0" collapsed="false">
      <c r="A1102" s="0" t="s">
        <v>1113</v>
      </c>
      <c r="B1102" s="0" t="s">
        <v>6</v>
      </c>
    </row>
    <row r="1103" customFormat="false" ht="15" hidden="false" customHeight="false" outlineLevel="0" collapsed="false">
      <c r="A1103" s="0" t="s">
        <v>1114</v>
      </c>
      <c r="B1103" s="0" t="s">
        <v>10</v>
      </c>
    </row>
    <row r="1104" customFormat="false" ht="15" hidden="false" customHeight="false" outlineLevel="0" collapsed="false">
      <c r="A1104" s="0" t="s">
        <v>1115</v>
      </c>
      <c r="B1104" s="0" t="s">
        <v>8</v>
      </c>
    </row>
    <row r="1105" customFormat="false" ht="15" hidden="false" customHeight="false" outlineLevel="0" collapsed="false">
      <c r="A1105" s="0" t="s">
        <v>1116</v>
      </c>
      <c r="B1105" s="0" t="s">
        <v>9</v>
      </c>
    </row>
    <row r="1106" customFormat="false" ht="15" hidden="false" customHeight="false" outlineLevel="0" collapsed="false">
      <c r="A1106" s="0" t="s">
        <v>1117</v>
      </c>
      <c r="B1106" s="0" t="s">
        <v>6</v>
      </c>
    </row>
    <row r="1107" customFormat="false" ht="15" hidden="false" customHeight="false" outlineLevel="0" collapsed="false">
      <c r="A1107" s="0" t="s">
        <v>1118</v>
      </c>
      <c r="B1107" s="0" t="s">
        <v>8</v>
      </c>
    </row>
    <row r="1108" customFormat="false" ht="15" hidden="false" customHeight="false" outlineLevel="0" collapsed="false">
      <c r="A1108" s="0" t="s">
        <v>1119</v>
      </c>
      <c r="B1108" s="0" t="s">
        <v>10</v>
      </c>
    </row>
    <row r="1109" customFormat="false" ht="15" hidden="false" customHeight="false" outlineLevel="0" collapsed="false">
      <c r="A1109" s="0" t="s">
        <v>1120</v>
      </c>
      <c r="B1109" s="0" t="s">
        <v>6</v>
      </c>
    </row>
    <row r="1110" customFormat="false" ht="15" hidden="false" customHeight="false" outlineLevel="0" collapsed="false">
      <c r="A1110" s="0" t="s">
        <v>1121</v>
      </c>
      <c r="B1110" s="0" t="s">
        <v>8</v>
      </c>
    </row>
    <row r="1111" customFormat="false" ht="15" hidden="false" customHeight="false" outlineLevel="0" collapsed="false">
      <c r="A1111" s="0" t="s">
        <v>1122</v>
      </c>
      <c r="B1111" s="0" t="s">
        <v>9</v>
      </c>
    </row>
    <row r="1112" customFormat="false" ht="15" hidden="false" customHeight="false" outlineLevel="0" collapsed="false">
      <c r="A1112" s="0" t="s">
        <v>1123</v>
      </c>
      <c r="B1112" s="0" t="s">
        <v>10</v>
      </c>
    </row>
    <row r="1113" customFormat="false" ht="15" hidden="false" customHeight="false" outlineLevel="0" collapsed="false">
      <c r="A1113" s="0" t="s">
        <v>1124</v>
      </c>
      <c r="B1113" s="0" t="s">
        <v>6</v>
      </c>
    </row>
    <row r="1114" customFormat="false" ht="15" hidden="false" customHeight="false" outlineLevel="0" collapsed="false">
      <c r="A1114" s="0" t="s">
        <v>1125</v>
      </c>
      <c r="B1114" s="0" t="s">
        <v>9</v>
      </c>
    </row>
    <row r="1115" customFormat="false" ht="15" hidden="false" customHeight="false" outlineLevel="0" collapsed="false">
      <c r="A1115" s="0" t="s">
        <v>1126</v>
      </c>
      <c r="B1115" s="0" t="s">
        <v>10</v>
      </c>
    </row>
    <row r="1116" customFormat="false" ht="15" hidden="false" customHeight="false" outlineLevel="0" collapsed="false">
      <c r="A1116" s="0" t="s">
        <v>1127</v>
      </c>
      <c r="B1116" s="0" t="s">
        <v>6</v>
      </c>
    </row>
    <row r="1117" customFormat="false" ht="15" hidden="false" customHeight="false" outlineLevel="0" collapsed="false">
      <c r="A1117" s="0" t="s">
        <v>1128</v>
      </c>
      <c r="B1117" s="0" t="s">
        <v>10</v>
      </c>
    </row>
    <row r="1118" customFormat="false" ht="15" hidden="false" customHeight="false" outlineLevel="0" collapsed="false">
      <c r="A1118" s="0" t="s">
        <v>1129</v>
      </c>
      <c r="B1118" s="0" t="s">
        <v>6</v>
      </c>
    </row>
    <row r="1119" customFormat="false" ht="15" hidden="false" customHeight="false" outlineLevel="0" collapsed="false">
      <c r="A1119" s="0" t="s">
        <v>1130</v>
      </c>
      <c r="B1119" s="0" t="s">
        <v>6</v>
      </c>
    </row>
    <row r="1120" customFormat="false" ht="15" hidden="false" customHeight="false" outlineLevel="0" collapsed="false">
      <c r="A1120" s="0" t="s">
        <v>1131</v>
      </c>
      <c r="B1120" s="0" t="s">
        <v>10</v>
      </c>
    </row>
    <row r="1121" customFormat="false" ht="15" hidden="false" customHeight="false" outlineLevel="0" collapsed="false">
      <c r="A1121" s="0" t="s">
        <v>1132</v>
      </c>
      <c r="B1121" s="0" t="s">
        <v>8</v>
      </c>
    </row>
    <row r="1122" customFormat="false" ht="15" hidden="false" customHeight="false" outlineLevel="0" collapsed="false">
      <c r="A1122" s="0" t="s">
        <v>1133</v>
      </c>
      <c r="B1122" s="0" t="s">
        <v>9</v>
      </c>
    </row>
    <row r="1123" customFormat="false" ht="15" hidden="false" customHeight="false" outlineLevel="0" collapsed="false">
      <c r="A1123" s="0" t="s">
        <v>1134</v>
      </c>
      <c r="B1123" s="0" t="s">
        <v>8</v>
      </c>
    </row>
    <row r="1124" customFormat="false" ht="15" hidden="false" customHeight="false" outlineLevel="0" collapsed="false">
      <c r="A1124" s="0" t="s">
        <v>1135</v>
      </c>
      <c r="B1124" s="0" t="s">
        <v>9</v>
      </c>
    </row>
    <row r="1125" customFormat="false" ht="15" hidden="false" customHeight="false" outlineLevel="0" collapsed="false">
      <c r="A1125" s="0" t="s">
        <v>1136</v>
      </c>
      <c r="B1125" s="0" t="s">
        <v>10</v>
      </c>
    </row>
    <row r="1126" customFormat="false" ht="15" hidden="false" customHeight="false" outlineLevel="0" collapsed="false">
      <c r="A1126" s="0" t="s">
        <v>1137</v>
      </c>
      <c r="B1126" s="0" t="s">
        <v>6</v>
      </c>
    </row>
    <row r="1127" customFormat="false" ht="15" hidden="false" customHeight="false" outlineLevel="0" collapsed="false">
      <c r="A1127" s="0" t="s">
        <v>1138</v>
      </c>
      <c r="B1127" s="0" t="s">
        <v>8</v>
      </c>
    </row>
    <row r="1128" customFormat="false" ht="15" hidden="false" customHeight="false" outlineLevel="0" collapsed="false">
      <c r="A1128" s="0" t="s">
        <v>1139</v>
      </c>
      <c r="B1128" s="0" t="s">
        <v>6</v>
      </c>
    </row>
    <row r="1129" customFormat="false" ht="15" hidden="false" customHeight="false" outlineLevel="0" collapsed="false">
      <c r="A1129" s="0" t="s">
        <v>1140</v>
      </c>
      <c r="B1129" s="0" t="s">
        <v>8</v>
      </c>
    </row>
    <row r="1130" customFormat="false" ht="15" hidden="false" customHeight="false" outlineLevel="0" collapsed="false">
      <c r="A1130" s="0" t="s">
        <v>1141</v>
      </c>
      <c r="B1130" s="0" t="s">
        <v>9</v>
      </c>
    </row>
    <row r="1131" customFormat="false" ht="15" hidden="false" customHeight="false" outlineLevel="0" collapsed="false">
      <c r="A1131" s="0" t="s">
        <v>1142</v>
      </c>
      <c r="B1131" s="0" t="s">
        <v>9</v>
      </c>
    </row>
    <row r="1132" customFormat="false" ht="15" hidden="false" customHeight="false" outlineLevel="0" collapsed="false">
      <c r="A1132" s="0" t="s">
        <v>1143</v>
      </c>
      <c r="B1132" s="0" t="s">
        <v>6</v>
      </c>
    </row>
    <row r="1133" customFormat="false" ht="15" hidden="false" customHeight="false" outlineLevel="0" collapsed="false">
      <c r="A1133" s="0" t="s">
        <v>1144</v>
      </c>
      <c r="B1133" s="0" t="s">
        <v>8</v>
      </c>
    </row>
    <row r="1134" customFormat="false" ht="15" hidden="false" customHeight="false" outlineLevel="0" collapsed="false">
      <c r="A1134" s="0" t="s">
        <v>1145</v>
      </c>
      <c r="B1134" s="0" t="s">
        <v>10</v>
      </c>
    </row>
    <row r="1135" customFormat="false" ht="15" hidden="false" customHeight="false" outlineLevel="0" collapsed="false">
      <c r="A1135" s="0" t="s">
        <v>1146</v>
      </c>
      <c r="B1135" s="0" t="s">
        <v>10</v>
      </c>
    </row>
    <row r="1136" customFormat="false" ht="15" hidden="false" customHeight="false" outlineLevel="0" collapsed="false">
      <c r="A1136" s="0" t="s">
        <v>1147</v>
      </c>
      <c r="B1136" s="0" t="s">
        <v>10</v>
      </c>
    </row>
    <row r="1137" customFormat="false" ht="15" hidden="false" customHeight="false" outlineLevel="0" collapsed="false">
      <c r="A1137" s="0" t="s">
        <v>1148</v>
      </c>
      <c r="B1137" s="0" t="s">
        <v>6</v>
      </c>
    </row>
    <row r="1138" customFormat="false" ht="15" hidden="false" customHeight="false" outlineLevel="0" collapsed="false">
      <c r="A1138" s="0" t="s">
        <v>1149</v>
      </c>
      <c r="B1138" s="0" t="s">
        <v>6</v>
      </c>
    </row>
    <row r="1139" customFormat="false" ht="15" hidden="false" customHeight="false" outlineLevel="0" collapsed="false">
      <c r="A1139" s="0" t="s">
        <v>1150</v>
      </c>
      <c r="B1139" s="0" t="s">
        <v>10</v>
      </c>
    </row>
    <row r="1140" customFormat="false" ht="15" hidden="false" customHeight="false" outlineLevel="0" collapsed="false">
      <c r="A1140" s="0" t="s">
        <v>1151</v>
      </c>
      <c r="B1140" s="0" t="s">
        <v>9</v>
      </c>
    </row>
    <row r="1141" customFormat="false" ht="15" hidden="false" customHeight="false" outlineLevel="0" collapsed="false">
      <c r="A1141" s="0" t="s">
        <v>1152</v>
      </c>
      <c r="B1141" s="0" t="s">
        <v>8</v>
      </c>
    </row>
    <row r="1142" customFormat="false" ht="15" hidden="false" customHeight="false" outlineLevel="0" collapsed="false">
      <c r="A1142" s="0" t="s">
        <v>1153</v>
      </c>
      <c r="B1142" s="0" t="s">
        <v>10</v>
      </c>
    </row>
    <row r="1143" customFormat="false" ht="15" hidden="false" customHeight="false" outlineLevel="0" collapsed="false">
      <c r="A1143" s="0" t="s">
        <v>1154</v>
      </c>
      <c r="B1143" s="0" t="s">
        <v>9</v>
      </c>
    </row>
    <row r="1144" customFormat="false" ht="15" hidden="false" customHeight="false" outlineLevel="0" collapsed="false">
      <c r="A1144" s="0" t="s">
        <v>1155</v>
      </c>
      <c r="B1144" s="0" t="s">
        <v>6</v>
      </c>
    </row>
    <row r="1145" customFormat="false" ht="15" hidden="false" customHeight="false" outlineLevel="0" collapsed="false">
      <c r="A1145" s="0" t="s">
        <v>1156</v>
      </c>
      <c r="B1145" s="0" t="s">
        <v>6</v>
      </c>
    </row>
    <row r="1146" customFormat="false" ht="15" hidden="false" customHeight="false" outlineLevel="0" collapsed="false">
      <c r="A1146" s="0" t="s">
        <v>1157</v>
      </c>
      <c r="B1146" s="0" t="s">
        <v>10</v>
      </c>
    </row>
    <row r="1147" customFormat="false" ht="15" hidden="false" customHeight="false" outlineLevel="0" collapsed="false">
      <c r="A1147" s="0" t="s">
        <v>1158</v>
      </c>
      <c r="B1147" s="0" t="s">
        <v>10</v>
      </c>
    </row>
    <row r="1148" customFormat="false" ht="15" hidden="false" customHeight="false" outlineLevel="0" collapsed="false">
      <c r="A1148" s="0" t="s">
        <v>1159</v>
      </c>
      <c r="B1148" s="0" t="s">
        <v>9</v>
      </c>
    </row>
    <row r="1149" customFormat="false" ht="15" hidden="false" customHeight="false" outlineLevel="0" collapsed="false">
      <c r="A1149" s="0" t="s">
        <v>1160</v>
      </c>
      <c r="B1149" s="0" t="s">
        <v>8</v>
      </c>
    </row>
    <row r="1150" customFormat="false" ht="15" hidden="false" customHeight="false" outlineLevel="0" collapsed="false">
      <c r="A1150" s="0" t="s">
        <v>1161</v>
      </c>
      <c r="B1150" s="0" t="s">
        <v>9</v>
      </c>
    </row>
    <row r="1151" customFormat="false" ht="15" hidden="false" customHeight="false" outlineLevel="0" collapsed="false">
      <c r="A1151" s="0" t="s">
        <v>1162</v>
      </c>
      <c r="B1151" s="0" t="s">
        <v>6</v>
      </c>
    </row>
    <row r="1152" customFormat="false" ht="15" hidden="false" customHeight="false" outlineLevel="0" collapsed="false">
      <c r="A1152" s="0" t="s">
        <v>1163</v>
      </c>
      <c r="B1152" s="0" t="s">
        <v>6</v>
      </c>
    </row>
    <row r="1153" customFormat="false" ht="15" hidden="false" customHeight="false" outlineLevel="0" collapsed="false">
      <c r="A1153" s="0" t="s">
        <v>1164</v>
      </c>
      <c r="B1153" s="0" t="s">
        <v>9</v>
      </c>
    </row>
    <row r="1154" customFormat="false" ht="15" hidden="false" customHeight="false" outlineLevel="0" collapsed="false">
      <c r="A1154" s="0" t="s">
        <v>1165</v>
      </c>
      <c r="B1154" s="0" t="s">
        <v>10</v>
      </c>
    </row>
    <row r="1155" customFormat="false" ht="15" hidden="false" customHeight="false" outlineLevel="0" collapsed="false">
      <c r="A1155" s="0" t="s">
        <v>1166</v>
      </c>
      <c r="B1155" s="0" t="s">
        <v>9</v>
      </c>
    </row>
    <row r="1156" customFormat="false" ht="15" hidden="false" customHeight="false" outlineLevel="0" collapsed="false">
      <c r="A1156" s="0" t="s">
        <v>1167</v>
      </c>
      <c r="B1156" s="0" t="s">
        <v>6</v>
      </c>
    </row>
    <row r="1157" customFormat="false" ht="15" hidden="false" customHeight="false" outlineLevel="0" collapsed="false">
      <c r="A1157" s="0" t="s">
        <v>1168</v>
      </c>
      <c r="B1157" s="0" t="s">
        <v>10</v>
      </c>
    </row>
    <row r="1158" customFormat="false" ht="15" hidden="false" customHeight="false" outlineLevel="0" collapsed="false">
      <c r="A1158" s="0" t="s">
        <v>1169</v>
      </c>
      <c r="B1158" s="0" t="s">
        <v>10</v>
      </c>
    </row>
    <row r="1159" customFormat="false" ht="15" hidden="false" customHeight="false" outlineLevel="0" collapsed="false">
      <c r="A1159" s="0" t="s">
        <v>1170</v>
      </c>
      <c r="B1159" s="0" t="s">
        <v>10</v>
      </c>
    </row>
    <row r="1160" customFormat="false" ht="15" hidden="false" customHeight="false" outlineLevel="0" collapsed="false">
      <c r="A1160" s="0" t="s">
        <v>1171</v>
      </c>
      <c r="B1160" s="0" t="s">
        <v>8</v>
      </c>
    </row>
    <row r="1161" customFormat="false" ht="15" hidden="false" customHeight="false" outlineLevel="0" collapsed="false">
      <c r="A1161" s="0" t="s">
        <v>1172</v>
      </c>
      <c r="B1161" s="0" t="s">
        <v>6</v>
      </c>
    </row>
    <row r="1162" customFormat="false" ht="15" hidden="false" customHeight="false" outlineLevel="0" collapsed="false">
      <c r="A1162" s="0" t="s">
        <v>1173</v>
      </c>
      <c r="B1162" s="0" t="s">
        <v>9</v>
      </c>
    </row>
    <row r="1163" customFormat="false" ht="15" hidden="false" customHeight="false" outlineLevel="0" collapsed="false">
      <c r="A1163" s="0" t="s">
        <v>1174</v>
      </c>
      <c r="B1163" s="0" t="s">
        <v>9</v>
      </c>
    </row>
    <row r="1164" customFormat="false" ht="15" hidden="false" customHeight="false" outlineLevel="0" collapsed="false">
      <c r="A1164" s="0" t="s">
        <v>1175</v>
      </c>
      <c r="B1164" s="0" t="s">
        <v>6</v>
      </c>
    </row>
    <row r="1165" customFormat="false" ht="15" hidden="false" customHeight="false" outlineLevel="0" collapsed="false">
      <c r="A1165" s="0" t="s">
        <v>1176</v>
      </c>
      <c r="B1165" s="0" t="s">
        <v>6</v>
      </c>
    </row>
    <row r="1166" customFormat="false" ht="15" hidden="false" customHeight="false" outlineLevel="0" collapsed="false">
      <c r="A1166" s="0" t="s">
        <v>1177</v>
      </c>
      <c r="B1166" s="0" t="s">
        <v>10</v>
      </c>
    </row>
    <row r="1167" customFormat="false" ht="15" hidden="false" customHeight="false" outlineLevel="0" collapsed="false">
      <c r="A1167" s="0" t="s">
        <v>1178</v>
      </c>
      <c r="B1167" s="0" t="s">
        <v>9</v>
      </c>
    </row>
    <row r="1168" customFormat="false" ht="15" hidden="false" customHeight="false" outlineLevel="0" collapsed="false">
      <c r="A1168" s="0" t="s">
        <v>1179</v>
      </c>
      <c r="B1168" s="0" t="s">
        <v>8</v>
      </c>
    </row>
    <row r="1169" customFormat="false" ht="15" hidden="false" customHeight="false" outlineLevel="0" collapsed="false">
      <c r="A1169" s="0" t="s">
        <v>1180</v>
      </c>
      <c r="B1169" s="0" t="s">
        <v>9</v>
      </c>
    </row>
    <row r="1170" customFormat="false" ht="15" hidden="false" customHeight="false" outlineLevel="0" collapsed="false">
      <c r="A1170" s="0" t="s">
        <v>1181</v>
      </c>
      <c r="B1170" s="0" t="s">
        <v>6</v>
      </c>
    </row>
    <row r="1171" customFormat="false" ht="15" hidden="false" customHeight="false" outlineLevel="0" collapsed="false">
      <c r="A1171" s="0" t="s">
        <v>1182</v>
      </c>
      <c r="B1171" s="0" t="s">
        <v>10</v>
      </c>
    </row>
    <row r="1172" customFormat="false" ht="15" hidden="false" customHeight="false" outlineLevel="0" collapsed="false">
      <c r="A1172" s="0" t="s">
        <v>1183</v>
      </c>
      <c r="B1172" s="0" t="s">
        <v>8</v>
      </c>
    </row>
    <row r="1173" customFormat="false" ht="15" hidden="false" customHeight="false" outlineLevel="0" collapsed="false">
      <c r="A1173" s="0" t="s">
        <v>1184</v>
      </c>
      <c r="B1173" s="0" t="s">
        <v>8</v>
      </c>
    </row>
    <row r="1174" customFormat="false" ht="15" hidden="false" customHeight="false" outlineLevel="0" collapsed="false">
      <c r="A1174" s="0" t="s">
        <v>1185</v>
      </c>
      <c r="B1174" s="0" t="s">
        <v>8</v>
      </c>
    </row>
    <row r="1175" customFormat="false" ht="15" hidden="false" customHeight="false" outlineLevel="0" collapsed="false">
      <c r="A1175" s="0" t="s">
        <v>1186</v>
      </c>
      <c r="B1175" s="0" t="s">
        <v>10</v>
      </c>
    </row>
    <row r="1176" customFormat="false" ht="15" hidden="false" customHeight="false" outlineLevel="0" collapsed="false">
      <c r="A1176" s="0" t="s">
        <v>1187</v>
      </c>
      <c r="B1176" s="0" t="s">
        <v>6</v>
      </c>
    </row>
    <row r="1177" customFormat="false" ht="15" hidden="false" customHeight="false" outlineLevel="0" collapsed="false">
      <c r="A1177" s="0" t="s">
        <v>1188</v>
      </c>
      <c r="B1177" s="0" t="s">
        <v>6</v>
      </c>
    </row>
    <row r="1178" customFormat="false" ht="15" hidden="false" customHeight="false" outlineLevel="0" collapsed="false">
      <c r="A1178" s="0" t="s">
        <v>1189</v>
      </c>
      <c r="B1178" s="0" t="s">
        <v>6</v>
      </c>
    </row>
    <row r="1179" customFormat="false" ht="15" hidden="false" customHeight="false" outlineLevel="0" collapsed="false">
      <c r="A1179" s="0" t="s">
        <v>1190</v>
      </c>
      <c r="B1179" s="0" t="s">
        <v>10</v>
      </c>
    </row>
    <row r="1180" customFormat="false" ht="15" hidden="false" customHeight="false" outlineLevel="0" collapsed="false">
      <c r="A1180" s="0" t="s">
        <v>1191</v>
      </c>
      <c r="B1180" s="0" t="s">
        <v>6</v>
      </c>
    </row>
    <row r="1181" customFormat="false" ht="15" hidden="false" customHeight="false" outlineLevel="0" collapsed="false">
      <c r="A1181" s="0" t="s">
        <v>1192</v>
      </c>
      <c r="B1181" s="0" t="s">
        <v>9</v>
      </c>
    </row>
    <row r="1182" customFormat="false" ht="15" hidden="false" customHeight="false" outlineLevel="0" collapsed="false">
      <c r="A1182" s="0" t="s">
        <v>1193</v>
      </c>
      <c r="B1182" s="0" t="s">
        <v>10</v>
      </c>
    </row>
    <row r="1183" customFormat="false" ht="15" hidden="false" customHeight="false" outlineLevel="0" collapsed="false">
      <c r="A1183" s="0" t="s">
        <v>1194</v>
      </c>
      <c r="B1183" s="0" t="s">
        <v>8</v>
      </c>
    </row>
    <row r="1184" customFormat="false" ht="15" hidden="false" customHeight="false" outlineLevel="0" collapsed="false">
      <c r="A1184" s="0" t="s">
        <v>1195</v>
      </c>
      <c r="B1184" s="0" t="s">
        <v>6</v>
      </c>
    </row>
    <row r="1185" customFormat="false" ht="15" hidden="false" customHeight="false" outlineLevel="0" collapsed="false">
      <c r="A1185" s="0" t="s">
        <v>1196</v>
      </c>
      <c r="B1185" s="0" t="s">
        <v>10</v>
      </c>
    </row>
    <row r="1186" customFormat="false" ht="15" hidden="false" customHeight="false" outlineLevel="0" collapsed="false">
      <c r="A1186" s="0" t="s">
        <v>1197</v>
      </c>
      <c r="B1186" s="0" t="s">
        <v>8</v>
      </c>
    </row>
    <row r="1187" customFormat="false" ht="15" hidden="false" customHeight="false" outlineLevel="0" collapsed="false">
      <c r="A1187" s="0" t="s">
        <v>1198</v>
      </c>
      <c r="B1187" s="0" t="s">
        <v>10</v>
      </c>
    </row>
    <row r="1188" customFormat="false" ht="15" hidden="false" customHeight="false" outlineLevel="0" collapsed="false">
      <c r="A1188" s="0" t="s">
        <v>1199</v>
      </c>
      <c r="B1188" s="0" t="s">
        <v>6</v>
      </c>
    </row>
    <row r="1189" customFormat="false" ht="15" hidden="false" customHeight="false" outlineLevel="0" collapsed="false">
      <c r="A1189" s="0" t="s">
        <v>1200</v>
      </c>
      <c r="B1189" s="0" t="s">
        <v>8</v>
      </c>
    </row>
    <row r="1190" customFormat="false" ht="15" hidden="false" customHeight="false" outlineLevel="0" collapsed="false">
      <c r="A1190" s="0" t="s">
        <v>1201</v>
      </c>
      <c r="B1190" s="0" t="s">
        <v>6</v>
      </c>
    </row>
    <row r="1191" customFormat="false" ht="15" hidden="false" customHeight="false" outlineLevel="0" collapsed="false">
      <c r="A1191" s="0" t="s">
        <v>1202</v>
      </c>
      <c r="B1191" s="0" t="s">
        <v>9</v>
      </c>
    </row>
    <row r="1192" customFormat="false" ht="15" hidden="false" customHeight="false" outlineLevel="0" collapsed="false">
      <c r="A1192" s="0" t="s">
        <v>1203</v>
      </c>
      <c r="B1192" s="0" t="s">
        <v>10</v>
      </c>
    </row>
    <row r="1193" customFormat="false" ht="15" hidden="false" customHeight="false" outlineLevel="0" collapsed="false">
      <c r="A1193" s="0" t="s">
        <v>1204</v>
      </c>
      <c r="B1193" s="0" t="s">
        <v>10</v>
      </c>
    </row>
    <row r="1194" customFormat="false" ht="15" hidden="false" customHeight="false" outlineLevel="0" collapsed="false">
      <c r="A1194" s="0" t="s">
        <v>1205</v>
      </c>
      <c r="B1194" s="0" t="s">
        <v>10</v>
      </c>
    </row>
    <row r="1195" customFormat="false" ht="15" hidden="false" customHeight="false" outlineLevel="0" collapsed="false">
      <c r="A1195" s="0" t="s">
        <v>1206</v>
      </c>
      <c r="B1195" s="0" t="s">
        <v>8</v>
      </c>
    </row>
    <row r="1196" customFormat="false" ht="15" hidden="false" customHeight="false" outlineLevel="0" collapsed="false">
      <c r="A1196" s="0" t="s">
        <v>1207</v>
      </c>
      <c r="B1196" s="0" t="s">
        <v>6</v>
      </c>
    </row>
    <row r="1197" customFormat="false" ht="15" hidden="false" customHeight="false" outlineLevel="0" collapsed="false">
      <c r="A1197" s="0" t="s">
        <v>1208</v>
      </c>
      <c r="B1197" s="0" t="s">
        <v>9</v>
      </c>
    </row>
    <row r="1198" customFormat="false" ht="15" hidden="false" customHeight="false" outlineLevel="0" collapsed="false">
      <c r="A1198" s="0" t="s">
        <v>1209</v>
      </c>
      <c r="B1198" s="0" t="s">
        <v>9</v>
      </c>
    </row>
    <row r="1199" customFormat="false" ht="15" hidden="false" customHeight="false" outlineLevel="0" collapsed="false">
      <c r="A1199" s="0" t="s">
        <v>1210</v>
      </c>
      <c r="B1199" s="0" t="s">
        <v>10</v>
      </c>
    </row>
    <row r="1200" customFormat="false" ht="15" hidden="false" customHeight="false" outlineLevel="0" collapsed="false">
      <c r="A1200" s="0" t="s">
        <v>1211</v>
      </c>
      <c r="B1200" s="0" t="s">
        <v>9</v>
      </c>
    </row>
    <row r="1201" customFormat="false" ht="15" hidden="false" customHeight="false" outlineLevel="0" collapsed="false">
      <c r="A1201" s="0" t="s">
        <v>1212</v>
      </c>
      <c r="B120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1213</v>
      </c>
      <c r="B1" s="0" t="s">
        <v>11</v>
      </c>
      <c r="C1" s="0" t="s">
        <v>1214</v>
      </c>
      <c r="D1" s="0" t="s">
        <v>1215</v>
      </c>
      <c r="E1" s="0" t="s">
        <v>1</v>
      </c>
      <c r="F1" s="0" t="s">
        <v>1216</v>
      </c>
    </row>
    <row r="2" customFormat="false" ht="15" hidden="false" customHeight="false" outlineLevel="0" collapsed="false">
      <c r="A2" s="2" t="n">
        <v>46084</v>
      </c>
      <c r="B2" s="3" t="s">
        <v>23</v>
      </c>
      <c r="C2" s="0" t="n">
        <v>214</v>
      </c>
      <c r="D2" s="0" t="n">
        <v>1</v>
      </c>
      <c r="E2" s="0" t="str">
        <f aca="false">INDEX(lot!$B$2:$B$1201,MATCH(B2,lot!$A$2:$A$1201,0))</f>
        <v>SUP-D</v>
      </c>
      <c r="F2" s="3" t="n">
        <f aca="false">YEAR(A2)*100+MONTH(A2)</f>
        <v>202603</v>
      </c>
    </row>
    <row r="3" customFormat="false" ht="15" hidden="false" customHeight="false" outlineLevel="0" collapsed="false">
      <c r="A3" s="2" t="n">
        <v>46084</v>
      </c>
      <c r="B3" s="3" t="s">
        <v>23</v>
      </c>
      <c r="C3" s="0" t="n">
        <v>184</v>
      </c>
      <c r="D3" s="0" t="n">
        <v>1</v>
      </c>
      <c r="E3" s="0" t="str">
        <f aca="false">INDEX(lot!$B$2:$B$1201,MATCH(B3,lot!$A$2:$A$1201,0))</f>
        <v>SUP-D</v>
      </c>
      <c r="F3" s="3" t="n">
        <f aca="false">YEAR(A3)*100+MONTH(A3)</f>
        <v>202603</v>
      </c>
    </row>
    <row r="4" customFormat="false" ht="15" hidden="false" customHeight="false" outlineLevel="0" collapsed="false">
      <c r="A4" s="2" t="n">
        <v>46084</v>
      </c>
      <c r="B4" s="3" t="s">
        <v>157</v>
      </c>
      <c r="C4" s="0" t="n">
        <v>71</v>
      </c>
      <c r="D4" s="0" t="n">
        <v>1</v>
      </c>
      <c r="E4" s="0" t="str">
        <f aca="false">INDEX(lot!$B$2:$B$1201,MATCH(B4,lot!$A$2:$A$1201,0))</f>
        <v>SUP-E</v>
      </c>
      <c r="F4" s="3" t="n">
        <f aca="false">YEAR(A4)*100+MONTH(A4)</f>
        <v>202603</v>
      </c>
    </row>
    <row r="5" customFormat="false" ht="15" hidden="false" customHeight="false" outlineLevel="0" collapsed="false">
      <c r="A5" s="2" t="n">
        <v>46084</v>
      </c>
      <c r="B5" s="3" t="s">
        <v>205</v>
      </c>
      <c r="C5" s="0" t="n">
        <v>102</v>
      </c>
      <c r="D5" s="0" t="n">
        <v>1</v>
      </c>
      <c r="E5" s="0" t="str">
        <f aca="false">INDEX(lot!$B$2:$B$1201,MATCH(B5,lot!$A$2:$A$1201,0))</f>
        <v>SUP-D</v>
      </c>
      <c r="F5" s="3" t="n">
        <f aca="false">YEAR(A5)*100+MONTH(A5)</f>
        <v>202603</v>
      </c>
    </row>
    <row r="6" customFormat="false" ht="15" hidden="false" customHeight="false" outlineLevel="0" collapsed="false">
      <c r="A6" s="2" t="n">
        <v>46084</v>
      </c>
      <c r="B6" s="3" t="s">
        <v>205</v>
      </c>
      <c r="C6" s="0" t="n">
        <v>183</v>
      </c>
      <c r="D6" s="0" t="n">
        <v>1</v>
      </c>
      <c r="E6" s="0" t="str">
        <f aca="false">INDEX(lot!$B$2:$B$1201,MATCH(B6,lot!$A$2:$A$1201,0))</f>
        <v>SUP-D</v>
      </c>
      <c r="F6" s="3" t="n">
        <f aca="false">YEAR(A6)*100+MONTH(A6)</f>
        <v>202603</v>
      </c>
    </row>
    <row r="7" customFormat="false" ht="15" hidden="false" customHeight="false" outlineLevel="0" collapsed="false">
      <c r="A7" s="2" t="n">
        <v>46084</v>
      </c>
      <c r="B7" s="3" t="s">
        <v>332</v>
      </c>
      <c r="C7" s="0" t="n">
        <v>163</v>
      </c>
      <c r="D7" s="0" t="n">
        <v>1</v>
      </c>
      <c r="E7" s="0" t="str">
        <f aca="false">INDEX(lot!$B$2:$B$1201,MATCH(B7,lot!$A$2:$A$1201,0))</f>
        <v>SUP-B</v>
      </c>
      <c r="F7" s="3" t="n">
        <f aca="false">YEAR(A7)*100+MONTH(A7)</f>
        <v>202603</v>
      </c>
    </row>
    <row r="8" customFormat="false" ht="15" hidden="false" customHeight="false" outlineLevel="0" collapsed="false">
      <c r="A8" s="2" t="n">
        <v>46084</v>
      </c>
      <c r="B8" s="3" t="s">
        <v>332</v>
      </c>
      <c r="C8" s="0" t="n">
        <v>70</v>
      </c>
      <c r="D8" s="0" t="n">
        <v>0</v>
      </c>
      <c r="E8" s="0" t="str">
        <f aca="false">INDEX(lot!$B$2:$B$1201,MATCH(B8,lot!$A$2:$A$1201,0))</f>
        <v>SUP-B</v>
      </c>
      <c r="F8" s="3" t="n">
        <f aca="false">YEAR(A8)*100+MONTH(A8)</f>
        <v>202603</v>
      </c>
    </row>
    <row r="9" customFormat="false" ht="15" hidden="false" customHeight="false" outlineLevel="0" collapsed="false">
      <c r="A9" s="2" t="n">
        <v>46084</v>
      </c>
      <c r="B9" s="3" t="s">
        <v>407</v>
      </c>
      <c r="C9" s="0" t="n">
        <v>139</v>
      </c>
      <c r="D9" s="0" t="n">
        <v>2</v>
      </c>
      <c r="E9" s="0" t="str">
        <f aca="false">INDEX(lot!$B$2:$B$1201,MATCH(B9,lot!$A$2:$A$1201,0))</f>
        <v>SUP-D</v>
      </c>
      <c r="F9" s="3" t="n">
        <f aca="false">YEAR(A9)*100+MONTH(A9)</f>
        <v>202603</v>
      </c>
    </row>
    <row r="10" customFormat="false" ht="15" hidden="false" customHeight="false" outlineLevel="0" collapsed="false">
      <c r="A10" s="2" t="n">
        <v>46084</v>
      </c>
      <c r="B10" s="3" t="s">
        <v>407</v>
      </c>
      <c r="C10" s="0" t="n">
        <v>225</v>
      </c>
      <c r="D10" s="0" t="n">
        <v>2</v>
      </c>
      <c r="E10" s="0" t="str">
        <f aca="false">INDEX(lot!$B$2:$B$1201,MATCH(B10,lot!$A$2:$A$1201,0))</f>
        <v>SUP-D</v>
      </c>
      <c r="F10" s="3" t="n">
        <f aca="false">YEAR(A10)*100+MONTH(A10)</f>
        <v>202603</v>
      </c>
    </row>
    <row r="11" customFormat="false" ht="15" hidden="false" customHeight="false" outlineLevel="0" collapsed="false">
      <c r="A11" s="2" t="n">
        <v>46084</v>
      </c>
      <c r="B11" s="3" t="s">
        <v>601</v>
      </c>
      <c r="C11" s="0" t="n">
        <v>76</v>
      </c>
      <c r="D11" s="0" t="n">
        <v>0</v>
      </c>
      <c r="E11" s="0" t="str">
        <f aca="false">INDEX(lot!$B$2:$B$1201,MATCH(B11,lot!$A$2:$A$1201,0))</f>
        <v>SUP-E</v>
      </c>
      <c r="F11" s="3" t="n">
        <f aca="false">YEAR(A11)*100+MONTH(A11)</f>
        <v>202603</v>
      </c>
    </row>
    <row r="12" customFormat="false" ht="15" hidden="false" customHeight="false" outlineLevel="0" collapsed="false">
      <c r="A12" s="2" t="n">
        <v>46084</v>
      </c>
      <c r="B12" s="3" t="s">
        <v>757</v>
      </c>
      <c r="C12" s="0" t="n">
        <v>137</v>
      </c>
      <c r="D12" s="0" t="n">
        <v>1</v>
      </c>
      <c r="E12" s="0" t="str">
        <f aca="false">INDEX(lot!$B$2:$B$1201,MATCH(B12,lot!$A$2:$A$1201,0))</f>
        <v>SUP-E</v>
      </c>
      <c r="F12" s="3" t="n">
        <f aca="false">YEAR(A12)*100+MONTH(A12)</f>
        <v>202603</v>
      </c>
    </row>
    <row r="13" customFormat="false" ht="15" hidden="false" customHeight="false" outlineLevel="0" collapsed="false">
      <c r="A13" s="2" t="n">
        <v>46084</v>
      </c>
      <c r="B13" s="3" t="s">
        <v>783</v>
      </c>
      <c r="C13" s="0" t="n">
        <v>94</v>
      </c>
      <c r="D13" s="0" t="n">
        <v>1</v>
      </c>
      <c r="E13" s="0" t="str">
        <f aca="false">INDEX(lot!$B$2:$B$1201,MATCH(B13,lot!$A$2:$A$1201,0))</f>
        <v>SUP-A</v>
      </c>
      <c r="F13" s="3" t="n">
        <f aca="false">YEAR(A13)*100+MONTH(A13)</f>
        <v>202603</v>
      </c>
    </row>
    <row r="14" customFormat="false" ht="15" hidden="false" customHeight="false" outlineLevel="0" collapsed="false">
      <c r="A14" s="2" t="n">
        <v>46084</v>
      </c>
      <c r="B14" s="3" t="s">
        <v>958</v>
      </c>
      <c r="C14" s="0" t="n">
        <v>154</v>
      </c>
      <c r="D14" s="0" t="n">
        <v>2</v>
      </c>
      <c r="E14" s="0" t="str">
        <f aca="false">INDEX(lot!$B$2:$B$1201,MATCH(B14,lot!$A$2:$A$1201,0))</f>
        <v>SUP-E</v>
      </c>
      <c r="F14" s="3" t="n">
        <f aca="false">YEAR(A14)*100+MONTH(A14)</f>
        <v>202603</v>
      </c>
    </row>
    <row r="15" customFormat="false" ht="15" hidden="false" customHeight="false" outlineLevel="0" collapsed="false">
      <c r="A15" s="2" t="n">
        <v>46084</v>
      </c>
      <c r="B15" s="3" t="s">
        <v>958</v>
      </c>
      <c r="C15" s="0" t="n">
        <v>223</v>
      </c>
      <c r="D15" s="0" t="n">
        <v>1</v>
      </c>
      <c r="E15" s="0" t="str">
        <f aca="false">INDEX(lot!$B$2:$B$1201,MATCH(B15,lot!$A$2:$A$1201,0))</f>
        <v>SUP-E</v>
      </c>
      <c r="F15" s="3" t="n">
        <f aca="false">YEAR(A15)*100+MONTH(A15)</f>
        <v>202603</v>
      </c>
    </row>
    <row r="16" customFormat="false" ht="15" hidden="false" customHeight="false" outlineLevel="0" collapsed="false">
      <c r="A16" s="2" t="n">
        <v>46084</v>
      </c>
      <c r="B16" s="3" t="s">
        <v>1002</v>
      </c>
      <c r="C16" s="0" t="n">
        <v>207</v>
      </c>
      <c r="D16" s="0" t="n">
        <v>5</v>
      </c>
      <c r="E16" s="0" t="str">
        <f aca="false">INDEX(lot!$B$2:$B$1201,MATCH(B16,lot!$A$2:$A$1201,0))</f>
        <v>SUP-E</v>
      </c>
      <c r="F16" s="3" t="n">
        <f aca="false">YEAR(A16)*100+MONTH(A16)</f>
        <v>202603</v>
      </c>
    </row>
    <row r="17" customFormat="false" ht="15" hidden="false" customHeight="false" outlineLevel="0" collapsed="false">
      <c r="A17" s="2" t="n">
        <v>46084</v>
      </c>
      <c r="B17" s="3" t="s">
        <v>1002</v>
      </c>
      <c r="C17" s="0" t="n">
        <v>241</v>
      </c>
      <c r="D17" s="0" t="n">
        <v>15</v>
      </c>
      <c r="E17" s="0" t="str">
        <f aca="false">INDEX(lot!$B$2:$B$1201,MATCH(B17,lot!$A$2:$A$1201,0))</f>
        <v>SUP-E</v>
      </c>
      <c r="F17" s="3" t="n">
        <f aca="false">YEAR(A17)*100+MONTH(A17)</f>
        <v>202603</v>
      </c>
    </row>
    <row r="18" customFormat="false" ht="15" hidden="false" customHeight="false" outlineLevel="0" collapsed="false">
      <c r="A18" s="2" t="n">
        <v>46084</v>
      </c>
      <c r="B18" s="3" t="s">
        <v>1160</v>
      </c>
      <c r="C18" s="0" t="n">
        <v>70</v>
      </c>
      <c r="D18" s="0" t="n">
        <v>1</v>
      </c>
      <c r="E18" s="0" t="str">
        <f aca="false">INDEX(lot!$B$2:$B$1201,MATCH(B18,lot!$A$2:$A$1201,0))</f>
        <v>SUP-C</v>
      </c>
      <c r="F18" s="3" t="n">
        <f aca="false">YEAR(A18)*100+MONTH(A18)</f>
        <v>202603</v>
      </c>
    </row>
    <row r="19" customFormat="false" ht="15" hidden="false" customHeight="false" outlineLevel="0" collapsed="false">
      <c r="A19" s="2" t="n">
        <v>46084</v>
      </c>
      <c r="B19" s="3" t="s">
        <v>1160</v>
      </c>
      <c r="C19" s="0" t="n">
        <v>162</v>
      </c>
      <c r="D19" s="0" t="n">
        <v>9</v>
      </c>
      <c r="E19" s="0" t="str">
        <f aca="false">INDEX(lot!$B$2:$B$1201,MATCH(B19,lot!$A$2:$A$1201,0))</f>
        <v>SUP-C</v>
      </c>
      <c r="F19" s="3" t="n">
        <f aca="false">YEAR(A19)*100+MONTH(A19)</f>
        <v>202603</v>
      </c>
    </row>
    <row r="20" customFormat="false" ht="15" hidden="false" customHeight="false" outlineLevel="0" collapsed="false">
      <c r="A20" s="2" t="n">
        <v>46085</v>
      </c>
      <c r="B20" s="3" t="s">
        <v>23</v>
      </c>
      <c r="C20" s="0" t="n">
        <v>101</v>
      </c>
      <c r="D20" s="0" t="n">
        <v>0</v>
      </c>
      <c r="E20" s="0" t="str">
        <f aca="false">INDEX(lot!$B$2:$B$1201,MATCH(B20,lot!$A$2:$A$1201,0))</f>
        <v>SUP-D</v>
      </c>
      <c r="F20" s="3" t="n">
        <f aca="false">YEAR(A20)*100+MONTH(A20)</f>
        <v>202603</v>
      </c>
    </row>
    <row r="21" customFormat="false" ht="15" hidden="false" customHeight="false" outlineLevel="0" collapsed="false">
      <c r="A21" s="2" t="n">
        <v>46085</v>
      </c>
      <c r="B21" s="3" t="s">
        <v>23</v>
      </c>
      <c r="C21" s="0" t="n">
        <v>89</v>
      </c>
      <c r="D21" s="0" t="n">
        <v>1</v>
      </c>
      <c r="E21" s="0" t="str">
        <f aca="false">INDEX(lot!$B$2:$B$1201,MATCH(B21,lot!$A$2:$A$1201,0))</f>
        <v>SUP-D</v>
      </c>
      <c r="F21" s="3" t="n">
        <f aca="false">YEAR(A21)*100+MONTH(A21)</f>
        <v>202603</v>
      </c>
    </row>
    <row r="22" customFormat="false" ht="15" hidden="false" customHeight="false" outlineLevel="0" collapsed="false">
      <c r="A22" s="2" t="n">
        <v>46085</v>
      </c>
      <c r="B22" s="3" t="s">
        <v>129</v>
      </c>
      <c r="C22" s="0" t="n">
        <v>192</v>
      </c>
      <c r="D22" s="0" t="n">
        <v>3</v>
      </c>
      <c r="E22" s="0" t="str">
        <f aca="false">INDEX(lot!$B$2:$B$1201,MATCH(B22,lot!$A$2:$A$1201,0))</f>
        <v>SUP-E</v>
      </c>
      <c r="F22" s="3" t="n">
        <f aca="false">YEAR(A22)*100+MONTH(A22)</f>
        <v>202603</v>
      </c>
    </row>
    <row r="23" customFormat="false" ht="15" hidden="false" customHeight="false" outlineLevel="0" collapsed="false">
      <c r="A23" s="2" t="n">
        <v>46085</v>
      </c>
      <c r="B23" s="3" t="s">
        <v>157</v>
      </c>
      <c r="C23" s="0" t="n">
        <v>116</v>
      </c>
      <c r="D23" s="0" t="n">
        <v>0</v>
      </c>
      <c r="E23" s="0" t="str">
        <f aca="false">INDEX(lot!$B$2:$B$1201,MATCH(B23,lot!$A$2:$A$1201,0))</f>
        <v>SUP-E</v>
      </c>
      <c r="F23" s="3" t="n">
        <f aca="false">YEAR(A23)*100+MONTH(A23)</f>
        <v>202603</v>
      </c>
    </row>
    <row r="24" customFormat="false" ht="15" hidden="false" customHeight="false" outlineLevel="0" collapsed="false">
      <c r="A24" s="2" t="n">
        <v>46085</v>
      </c>
      <c r="B24" s="3" t="s">
        <v>157</v>
      </c>
      <c r="C24" s="0" t="n">
        <v>103</v>
      </c>
      <c r="D24" s="0" t="n">
        <v>0</v>
      </c>
      <c r="E24" s="0" t="str">
        <f aca="false">INDEX(lot!$B$2:$B$1201,MATCH(B24,lot!$A$2:$A$1201,0))</f>
        <v>SUP-E</v>
      </c>
      <c r="F24" s="3" t="n">
        <f aca="false">YEAR(A24)*100+MONTH(A24)</f>
        <v>202603</v>
      </c>
    </row>
    <row r="25" customFormat="false" ht="15" hidden="false" customHeight="false" outlineLevel="0" collapsed="false">
      <c r="A25" s="2" t="n">
        <v>46085</v>
      </c>
      <c r="B25" s="3" t="s">
        <v>205</v>
      </c>
      <c r="C25" s="0" t="n">
        <v>204</v>
      </c>
      <c r="D25" s="0" t="n">
        <v>1</v>
      </c>
      <c r="E25" s="0" t="str">
        <f aca="false">INDEX(lot!$B$2:$B$1201,MATCH(B25,lot!$A$2:$A$1201,0))</f>
        <v>SUP-D</v>
      </c>
      <c r="F25" s="3" t="n">
        <f aca="false">YEAR(A25)*100+MONTH(A25)</f>
        <v>202603</v>
      </c>
    </row>
    <row r="26" customFormat="false" ht="15" hidden="false" customHeight="false" outlineLevel="0" collapsed="false">
      <c r="A26" s="2" t="n">
        <v>46085</v>
      </c>
      <c r="B26" s="3" t="s">
        <v>310</v>
      </c>
      <c r="C26" s="0" t="n">
        <v>164</v>
      </c>
      <c r="D26" s="0" t="n">
        <v>1</v>
      </c>
      <c r="E26" s="0" t="str">
        <f aca="false">INDEX(lot!$B$2:$B$1201,MATCH(B26,lot!$A$2:$A$1201,0))</f>
        <v>SUP-A</v>
      </c>
      <c r="F26" s="3" t="n">
        <f aca="false">YEAR(A26)*100+MONTH(A26)</f>
        <v>202603</v>
      </c>
    </row>
    <row r="27" customFormat="false" ht="15" hidden="false" customHeight="false" outlineLevel="0" collapsed="false">
      <c r="A27" s="2" t="n">
        <v>46085</v>
      </c>
      <c r="B27" s="3" t="s">
        <v>310</v>
      </c>
      <c r="C27" s="0" t="n">
        <v>218</v>
      </c>
      <c r="D27" s="0" t="n">
        <v>2</v>
      </c>
      <c r="E27" s="0" t="str">
        <f aca="false">INDEX(lot!$B$2:$B$1201,MATCH(B27,lot!$A$2:$A$1201,0))</f>
        <v>SUP-A</v>
      </c>
      <c r="F27" s="3" t="n">
        <f aca="false">YEAR(A27)*100+MONTH(A27)</f>
        <v>202603</v>
      </c>
    </row>
    <row r="28" customFormat="false" ht="15" hidden="false" customHeight="false" outlineLevel="0" collapsed="false">
      <c r="A28" s="2" t="n">
        <v>46085</v>
      </c>
      <c r="B28" s="3" t="s">
        <v>313</v>
      </c>
      <c r="C28" s="0" t="n">
        <v>150</v>
      </c>
      <c r="D28" s="0" t="n">
        <v>1</v>
      </c>
      <c r="E28" s="0" t="str">
        <f aca="false">INDEX(lot!$B$2:$B$1201,MATCH(B28,lot!$A$2:$A$1201,0))</f>
        <v>SUP-E</v>
      </c>
      <c r="F28" s="3" t="n">
        <f aca="false">YEAR(A28)*100+MONTH(A28)</f>
        <v>202603</v>
      </c>
    </row>
    <row r="29" customFormat="false" ht="15" hidden="false" customHeight="false" outlineLevel="0" collapsed="false">
      <c r="A29" s="2" t="n">
        <v>46085</v>
      </c>
      <c r="B29" s="3" t="s">
        <v>313</v>
      </c>
      <c r="C29" s="0" t="n">
        <v>131</v>
      </c>
      <c r="D29" s="0" t="n">
        <v>2</v>
      </c>
      <c r="E29" s="0" t="str">
        <f aca="false">INDEX(lot!$B$2:$B$1201,MATCH(B29,lot!$A$2:$A$1201,0))</f>
        <v>SUP-E</v>
      </c>
      <c r="F29" s="3" t="n">
        <f aca="false">YEAR(A29)*100+MONTH(A29)</f>
        <v>202603</v>
      </c>
    </row>
    <row r="30" customFormat="false" ht="15" hidden="false" customHeight="false" outlineLevel="0" collapsed="false">
      <c r="A30" s="2" t="n">
        <v>46085</v>
      </c>
      <c r="B30" s="3" t="s">
        <v>332</v>
      </c>
      <c r="C30" s="0" t="n">
        <v>128</v>
      </c>
      <c r="D30" s="0" t="n">
        <v>3</v>
      </c>
      <c r="E30" s="0" t="str">
        <f aca="false">INDEX(lot!$B$2:$B$1201,MATCH(B30,lot!$A$2:$A$1201,0))</f>
        <v>SUP-B</v>
      </c>
      <c r="F30" s="3" t="n">
        <f aca="false">YEAR(A30)*100+MONTH(A30)</f>
        <v>202603</v>
      </c>
    </row>
    <row r="31" customFormat="false" ht="15" hidden="false" customHeight="false" outlineLevel="0" collapsed="false">
      <c r="A31" s="2" t="n">
        <v>46085</v>
      </c>
      <c r="B31" s="3" t="s">
        <v>332</v>
      </c>
      <c r="C31" s="0" t="n">
        <v>90</v>
      </c>
      <c r="D31" s="0" t="n">
        <v>0</v>
      </c>
      <c r="E31" s="0" t="str">
        <f aca="false">INDEX(lot!$B$2:$B$1201,MATCH(B31,lot!$A$2:$A$1201,0))</f>
        <v>SUP-B</v>
      </c>
      <c r="F31" s="3" t="n">
        <f aca="false">YEAR(A31)*100+MONTH(A31)</f>
        <v>202603</v>
      </c>
    </row>
    <row r="32" customFormat="false" ht="15" hidden="false" customHeight="false" outlineLevel="0" collapsed="false">
      <c r="A32" s="2" t="n">
        <v>46085</v>
      </c>
      <c r="B32" s="3" t="s">
        <v>407</v>
      </c>
      <c r="C32" s="0" t="n">
        <v>169</v>
      </c>
      <c r="D32" s="0" t="n">
        <v>1</v>
      </c>
      <c r="E32" s="0" t="str">
        <f aca="false">INDEX(lot!$B$2:$B$1201,MATCH(B32,lot!$A$2:$A$1201,0))</f>
        <v>SUP-D</v>
      </c>
      <c r="F32" s="3" t="n">
        <f aca="false">YEAR(A32)*100+MONTH(A32)</f>
        <v>202603</v>
      </c>
    </row>
    <row r="33" customFormat="false" ht="15" hidden="false" customHeight="false" outlineLevel="0" collapsed="false">
      <c r="A33" s="2" t="n">
        <v>46085</v>
      </c>
      <c r="B33" s="3" t="s">
        <v>407</v>
      </c>
      <c r="C33" s="0" t="n">
        <v>203</v>
      </c>
      <c r="D33" s="0" t="n">
        <v>3</v>
      </c>
      <c r="E33" s="0" t="str">
        <f aca="false">INDEX(lot!$B$2:$B$1201,MATCH(B33,lot!$A$2:$A$1201,0))</f>
        <v>SUP-D</v>
      </c>
      <c r="F33" s="3" t="n">
        <f aca="false">YEAR(A33)*100+MONTH(A33)</f>
        <v>202603</v>
      </c>
    </row>
    <row r="34" customFormat="false" ht="15" hidden="false" customHeight="false" outlineLevel="0" collapsed="false">
      <c r="A34" s="2" t="n">
        <v>46085</v>
      </c>
      <c r="B34" s="3" t="s">
        <v>601</v>
      </c>
      <c r="C34" s="0" t="n">
        <v>247</v>
      </c>
      <c r="D34" s="0" t="n">
        <v>1</v>
      </c>
      <c r="E34" s="0" t="str">
        <f aca="false">INDEX(lot!$B$2:$B$1201,MATCH(B34,lot!$A$2:$A$1201,0))</f>
        <v>SUP-E</v>
      </c>
      <c r="F34" s="3" t="n">
        <f aca="false">YEAR(A34)*100+MONTH(A34)</f>
        <v>202603</v>
      </c>
    </row>
    <row r="35" customFormat="false" ht="15" hidden="false" customHeight="false" outlineLevel="0" collapsed="false">
      <c r="A35" s="2" t="n">
        <v>46085</v>
      </c>
      <c r="B35" s="3" t="s">
        <v>704</v>
      </c>
      <c r="C35" s="0" t="n">
        <v>148</v>
      </c>
      <c r="D35" s="0" t="n">
        <v>1</v>
      </c>
      <c r="E35" s="0" t="str">
        <f aca="false">INDEX(lot!$B$2:$B$1201,MATCH(B35,lot!$A$2:$A$1201,0))</f>
        <v>SUP-A</v>
      </c>
      <c r="F35" s="3" t="n">
        <f aca="false">YEAR(A35)*100+MONTH(A35)</f>
        <v>202603</v>
      </c>
    </row>
    <row r="36" customFormat="false" ht="15" hidden="false" customHeight="false" outlineLevel="0" collapsed="false">
      <c r="A36" s="2" t="n">
        <v>46085</v>
      </c>
      <c r="B36" s="3" t="s">
        <v>704</v>
      </c>
      <c r="C36" s="0" t="n">
        <v>114</v>
      </c>
      <c r="D36" s="0" t="n">
        <v>1</v>
      </c>
      <c r="E36" s="0" t="str">
        <f aca="false">INDEX(lot!$B$2:$B$1201,MATCH(B36,lot!$A$2:$A$1201,0))</f>
        <v>SUP-A</v>
      </c>
      <c r="F36" s="3" t="n">
        <f aca="false">YEAR(A36)*100+MONTH(A36)</f>
        <v>202603</v>
      </c>
    </row>
    <row r="37" customFormat="false" ht="15" hidden="false" customHeight="false" outlineLevel="0" collapsed="false">
      <c r="A37" s="2" t="n">
        <v>46085</v>
      </c>
      <c r="B37" s="3" t="s">
        <v>783</v>
      </c>
      <c r="C37" s="0" t="n">
        <v>218</v>
      </c>
      <c r="D37" s="0" t="n">
        <v>4</v>
      </c>
      <c r="E37" s="0" t="str">
        <f aca="false">INDEX(lot!$B$2:$B$1201,MATCH(B37,lot!$A$2:$A$1201,0))</f>
        <v>SUP-A</v>
      </c>
      <c r="F37" s="3" t="n">
        <f aca="false">YEAR(A37)*100+MONTH(A37)</f>
        <v>202603</v>
      </c>
    </row>
    <row r="38" customFormat="false" ht="15" hidden="false" customHeight="false" outlineLevel="0" collapsed="false">
      <c r="A38" s="2" t="n">
        <v>46085</v>
      </c>
      <c r="B38" s="3" t="s">
        <v>944</v>
      </c>
      <c r="C38" s="0" t="n">
        <v>134</v>
      </c>
      <c r="D38" s="0" t="n">
        <v>5</v>
      </c>
      <c r="E38" s="0" t="str">
        <f aca="false">INDEX(lot!$B$2:$B$1201,MATCH(B38,lot!$A$2:$A$1201,0))</f>
        <v>SUP-C</v>
      </c>
      <c r="F38" s="3" t="n">
        <f aca="false">YEAR(A38)*100+MONTH(A38)</f>
        <v>202603</v>
      </c>
    </row>
    <row r="39" customFormat="false" ht="15" hidden="false" customHeight="false" outlineLevel="0" collapsed="false">
      <c r="A39" s="2" t="n">
        <v>46085</v>
      </c>
      <c r="B39" s="3" t="s">
        <v>1002</v>
      </c>
      <c r="C39" s="0" t="n">
        <v>98</v>
      </c>
      <c r="D39" s="0" t="n">
        <v>5</v>
      </c>
      <c r="E39" s="0" t="str">
        <f aca="false">INDEX(lot!$B$2:$B$1201,MATCH(B39,lot!$A$2:$A$1201,0))</f>
        <v>SUP-E</v>
      </c>
      <c r="F39" s="3" t="n">
        <f aca="false">YEAR(A39)*100+MONTH(A39)</f>
        <v>202603</v>
      </c>
    </row>
    <row r="40" customFormat="false" ht="15" hidden="false" customHeight="false" outlineLevel="0" collapsed="false">
      <c r="A40" s="2" t="n">
        <v>46085</v>
      </c>
      <c r="B40" s="3" t="s">
        <v>1005</v>
      </c>
      <c r="C40" s="0" t="n">
        <v>148</v>
      </c>
      <c r="D40" s="0" t="n">
        <v>0</v>
      </c>
      <c r="E40" s="0" t="str">
        <f aca="false">INDEX(lot!$B$2:$B$1201,MATCH(B40,lot!$A$2:$A$1201,0))</f>
        <v>SUP-E</v>
      </c>
      <c r="F40" s="3" t="n">
        <f aca="false">YEAR(A40)*100+MONTH(A40)</f>
        <v>202603</v>
      </c>
    </row>
    <row r="41" customFormat="false" ht="15" hidden="false" customHeight="false" outlineLevel="0" collapsed="false">
      <c r="A41" s="2" t="n">
        <v>46085</v>
      </c>
      <c r="B41" s="3" t="s">
        <v>1160</v>
      </c>
      <c r="C41" s="0" t="n">
        <v>82</v>
      </c>
      <c r="D41" s="0" t="n">
        <v>2</v>
      </c>
      <c r="E41" s="0" t="str">
        <f aca="false">INDEX(lot!$B$2:$B$1201,MATCH(B41,lot!$A$2:$A$1201,0))</f>
        <v>SUP-C</v>
      </c>
      <c r="F41" s="3" t="n">
        <f aca="false">YEAR(A41)*100+MONTH(A41)</f>
        <v>202603</v>
      </c>
    </row>
    <row r="42" customFormat="false" ht="15" hidden="false" customHeight="false" outlineLevel="0" collapsed="false">
      <c r="A42" s="2" t="n">
        <v>46085</v>
      </c>
      <c r="B42" s="3" t="s">
        <v>1160</v>
      </c>
      <c r="C42" s="0" t="n">
        <v>233</v>
      </c>
      <c r="D42" s="0" t="n">
        <v>5</v>
      </c>
      <c r="E42" s="0" t="str">
        <f aca="false">INDEX(lot!$B$2:$B$1201,MATCH(B42,lot!$A$2:$A$1201,0))</f>
        <v>SUP-C</v>
      </c>
      <c r="F42" s="3" t="n">
        <f aca="false">YEAR(A42)*100+MONTH(A42)</f>
        <v>202603</v>
      </c>
    </row>
    <row r="43" customFormat="false" ht="15" hidden="false" customHeight="false" outlineLevel="0" collapsed="false">
      <c r="A43" s="2" t="n">
        <v>46085</v>
      </c>
      <c r="B43" s="3" t="s">
        <v>1173</v>
      </c>
      <c r="C43" s="0" t="n">
        <v>200</v>
      </c>
      <c r="D43" s="0" t="n">
        <v>2</v>
      </c>
      <c r="E43" s="0" t="str">
        <f aca="false">INDEX(lot!$B$2:$B$1201,MATCH(B43,lot!$A$2:$A$1201,0))</f>
        <v>SUP-D</v>
      </c>
      <c r="F43" s="3" t="n">
        <f aca="false">YEAR(A43)*100+MONTH(A43)</f>
        <v>202603</v>
      </c>
    </row>
    <row r="44" customFormat="false" ht="15" hidden="false" customHeight="false" outlineLevel="0" collapsed="false">
      <c r="A44" s="2" t="n">
        <v>46086</v>
      </c>
      <c r="B44" s="3" t="s">
        <v>29</v>
      </c>
      <c r="C44" s="0" t="n">
        <v>76</v>
      </c>
      <c r="D44" s="0" t="n">
        <v>1</v>
      </c>
      <c r="E44" s="0" t="str">
        <f aca="false">INDEX(lot!$B$2:$B$1201,MATCH(B44,lot!$A$2:$A$1201,0))</f>
        <v>SUP-C</v>
      </c>
      <c r="F44" s="3" t="n">
        <f aca="false">YEAR(A44)*100+MONTH(A44)</f>
        <v>202603</v>
      </c>
    </row>
    <row r="45" customFormat="false" ht="15" hidden="false" customHeight="false" outlineLevel="0" collapsed="false">
      <c r="A45" s="2" t="n">
        <v>46086</v>
      </c>
      <c r="B45" s="3" t="s">
        <v>29</v>
      </c>
      <c r="C45" s="0" t="n">
        <v>194</v>
      </c>
      <c r="D45" s="0" t="n">
        <v>6</v>
      </c>
      <c r="E45" s="0" t="str">
        <f aca="false">INDEX(lot!$B$2:$B$1201,MATCH(B45,lot!$A$2:$A$1201,0))</f>
        <v>SUP-C</v>
      </c>
      <c r="F45" s="3" t="n">
        <f aca="false">YEAR(A45)*100+MONTH(A45)</f>
        <v>202603</v>
      </c>
    </row>
    <row r="46" customFormat="false" ht="15" hidden="false" customHeight="false" outlineLevel="0" collapsed="false">
      <c r="A46" s="2" t="n">
        <v>46086</v>
      </c>
      <c r="B46" s="3" t="s">
        <v>310</v>
      </c>
      <c r="C46" s="0" t="n">
        <v>157</v>
      </c>
      <c r="D46" s="0" t="n">
        <v>2</v>
      </c>
      <c r="E46" s="0" t="str">
        <f aca="false">INDEX(lot!$B$2:$B$1201,MATCH(B46,lot!$A$2:$A$1201,0))</f>
        <v>SUP-A</v>
      </c>
      <c r="F46" s="3" t="n">
        <f aca="false">YEAR(A46)*100+MONTH(A46)</f>
        <v>202603</v>
      </c>
    </row>
    <row r="47" customFormat="false" ht="15" hidden="false" customHeight="false" outlineLevel="0" collapsed="false">
      <c r="A47" s="2" t="n">
        <v>46086</v>
      </c>
      <c r="B47" s="3" t="s">
        <v>332</v>
      </c>
      <c r="C47" s="0" t="n">
        <v>74</v>
      </c>
      <c r="D47" s="0" t="n">
        <v>0</v>
      </c>
      <c r="E47" s="0" t="str">
        <f aca="false">INDEX(lot!$B$2:$B$1201,MATCH(B47,lot!$A$2:$A$1201,0))</f>
        <v>SUP-B</v>
      </c>
      <c r="F47" s="3" t="n">
        <f aca="false">YEAR(A47)*100+MONTH(A47)</f>
        <v>202603</v>
      </c>
    </row>
    <row r="48" customFormat="false" ht="15" hidden="false" customHeight="false" outlineLevel="0" collapsed="false">
      <c r="A48" s="2" t="n">
        <v>46086</v>
      </c>
      <c r="B48" s="3" t="s">
        <v>424</v>
      </c>
      <c r="C48" s="0" t="n">
        <v>144</v>
      </c>
      <c r="D48" s="0" t="n">
        <v>0</v>
      </c>
      <c r="E48" s="0" t="str">
        <f aca="false">INDEX(lot!$B$2:$B$1201,MATCH(B48,lot!$A$2:$A$1201,0))</f>
        <v>SUP-D</v>
      </c>
      <c r="F48" s="3" t="n">
        <f aca="false">YEAR(A48)*100+MONTH(A48)</f>
        <v>202603</v>
      </c>
    </row>
    <row r="49" customFormat="false" ht="15" hidden="false" customHeight="false" outlineLevel="0" collapsed="false">
      <c r="A49" s="2" t="n">
        <v>46086</v>
      </c>
      <c r="B49" s="3" t="s">
        <v>601</v>
      </c>
      <c r="C49" s="0" t="n">
        <v>134</v>
      </c>
      <c r="D49" s="0" t="n">
        <v>1</v>
      </c>
      <c r="E49" s="0" t="str">
        <f aca="false">INDEX(lot!$B$2:$B$1201,MATCH(B49,lot!$A$2:$A$1201,0))</f>
        <v>SUP-E</v>
      </c>
      <c r="F49" s="3" t="n">
        <f aca="false">YEAR(A49)*100+MONTH(A49)</f>
        <v>202603</v>
      </c>
    </row>
    <row r="50" customFormat="false" ht="15" hidden="false" customHeight="false" outlineLevel="0" collapsed="false">
      <c r="A50" s="2" t="n">
        <v>46086</v>
      </c>
      <c r="B50" s="3" t="s">
        <v>612</v>
      </c>
      <c r="C50" s="0" t="n">
        <v>242</v>
      </c>
      <c r="D50" s="0" t="n">
        <v>1</v>
      </c>
      <c r="E50" s="0" t="str">
        <f aca="false">INDEX(lot!$B$2:$B$1201,MATCH(B50,lot!$A$2:$A$1201,0))</f>
        <v>SUP-E</v>
      </c>
      <c r="F50" s="3" t="n">
        <f aca="false">YEAR(A50)*100+MONTH(A50)</f>
        <v>202603</v>
      </c>
    </row>
    <row r="51" customFormat="false" ht="15" hidden="false" customHeight="false" outlineLevel="0" collapsed="false">
      <c r="A51" s="2" t="n">
        <v>46086</v>
      </c>
      <c r="B51" s="3" t="s">
        <v>704</v>
      </c>
      <c r="C51" s="0" t="n">
        <v>200</v>
      </c>
      <c r="D51" s="0" t="n">
        <v>3</v>
      </c>
      <c r="E51" s="0" t="str">
        <f aca="false">INDEX(lot!$B$2:$B$1201,MATCH(B51,lot!$A$2:$A$1201,0))</f>
        <v>SUP-A</v>
      </c>
      <c r="F51" s="3" t="n">
        <f aca="false">YEAR(A51)*100+MONTH(A51)</f>
        <v>202603</v>
      </c>
    </row>
    <row r="52" customFormat="false" ht="15" hidden="false" customHeight="false" outlineLevel="0" collapsed="false">
      <c r="A52" s="2" t="n">
        <v>46086</v>
      </c>
      <c r="B52" s="3" t="s">
        <v>705</v>
      </c>
      <c r="C52" s="0" t="n">
        <v>93</v>
      </c>
      <c r="D52" s="0" t="n">
        <v>1</v>
      </c>
      <c r="E52" s="0" t="str">
        <f aca="false">INDEX(lot!$B$2:$B$1201,MATCH(B52,lot!$A$2:$A$1201,0))</f>
        <v>SUP-A</v>
      </c>
      <c r="F52" s="3" t="n">
        <f aca="false">YEAR(A52)*100+MONTH(A52)</f>
        <v>202603</v>
      </c>
    </row>
    <row r="53" customFormat="false" ht="15" hidden="false" customHeight="false" outlineLevel="0" collapsed="false">
      <c r="A53" s="2" t="n">
        <v>46086</v>
      </c>
      <c r="B53" s="3" t="s">
        <v>705</v>
      </c>
      <c r="C53" s="0" t="n">
        <v>149</v>
      </c>
      <c r="D53" s="0" t="n">
        <v>3</v>
      </c>
      <c r="E53" s="0" t="str">
        <f aca="false">INDEX(lot!$B$2:$B$1201,MATCH(B53,lot!$A$2:$A$1201,0))</f>
        <v>SUP-A</v>
      </c>
      <c r="F53" s="3" t="n">
        <f aca="false">YEAR(A53)*100+MONTH(A53)</f>
        <v>202603</v>
      </c>
    </row>
    <row r="54" customFormat="false" ht="15" hidden="false" customHeight="false" outlineLevel="0" collapsed="false">
      <c r="A54" s="2" t="n">
        <v>46086</v>
      </c>
      <c r="B54" s="3" t="s">
        <v>797</v>
      </c>
      <c r="C54" s="0" t="n">
        <v>156</v>
      </c>
      <c r="D54" s="0" t="n">
        <v>0</v>
      </c>
      <c r="E54" s="0" t="str">
        <f aca="false">INDEX(lot!$B$2:$B$1201,MATCH(B54,lot!$A$2:$A$1201,0))</f>
        <v>SUP-A</v>
      </c>
      <c r="F54" s="3" t="n">
        <f aca="false">YEAR(A54)*100+MONTH(A54)</f>
        <v>202603</v>
      </c>
    </row>
    <row r="55" customFormat="false" ht="15" hidden="false" customHeight="false" outlineLevel="0" collapsed="false">
      <c r="A55" s="2" t="n">
        <v>46086</v>
      </c>
      <c r="B55" s="3" t="s">
        <v>846</v>
      </c>
      <c r="C55" s="0" t="n">
        <v>84</v>
      </c>
      <c r="D55" s="0" t="n">
        <v>2</v>
      </c>
      <c r="E55" s="0" t="str">
        <f aca="false">INDEX(lot!$B$2:$B$1201,MATCH(B55,lot!$A$2:$A$1201,0))</f>
        <v>SUP-E</v>
      </c>
      <c r="F55" s="3" t="n">
        <f aca="false">YEAR(A55)*100+MONTH(A55)</f>
        <v>202603</v>
      </c>
    </row>
    <row r="56" customFormat="false" ht="15" hidden="false" customHeight="false" outlineLevel="0" collapsed="false">
      <c r="A56" s="2" t="n">
        <v>46086</v>
      </c>
      <c r="B56" s="3" t="s">
        <v>915</v>
      </c>
      <c r="C56" s="0" t="n">
        <v>208</v>
      </c>
      <c r="D56" s="0" t="n">
        <v>0</v>
      </c>
      <c r="E56" s="0" t="str">
        <f aca="false">INDEX(lot!$B$2:$B$1201,MATCH(B56,lot!$A$2:$A$1201,0))</f>
        <v>SUP-A</v>
      </c>
      <c r="F56" s="3" t="n">
        <f aca="false">YEAR(A56)*100+MONTH(A56)</f>
        <v>202603</v>
      </c>
    </row>
    <row r="57" customFormat="false" ht="15" hidden="false" customHeight="false" outlineLevel="0" collapsed="false">
      <c r="A57" s="2" t="n">
        <v>46086</v>
      </c>
      <c r="B57" s="3" t="s">
        <v>915</v>
      </c>
      <c r="C57" s="0" t="n">
        <v>76</v>
      </c>
      <c r="D57" s="0" t="n">
        <v>0</v>
      </c>
      <c r="E57" s="0" t="str">
        <f aca="false">INDEX(lot!$B$2:$B$1201,MATCH(B57,lot!$A$2:$A$1201,0))</f>
        <v>SUP-A</v>
      </c>
      <c r="F57" s="3" t="n">
        <f aca="false">YEAR(A57)*100+MONTH(A57)</f>
        <v>202603</v>
      </c>
    </row>
    <row r="58" customFormat="false" ht="15" hidden="false" customHeight="false" outlineLevel="0" collapsed="false">
      <c r="A58" s="2" t="n">
        <v>46086</v>
      </c>
      <c r="B58" s="3" t="s">
        <v>944</v>
      </c>
      <c r="C58" s="0" t="n">
        <v>167</v>
      </c>
      <c r="D58" s="0" t="n">
        <v>3</v>
      </c>
      <c r="E58" s="0" t="str">
        <f aca="false">INDEX(lot!$B$2:$B$1201,MATCH(B58,lot!$A$2:$A$1201,0))</f>
        <v>SUP-C</v>
      </c>
      <c r="F58" s="3" t="n">
        <f aca="false">YEAR(A58)*100+MONTH(A58)</f>
        <v>202603</v>
      </c>
    </row>
    <row r="59" customFormat="false" ht="15" hidden="false" customHeight="false" outlineLevel="0" collapsed="false">
      <c r="A59" s="2" t="n">
        <v>46086</v>
      </c>
      <c r="B59" s="3" t="s">
        <v>944</v>
      </c>
      <c r="C59" s="0" t="n">
        <v>104</v>
      </c>
      <c r="D59" s="0" t="n">
        <v>2</v>
      </c>
      <c r="E59" s="0" t="str">
        <f aca="false">INDEX(lot!$B$2:$B$1201,MATCH(B59,lot!$A$2:$A$1201,0))</f>
        <v>SUP-C</v>
      </c>
      <c r="F59" s="3" t="n">
        <f aca="false">YEAR(A59)*100+MONTH(A59)</f>
        <v>202603</v>
      </c>
    </row>
    <row r="60" customFormat="false" ht="15" hidden="false" customHeight="false" outlineLevel="0" collapsed="false">
      <c r="A60" s="2" t="n">
        <v>46086</v>
      </c>
      <c r="B60" s="3" t="s">
        <v>1005</v>
      </c>
      <c r="C60" s="0" t="n">
        <v>216</v>
      </c>
      <c r="D60" s="0" t="n">
        <v>1</v>
      </c>
      <c r="E60" s="0" t="str">
        <f aca="false">INDEX(lot!$B$2:$B$1201,MATCH(B60,lot!$A$2:$A$1201,0))</f>
        <v>SUP-E</v>
      </c>
      <c r="F60" s="3" t="n">
        <f aca="false">YEAR(A60)*100+MONTH(A60)</f>
        <v>202603</v>
      </c>
    </row>
    <row r="61" customFormat="false" ht="15" hidden="false" customHeight="false" outlineLevel="0" collapsed="false">
      <c r="A61" s="2" t="n">
        <v>46086</v>
      </c>
      <c r="B61" s="3" t="s">
        <v>1132</v>
      </c>
      <c r="C61" s="0" t="n">
        <v>244</v>
      </c>
      <c r="D61" s="0" t="n">
        <v>6</v>
      </c>
      <c r="E61" s="0" t="str">
        <f aca="false">INDEX(lot!$B$2:$B$1201,MATCH(B61,lot!$A$2:$A$1201,0))</f>
        <v>SUP-C</v>
      </c>
      <c r="F61" s="3" t="n">
        <f aca="false">YEAR(A61)*100+MONTH(A61)</f>
        <v>202603</v>
      </c>
    </row>
    <row r="62" customFormat="false" ht="15" hidden="false" customHeight="false" outlineLevel="0" collapsed="false">
      <c r="A62" s="2" t="n">
        <v>46087</v>
      </c>
      <c r="B62" s="3" t="s">
        <v>29</v>
      </c>
      <c r="C62" s="0" t="n">
        <v>150</v>
      </c>
      <c r="D62" s="0" t="n">
        <v>5</v>
      </c>
      <c r="E62" s="0" t="str">
        <f aca="false">INDEX(lot!$B$2:$B$1201,MATCH(B62,lot!$A$2:$A$1201,0))</f>
        <v>SUP-C</v>
      </c>
      <c r="F62" s="3" t="n">
        <f aca="false">YEAR(A62)*100+MONTH(A62)</f>
        <v>202603</v>
      </c>
    </row>
    <row r="63" customFormat="false" ht="15" hidden="false" customHeight="false" outlineLevel="0" collapsed="false">
      <c r="A63" s="2" t="n">
        <v>46087</v>
      </c>
      <c r="B63" s="3" t="s">
        <v>161</v>
      </c>
      <c r="C63" s="0" t="n">
        <v>183</v>
      </c>
      <c r="D63" s="0" t="n">
        <v>2</v>
      </c>
      <c r="E63" s="0" t="str">
        <f aca="false">INDEX(lot!$B$2:$B$1201,MATCH(B63,lot!$A$2:$A$1201,0))</f>
        <v>SUP-E</v>
      </c>
      <c r="F63" s="3" t="n">
        <f aca="false">YEAR(A63)*100+MONTH(A63)</f>
        <v>202603</v>
      </c>
    </row>
    <row r="64" customFormat="false" ht="15" hidden="false" customHeight="false" outlineLevel="0" collapsed="false">
      <c r="A64" s="2" t="n">
        <v>46087</v>
      </c>
      <c r="B64" s="3" t="s">
        <v>161</v>
      </c>
      <c r="C64" s="0" t="n">
        <v>179</v>
      </c>
      <c r="D64" s="0" t="n">
        <v>2</v>
      </c>
      <c r="E64" s="0" t="str">
        <f aca="false">INDEX(lot!$B$2:$B$1201,MATCH(B64,lot!$A$2:$A$1201,0))</f>
        <v>SUP-E</v>
      </c>
      <c r="F64" s="3" t="n">
        <f aca="false">YEAR(A64)*100+MONTH(A64)</f>
        <v>202603</v>
      </c>
    </row>
    <row r="65" customFormat="false" ht="15" hidden="false" customHeight="false" outlineLevel="0" collapsed="false">
      <c r="A65" s="2" t="n">
        <v>46087</v>
      </c>
      <c r="B65" s="3" t="s">
        <v>166</v>
      </c>
      <c r="C65" s="0" t="n">
        <v>243</v>
      </c>
      <c r="D65" s="0" t="n">
        <v>1</v>
      </c>
      <c r="E65" s="0" t="str">
        <f aca="false">INDEX(lot!$B$2:$B$1201,MATCH(B65,lot!$A$2:$A$1201,0))</f>
        <v>SUP-D</v>
      </c>
      <c r="F65" s="3" t="n">
        <f aca="false">YEAR(A65)*100+MONTH(A65)</f>
        <v>202603</v>
      </c>
    </row>
    <row r="66" customFormat="false" ht="15" hidden="false" customHeight="false" outlineLevel="0" collapsed="false">
      <c r="A66" s="2" t="n">
        <v>46087</v>
      </c>
      <c r="B66" s="3" t="s">
        <v>345</v>
      </c>
      <c r="C66" s="0" t="n">
        <v>251</v>
      </c>
      <c r="D66" s="0" t="n">
        <v>9</v>
      </c>
      <c r="E66" s="0" t="str">
        <f aca="false">INDEX(lot!$B$2:$B$1201,MATCH(B66,lot!$A$2:$A$1201,0))</f>
        <v>SUP-C</v>
      </c>
      <c r="F66" s="3" t="n">
        <f aca="false">YEAR(A66)*100+MONTH(A66)</f>
        <v>202603</v>
      </c>
    </row>
    <row r="67" customFormat="false" ht="15" hidden="false" customHeight="false" outlineLevel="0" collapsed="false">
      <c r="A67" s="2" t="n">
        <v>46087</v>
      </c>
      <c r="B67" s="3" t="s">
        <v>612</v>
      </c>
      <c r="C67" s="0" t="n">
        <v>205</v>
      </c>
      <c r="D67" s="0" t="n">
        <v>2</v>
      </c>
      <c r="E67" s="0" t="str">
        <f aca="false">INDEX(lot!$B$2:$B$1201,MATCH(B67,lot!$A$2:$A$1201,0))</f>
        <v>SUP-E</v>
      </c>
      <c r="F67" s="3" t="n">
        <f aca="false">YEAR(A67)*100+MONTH(A67)</f>
        <v>202603</v>
      </c>
    </row>
    <row r="68" customFormat="false" ht="15" hidden="false" customHeight="false" outlineLevel="0" collapsed="false">
      <c r="A68" s="2" t="n">
        <v>46087</v>
      </c>
      <c r="B68" s="3" t="s">
        <v>612</v>
      </c>
      <c r="C68" s="0" t="n">
        <v>165</v>
      </c>
      <c r="D68" s="0" t="n">
        <v>3</v>
      </c>
      <c r="E68" s="0" t="str">
        <f aca="false">INDEX(lot!$B$2:$B$1201,MATCH(B68,lot!$A$2:$A$1201,0))</f>
        <v>SUP-E</v>
      </c>
      <c r="F68" s="3" t="n">
        <f aca="false">YEAR(A68)*100+MONTH(A68)</f>
        <v>202603</v>
      </c>
    </row>
    <row r="69" customFormat="false" ht="15" hidden="false" customHeight="false" outlineLevel="0" collapsed="false">
      <c r="A69" s="2" t="n">
        <v>46087</v>
      </c>
      <c r="B69" s="3" t="s">
        <v>615</v>
      </c>
      <c r="C69" s="0" t="n">
        <v>235</v>
      </c>
      <c r="D69" s="0" t="n">
        <v>0</v>
      </c>
      <c r="E69" s="0" t="str">
        <f aca="false">INDEX(lot!$B$2:$B$1201,MATCH(B69,lot!$A$2:$A$1201,0))</f>
        <v>SUP-E</v>
      </c>
      <c r="F69" s="3" t="n">
        <f aca="false">YEAR(A69)*100+MONTH(A69)</f>
        <v>202603</v>
      </c>
    </row>
    <row r="70" customFormat="false" ht="15" hidden="false" customHeight="false" outlineLevel="0" collapsed="false">
      <c r="A70" s="2" t="n">
        <v>46087</v>
      </c>
      <c r="B70" s="3" t="s">
        <v>615</v>
      </c>
      <c r="C70" s="0" t="n">
        <v>197</v>
      </c>
      <c r="D70" s="0" t="n">
        <v>2</v>
      </c>
      <c r="E70" s="0" t="str">
        <f aca="false">INDEX(lot!$B$2:$B$1201,MATCH(B70,lot!$A$2:$A$1201,0))</f>
        <v>SUP-E</v>
      </c>
      <c r="F70" s="3" t="n">
        <f aca="false">YEAR(A70)*100+MONTH(A70)</f>
        <v>202603</v>
      </c>
    </row>
    <row r="71" customFormat="false" ht="15" hidden="false" customHeight="false" outlineLevel="0" collapsed="false">
      <c r="A71" s="2" t="n">
        <v>46087</v>
      </c>
      <c r="B71" s="3" t="s">
        <v>782</v>
      </c>
      <c r="C71" s="0" t="n">
        <v>183</v>
      </c>
      <c r="D71" s="0" t="n">
        <v>4</v>
      </c>
      <c r="E71" s="0" t="str">
        <f aca="false">INDEX(lot!$B$2:$B$1201,MATCH(B71,lot!$A$2:$A$1201,0))</f>
        <v>SUP-C</v>
      </c>
      <c r="F71" s="3" t="n">
        <f aca="false">YEAR(A71)*100+MONTH(A71)</f>
        <v>202603</v>
      </c>
    </row>
    <row r="72" customFormat="false" ht="15" hidden="false" customHeight="false" outlineLevel="0" collapsed="false">
      <c r="A72" s="2" t="n">
        <v>46087</v>
      </c>
      <c r="B72" s="3" t="s">
        <v>782</v>
      </c>
      <c r="C72" s="0" t="n">
        <v>222</v>
      </c>
      <c r="D72" s="0" t="n">
        <v>6</v>
      </c>
      <c r="E72" s="0" t="str">
        <f aca="false">INDEX(lot!$B$2:$B$1201,MATCH(B72,lot!$A$2:$A$1201,0))</f>
        <v>SUP-C</v>
      </c>
      <c r="F72" s="3" t="n">
        <f aca="false">YEAR(A72)*100+MONTH(A72)</f>
        <v>202603</v>
      </c>
    </row>
    <row r="73" customFormat="false" ht="15" hidden="false" customHeight="false" outlineLevel="0" collapsed="false">
      <c r="A73" s="2" t="n">
        <v>46087</v>
      </c>
      <c r="B73" s="3" t="s">
        <v>797</v>
      </c>
      <c r="C73" s="0" t="n">
        <v>235</v>
      </c>
      <c r="D73" s="0" t="n">
        <v>1</v>
      </c>
      <c r="E73" s="0" t="str">
        <f aca="false">INDEX(lot!$B$2:$B$1201,MATCH(B73,lot!$A$2:$A$1201,0))</f>
        <v>SUP-A</v>
      </c>
      <c r="F73" s="3" t="n">
        <f aca="false">YEAR(A73)*100+MONTH(A73)</f>
        <v>202603</v>
      </c>
    </row>
    <row r="74" customFormat="false" ht="15" hidden="false" customHeight="false" outlineLevel="0" collapsed="false">
      <c r="A74" s="2" t="n">
        <v>46087</v>
      </c>
      <c r="B74" s="3" t="s">
        <v>846</v>
      </c>
      <c r="C74" s="0" t="n">
        <v>150</v>
      </c>
      <c r="D74" s="0" t="n">
        <v>0</v>
      </c>
      <c r="E74" s="0" t="str">
        <f aca="false">INDEX(lot!$B$2:$B$1201,MATCH(B74,lot!$A$2:$A$1201,0))</f>
        <v>SUP-E</v>
      </c>
      <c r="F74" s="3" t="n">
        <f aca="false">YEAR(A74)*100+MONTH(A74)</f>
        <v>202603</v>
      </c>
    </row>
    <row r="75" customFormat="false" ht="15" hidden="false" customHeight="false" outlineLevel="0" collapsed="false">
      <c r="A75" s="2" t="n">
        <v>46087</v>
      </c>
      <c r="B75" s="3" t="s">
        <v>915</v>
      </c>
      <c r="C75" s="0" t="n">
        <v>215</v>
      </c>
      <c r="D75" s="0" t="n">
        <v>1</v>
      </c>
      <c r="E75" s="0" t="str">
        <f aca="false">INDEX(lot!$B$2:$B$1201,MATCH(B75,lot!$A$2:$A$1201,0))</f>
        <v>SUP-A</v>
      </c>
      <c r="F75" s="3" t="n">
        <f aca="false">YEAR(A75)*100+MONTH(A75)</f>
        <v>202603</v>
      </c>
    </row>
    <row r="76" customFormat="false" ht="15" hidden="false" customHeight="false" outlineLevel="0" collapsed="false">
      <c r="A76" s="2" t="n">
        <v>46087</v>
      </c>
      <c r="B76" s="3" t="s">
        <v>919</v>
      </c>
      <c r="C76" s="0" t="n">
        <v>64</v>
      </c>
      <c r="D76" s="0" t="n">
        <v>0</v>
      </c>
      <c r="E76" s="0" t="str">
        <f aca="false">INDEX(lot!$B$2:$B$1201,MATCH(B76,lot!$A$2:$A$1201,0))</f>
        <v>SUP-D</v>
      </c>
      <c r="F76" s="3" t="n">
        <f aca="false">YEAR(A76)*100+MONTH(A76)</f>
        <v>202603</v>
      </c>
    </row>
    <row r="77" customFormat="false" ht="15" hidden="false" customHeight="false" outlineLevel="0" collapsed="false">
      <c r="A77" s="2" t="n">
        <v>46087</v>
      </c>
      <c r="B77" s="3" t="s">
        <v>987</v>
      </c>
      <c r="C77" s="0" t="n">
        <v>105</v>
      </c>
      <c r="D77" s="0" t="n">
        <v>1</v>
      </c>
      <c r="E77" s="0" t="str">
        <f aca="false">INDEX(lot!$B$2:$B$1201,MATCH(B77,lot!$A$2:$A$1201,0))</f>
        <v>SUP-E</v>
      </c>
      <c r="F77" s="3" t="n">
        <f aca="false">YEAR(A77)*100+MONTH(A77)</f>
        <v>202603</v>
      </c>
    </row>
    <row r="78" customFormat="false" ht="15" hidden="false" customHeight="false" outlineLevel="0" collapsed="false">
      <c r="A78" s="2" t="n">
        <v>46087</v>
      </c>
      <c r="B78" s="3" t="s">
        <v>987</v>
      </c>
      <c r="C78" s="0" t="n">
        <v>228</v>
      </c>
      <c r="D78" s="0" t="n">
        <v>2</v>
      </c>
      <c r="E78" s="0" t="str">
        <f aca="false">INDEX(lot!$B$2:$B$1201,MATCH(B78,lot!$A$2:$A$1201,0))</f>
        <v>SUP-E</v>
      </c>
      <c r="F78" s="3" t="n">
        <f aca="false">YEAR(A78)*100+MONTH(A78)</f>
        <v>202603</v>
      </c>
    </row>
    <row r="79" customFormat="false" ht="15" hidden="false" customHeight="false" outlineLevel="0" collapsed="false">
      <c r="A79" s="2" t="n">
        <v>46087</v>
      </c>
      <c r="B79" s="3" t="s">
        <v>1005</v>
      </c>
      <c r="C79" s="0" t="n">
        <v>92</v>
      </c>
      <c r="D79" s="0" t="n">
        <v>0</v>
      </c>
      <c r="E79" s="0" t="str">
        <f aca="false">INDEX(lot!$B$2:$B$1201,MATCH(B79,lot!$A$2:$A$1201,0))</f>
        <v>SUP-E</v>
      </c>
      <c r="F79" s="3" t="n">
        <f aca="false">YEAR(A79)*100+MONTH(A79)</f>
        <v>202603</v>
      </c>
    </row>
    <row r="80" customFormat="false" ht="15" hidden="false" customHeight="false" outlineLevel="0" collapsed="false">
      <c r="A80" s="2" t="n">
        <v>46087</v>
      </c>
      <c r="B80" s="3" t="s">
        <v>1159</v>
      </c>
      <c r="C80" s="0" t="n">
        <v>89</v>
      </c>
      <c r="D80" s="0" t="n">
        <v>0</v>
      </c>
      <c r="E80" s="0" t="str">
        <f aca="false">INDEX(lot!$B$2:$B$1201,MATCH(B80,lot!$A$2:$A$1201,0))</f>
        <v>SUP-D</v>
      </c>
      <c r="F80" s="3" t="n">
        <f aca="false">YEAR(A80)*100+MONTH(A80)</f>
        <v>202603</v>
      </c>
    </row>
    <row r="81" customFormat="false" ht="15" hidden="false" customHeight="false" outlineLevel="0" collapsed="false">
      <c r="A81" s="2" t="n">
        <v>46087</v>
      </c>
      <c r="B81" s="3" t="s">
        <v>1159</v>
      </c>
      <c r="C81" s="0" t="n">
        <v>169</v>
      </c>
      <c r="D81" s="0" t="n">
        <v>0</v>
      </c>
      <c r="E81" s="0" t="str">
        <f aca="false">INDEX(lot!$B$2:$B$1201,MATCH(B81,lot!$A$2:$A$1201,0))</f>
        <v>SUP-D</v>
      </c>
      <c r="F81" s="3" t="n">
        <f aca="false">YEAR(A81)*100+MONTH(A81)</f>
        <v>202603</v>
      </c>
    </row>
    <row r="82" customFormat="false" ht="15" hidden="false" customHeight="false" outlineLevel="0" collapsed="false">
      <c r="A82" s="2" t="n">
        <v>46090</v>
      </c>
      <c r="B82" s="3" t="s">
        <v>61</v>
      </c>
      <c r="C82" s="0" t="n">
        <v>86</v>
      </c>
      <c r="D82" s="0" t="n">
        <v>2</v>
      </c>
      <c r="E82" s="0" t="str">
        <f aca="false">INDEX(lot!$B$2:$B$1201,MATCH(B82,lot!$A$2:$A$1201,0))</f>
        <v>SUP-E</v>
      </c>
      <c r="F82" s="3" t="n">
        <f aca="false">YEAR(A82)*100+MONTH(A82)</f>
        <v>202603</v>
      </c>
    </row>
    <row r="83" customFormat="false" ht="15" hidden="false" customHeight="false" outlineLevel="0" collapsed="false">
      <c r="A83" s="2" t="n">
        <v>46090</v>
      </c>
      <c r="B83" s="3" t="s">
        <v>161</v>
      </c>
      <c r="C83" s="0" t="n">
        <v>171</v>
      </c>
      <c r="D83" s="0" t="n">
        <v>1</v>
      </c>
      <c r="E83" s="0" t="str">
        <f aca="false">INDEX(lot!$B$2:$B$1201,MATCH(B83,lot!$A$2:$A$1201,0))</f>
        <v>SUP-E</v>
      </c>
      <c r="F83" s="3" t="n">
        <f aca="false">YEAR(A83)*100+MONTH(A83)</f>
        <v>202603</v>
      </c>
    </row>
    <row r="84" customFormat="false" ht="15" hidden="false" customHeight="false" outlineLevel="0" collapsed="false">
      <c r="A84" s="2" t="n">
        <v>46090</v>
      </c>
      <c r="B84" s="3" t="s">
        <v>345</v>
      </c>
      <c r="C84" s="0" t="n">
        <v>147</v>
      </c>
      <c r="D84" s="0" t="n">
        <v>2</v>
      </c>
      <c r="E84" s="0" t="str">
        <f aca="false">INDEX(lot!$B$2:$B$1201,MATCH(B84,lot!$A$2:$A$1201,0))</f>
        <v>SUP-C</v>
      </c>
      <c r="F84" s="3" t="n">
        <f aca="false">YEAR(A84)*100+MONTH(A84)</f>
        <v>202603</v>
      </c>
    </row>
    <row r="85" customFormat="false" ht="15" hidden="false" customHeight="false" outlineLevel="0" collapsed="false">
      <c r="A85" s="2" t="n">
        <v>46090</v>
      </c>
      <c r="B85" s="3" t="s">
        <v>370</v>
      </c>
      <c r="C85" s="0" t="n">
        <v>110</v>
      </c>
      <c r="D85" s="0" t="n">
        <v>0</v>
      </c>
      <c r="E85" s="0" t="str">
        <f aca="false">INDEX(lot!$B$2:$B$1201,MATCH(B85,lot!$A$2:$A$1201,0))</f>
        <v>SUP-D</v>
      </c>
      <c r="F85" s="3" t="n">
        <f aca="false">YEAR(A85)*100+MONTH(A85)</f>
        <v>202603</v>
      </c>
    </row>
    <row r="86" customFormat="false" ht="15" hidden="false" customHeight="false" outlineLevel="0" collapsed="false">
      <c r="A86" s="2" t="n">
        <v>46090</v>
      </c>
      <c r="B86" s="3" t="s">
        <v>370</v>
      </c>
      <c r="C86" s="0" t="n">
        <v>151</v>
      </c>
      <c r="D86" s="0" t="n">
        <v>0</v>
      </c>
      <c r="E86" s="0" t="str">
        <f aca="false">INDEX(lot!$B$2:$B$1201,MATCH(B86,lot!$A$2:$A$1201,0))</f>
        <v>SUP-D</v>
      </c>
      <c r="F86" s="3" t="n">
        <f aca="false">YEAR(A86)*100+MONTH(A86)</f>
        <v>202603</v>
      </c>
    </row>
    <row r="87" customFormat="false" ht="15" hidden="false" customHeight="false" outlineLevel="0" collapsed="false">
      <c r="A87" s="2" t="n">
        <v>46090</v>
      </c>
      <c r="B87" s="3" t="s">
        <v>452</v>
      </c>
      <c r="C87" s="0" t="n">
        <v>107</v>
      </c>
      <c r="D87" s="0" t="n">
        <v>0</v>
      </c>
      <c r="E87" s="0" t="str">
        <f aca="false">INDEX(lot!$B$2:$B$1201,MATCH(B87,lot!$A$2:$A$1201,0))</f>
        <v>SUP-D</v>
      </c>
      <c r="F87" s="3" t="n">
        <f aca="false">YEAR(A87)*100+MONTH(A87)</f>
        <v>202603</v>
      </c>
    </row>
    <row r="88" customFormat="false" ht="15" hidden="false" customHeight="false" outlineLevel="0" collapsed="false">
      <c r="A88" s="2" t="n">
        <v>46090</v>
      </c>
      <c r="B88" s="3" t="s">
        <v>452</v>
      </c>
      <c r="C88" s="0" t="n">
        <v>112</v>
      </c>
      <c r="D88" s="0" t="n">
        <v>3</v>
      </c>
      <c r="E88" s="0" t="str">
        <f aca="false">INDEX(lot!$B$2:$B$1201,MATCH(B88,lot!$A$2:$A$1201,0))</f>
        <v>SUP-D</v>
      </c>
      <c r="F88" s="3" t="n">
        <f aca="false">YEAR(A88)*100+MONTH(A88)</f>
        <v>202603</v>
      </c>
    </row>
    <row r="89" customFormat="false" ht="15" hidden="false" customHeight="false" outlineLevel="0" collapsed="false">
      <c r="A89" s="2" t="n">
        <v>46090</v>
      </c>
      <c r="B89" s="3" t="s">
        <v>612</v>
      </c>
      <c r="C89" s="0" t="n">
        <v>121</v>
      </c>
      <c r="D89" s="0" t="n">
        <v>2</v>
      </c>
      <c r="E89" s="0" t="str">
        <f aca="false">INDEX(lot!$B$2:$B$1201,MATCH(B89,lot!$A$2:$A$1201,0))</f>
        <v>SUP-E</v>
      </c>
      <c r="F89" s="3" t="n">
        <f aca="false">YEAR(A89)*100+MONTH(A89)</f>
        <v>202603</v>
      </c>
    </row>
    <row r="90" customFormat="false" ht="15" hidden="false" customHeight="false" outlineLevel="0" collapsed="false">
      <c r="A90" s="2" t="n">
        <v>46090</v>
      </c>
      <c r="B90" s="3" t="s">
        <v>612</v>
      </c>
      <c r="C90" s="0" t="n">
        <v>248</v>
      </c>
      <c r="D90" s="0" t="n">
        <v>1</v>
      </c>
      <c r="E90" s="0" t="str">
        <f aca="false">INDEX(lot!$B$2:$B$1201,MATCH(B90,lot!$A$2:$A$1201,0))</f>
        <v>SUP-E</v>
      </c>
      <c r="F90" s="3" t="n">
        <f aca="false">YEAR(A90)*100+MONTH(A90)</f>
        <v>202603</v>
      </c>
    </row>
    <row r="91" customFormat="false" ht="15" hidden="false" customHeight="false" outlineLevel="0" collapsed="false">
      <c r="A91" s="2" t="n">
        <v>46090</v>
      </c>
      <c r="B91" s="3" t="s">
        <v>615</v>
      </c>
      <c r="C91" s="0" t="n">
        <v>90</v>
      </c>
      <c r="D91" s="0" t="n">
        <v>1</v>
      </c>
      <c r="E91" s="0" t="str">
        <f aca="false">INDEX(lot!$B$2:$B$1201,MATCH(B91,lot!$A$2:$A$1201,0))</f>
        <v>SUP-E</v>
      </c>
      <c r="F91" s="3" t="n">
        <f aca="false">YEAR(A91)*100+MONTH(A91)</f>
        <v>202603</v>
      </c>
    </row>
    <row r="92" customFormat="false" ht="15" hidden="false" customHeight="false" outlineLevel="0" collapsed="false">
      <c r="A92" s="2" t="n">
        <v>46090</v>
      </c>
      <c r="B92" s="3" t="s">
        <v>615</v>
      </c>
      <c r="C92" s="0" t="n">
        <v>224</v>
      </c>
      <c r="D92" s="0" t="n">
        <v>5</v>
      </c>
      <c r="E92" s="0" t="str">
        <f aca="false">INDEX(lot!$B$2:$B$1201,MATCH(B92,lot!$A$2:$A$1201,0))</f>
        <v>SUP-E</v>
      </c>
      <c r="F92" s="3" t="n">
        <f aca="false">YEAR(A92)*100+MONTH(A92)</f>
        <v>202603</v>
      </c>
    </row>
    <row r="93" customFormat="false" ht="15" hidden="false" customHeight="false" outlineLevel="0" collapsed="false">
      <c r="A93" s="2" t="n">
        <v>46090</v>
      </c>
      <c r="B93" s="3" t="s">
        <v>655</v>
      </c>
      <c r="C93" s="0" t="n">
        <v>173</v>
      </c>
      <c r="D93" s="0" t="n">
        <v>0</v>
      </c>
      <c r="E93" s="0" t="str">
        <f aca="false">INDEX(lot!$B$2:$B$1201,MATCH(B93,lot!$A$2:$A$1201,0))</f>
        <v>SUP-A</v>
      </c>
      <c r="F93" s="3" t="n">
        <f aca="false">YEAR(A93)*100+MONTH(A93)</f>
        <v>202603</v>
      </c>
    </row>
    <row r="94" customFormat="false" ht="15" hidden="false" customHeight="false" outlineLevel="0" collapsed="false">
      <c r="A94" s="2" t="n">
        <v>46090</v>
      </c>
      <c r="B94" s="3" t="s">
        <v>782</v>
      </c>
      <c r="C94" s="0" t="n">
        <v>150</v>
      </c>
      <c r="D94" s="0" t="n">
        <v>3</v>
      </c>
      <c r="E94" s="0" t="str">
        <f aca="false">INDEX(lot!$B$2:$B$1201,MATCH(B94,lot!$A$2:$A$1201,0))</f>
        <v>SUP-C</v>
      </c>
      <c r="F94" s="3" t="n">
        <f aca="false">YEAR(A94)*100+MONTH(A94)</f>
        <v>202603</v>
      </c>
    </row>
    <row r="95" customFormat="false" ht="15" hidden="false" customHeight="false" outlineLevel="0" collapsed="false">
      <c r="A95" s="2" t="n">
        <v>46090</v>
      </c>
      <c r="B95" s="3" t="s">
        <v>782</v>
      </c>
      <c r="C95" s="0" t="n">
        <v>68</v>
      </c>
      <c r="D95" s="0" t="n">
        <v>1</v>
      </c>
      <c r="E95" s="0" t="str">
        <f aca="false">INDEX(lot!$B$2:$B$1201,MATCH(B95,lot!$A$2:$A$1201,0))</f>
        <v>SUP-C</v>
      </c>
      <c r="F95" s="3" t="n">
        <f aca="false">YEAR(A95)*100+MONTH(A95)</f>
        <v>202603</v>
      </c>
    </row>
    <row r="96" customFormat="false" ht="15" hidden="false" customHeight="false" outlineLevel="0" collapsed="false">
      <c r="A96" s="2" t="n">
        <v>46090</v>
      </c>
      <c r="B96" s="3" t="s">
        <v>797</v>
      </c>
      <c r="C96" s="0" t="n">
        <v>163</v>
      </c>
      <c r="D96" s="0" t="n">
        <v>3</v>
      </c>
      <c r="E96" s="0" t="str">
        <f aca="false">INDEX(lot!$B$2:$B$1201,MATCH(B96,lot!$A$2:$A$1201,0))</f>
        <v>SUP-A</v>
      </c>
      <c r="F96" s="3" t="n">
        <f aca="false">YEAR(A96)*100+MONTH(A96)</f>
        <v>202603</v>
      </c>
    </row>
    <row r="97" customFormat="false" ht="15" hidden="false" customHeight="false" outlineLevel="0" collapsed="false">
      <c r="A97" s="2" t="n">
        <v>46090</v>
      </c>
      <c r="B97" s="3" t="s">
        <v>850</v>
      </c>
      <c r="C97" s="0" t="n">
        <v>145</v>
      </c>
      <c r="D97" s="0" t="n">
        <v>1</v>
      </c>
      <c r="E97" s="0" t="str">
        <f aca="false">INDEX(lot!$B$2:$B$1201,MATCH(B97,lot!$A$2:$A$1201,0))</f>
        <v>SUP-D</v>
      </c>
      <c r="F97" s="3" t="n">
        <f aca="false">YEAR(A97)*100+MONTH(A97)</f>
        <v>202603</v>
      </c>
    </row>
    <row r="98" customFormat="false" ht="15" hidden="false" customHeight="false" outlineLevel="0" collapsed="false">
      <c r="A98" s="2" t="n">
        <v>46090</v>
      </c>
      <c r="B98" s="3" t="s">
        <v>915</v>
      </c>
      <c r="C98" s="0" t="n">
        <v>160</v>
      </c>
      <c r="D98" s="0" t="n">
        <v>1</v>
      </c>
      <c r="E98" s="0" t="str">
        <f aca="false">INDEX(lot!$B$2:$B$1201,MATCH(B98,lot!$A$2:$A$1201,0))</f>
        <v>SUP-A</v>
      </c>
      <c r="F98" s="3" t="n">
        <f aca="false">YEAR(A98)*100+MONTH(A98)</f>
        <v>202603</v>
      </c>
    </row>
    <row r="99" customFormat="false" ht="15" hidden="false" customHeight="false" outlineLevel="0" collapsed="false">
      <c r="A99" s="2" t="n">
        <v>46090</v>
      </c>
      <c r="B99" s="3" t="s">
        <v>915</v>
      </c>
      <c r="C99" s="0" t="n">
        <v>225</v>
      </c>
      <c r="D99" s="0" t="n">
        <v>3</v>
      </c>
      <c r="E99" s="0" t="str">
        <f aca="false">INDEX(lot!$B$2:$B$1201,MATCH(B99,lot!$A$2:$A$1201,0))</f>
        <v>SUP-A</v>
      </c>
      <c r="F99" s="3" t="n">
        <f aca="false">YEAR(A99)*100+MONTH(A99)</f>
        <v>202603</v>
      </c>
    </row>
    <row r="100" customFormat="false" ht="15" hidden="false" customHeight="false" outlineLevel="0" collapsed="false">
      <c r="A100" s="2" t="n">
        <v>46090</v>
      </c>
      <c r="B100" s="3" t="s">
        <v>916</v>
      </c>
      <c r="C100" s="0" t="n">
        <v>70</v>
      </c>
      <c r="D100" s="0" t="n">
        <v>1</v>
      </c>
      <c r="E100" s="0" t="str">
        <f aca="false">INDEX(lot!$B$2:$B$1201,MATCH(B100,lot!$A$2:$A$1201,0))</f>
        <v>SUP-A</v>
      </c>
      <c r="F100" s="3" t="n">
        <f aca="false">YEAR(A100)*100+MONTH(A100)</f>
        <v>202603</v>
      </c>
    </row>
    <row r="101" customFormat="false" ht="15" hidden="false" customHeight="false" outlineLevel="0" collapsed="false">
      <c r="A101" s="2" t="n">
        <v>46090</v>
      </c>
      <c r="B101" s="3" t="s">
        <v>916</v>
      </c>
      <c r="C101" s="0" t="n">
        <v>228</v>
      </c>
      <c r="D101" s="0" t="n">
        <v>1</v>
      </c>
      <c r="E101" s="0" t="str">
        <f aca="false">INDEX(lot!$B$2:$B$1201,MATCH(B101,lot!$A$2:$A$1201,0))</f>
        <v>SUP-A</v>
      </c>
      <c r="F101" s="3" t="n">
        <f aca="false">YEAR(A101)*100+MONTH(A101)</f>
        <v>202603</v>
      </c>
    </row>
    <row r="102" customFormat="false" ht="15" hidden="false" customHeight="false" outlineLevel="0" collapsed="false">
      <c r="A102" s="2" t="n">
        <v>46090</v>
      </c>
      <c r="B102" s="3" t="s">
        <v>919</v>
      </c>
      <c r="C102" s="0" t="n">
        <v>74</v>
      </c>
      <c r="D102" s="0" t="n">
        <v>0</v>
      </c>
      <c r="E102" s="0" t="str">
        <f aca="false">INDEX(lot!$B$2:$B$1201,MATCH(B102,lot!$A$2:$A$1201,0))</f>
        <v>SUP-D</v>
      </c>
      <c r="F102" s="3" t="n">
        <f aca="false">YEAR(A102)*100+MONTH(A102)</f>
        <v>202603</v>
      </c>
    </row>
    <row r="103" customFormat="false" ht="15" hidden="false" customHeight="false" outlineLevel="0" collapsed="false">
      <c r="A103" s="2" t="n">
        <v>46090</v>
      </c>
      <c r="B103" s="3" t="s">
        <v>959</v>
      </c>
      <c r="C103" s="0" t="n">
        <v>83</v>
      </c>
      <c r="D103" s="0" t="n">
        <v>1</v>
      </c>
      <c r="E103" s="0" t="str">
        <f aca="false">INDEX(lot!$B$2:$B$1201,MATCH(B103,lot!$A$2:$A$1201,0))</f>
        <v>SUP-C</v>
      </c>
      <c r="F103" s="3" t="n">
        <f aca="false">YEAR(A103)*100+MONTH(A103)</f>
        <v>202603</v>
      </c>
    </row>
    <row r="104" customFormat="false" ht="15" hidden="false" customHeight="false" outlineLevel="0" collapsed="false">
      <c r="A104" s="2" t="n">
        <v>46090</v>
      </c>
      <c r="B104" s="3" t="s">
        <v>987</v>
      </c>
      <c r="C104" s="0" t="n">
        <v>92</v>
      </c>
      <c r="D104" s="0" t="n">
        <v>1</v>
      </c>
      <c r="E104" s="0" t="str">
        <f aca="false">INDEX(lot!$B$2:$B$1201,MATCH(B104,lot!$A$2:$A$1201,0))</f>
        <v>SUP-E</v>
      </c>
      <c r="F104" s="3" t="n">
        <f aca="false">YEAR(A104)*100+MONTH(A104)</f>
        <v>202603</v>
      </c>
    </row>
    <row r="105" customFormat="false" ht="15" hidden="false" customHeight="false" outlineLevel="0" collapsed="false">
      <c r="A105" s="2" t="n">
        <v>46090</v>
      </c>
      <c r="B105" s="3" t="s">
        <v>987</v>
      </c>
      <c r="C105" s="0" t="n">
        <v>74</v>
      </c>
      <c r="D105" s="0" t="n">
        <v>0</v>
      </c>
      <c r="E105" s="0" t="str">
        <f aca="false">INDEX(lot!$B$2:$B$1201,MATCH(B105,lot!$A$2:$A$1201,0))</f>
        <v>SUP-E</v>
      </c>
      <c r="F105" s="3" t="n">
        <f aca="false">YEAR(A105)*100+MONTH(A105)</f>
        <v>202603</v>
      </c>
    </row>
    <row r="106" customFormat="false" ht="15" hidden="false" customHeight="false" outlineLevel="0" collapsed="false">
      <c r="A106" s="2" t="n">
        <v>46090</v>
      </c>
      <c r="B106" s="3" t="s">
        <v>1011</v>
      </c>
      <c r="C106" s="0" t="n">
        <v>66</v>
      </c>
      <c r="D106" s="0" t="n">
        <v>3</v>
      </c>
      <c r="E106" s="0" t="str">
        <f aca="false">INDEX(lot!$B$2:$B$1201,MATCH(B106,lot!$A$2:$A$1201,0))</f>
        <v>SUP-C</v>
      </c>
      <c r="F106" s="3" t="n">
        <f aca="false">YEAR(A106)*100+MONTH(A106)</f>
        <v>202603</v>
      </c>
    </row>
    <row r="107" customFormat="false" ht="15" hidden="false" customHeight="false" outlineLevel="0" collapsed="false">
      <c r="A107" s="2" t="n">
        <v>46090</v>
      </c>
      <c r="B107" s="3" t="s">
        <v>1159</v>
      </c>
      <c r="C107" s="0" t="n">
        <v>147</v>
      </c>
      <c r="D107" s="0" t="n">
        <v>3</v>
      </c>
      <c r="E107" s="0" t="str">
        <f aca="false">INDEX(lot!$B$2:$B$1201,MATCH(B107,lot!$A$2:$A$1201,0))</f>
        <v>SUP-D</v>
      </c>
      <c r="F107" s="3" t="n">
        <f aca="false">YEAR(A107)*100+MONTH(A107)</f>
        <v>202603</v>
      </c>
    </row>
    <row r="108" customFormat="false" ht="15" hidden="false" customHeight="false" outlineLevel="0" collapsed="false">
      <c r="A108" s="2" t="n">
        <v>46091</v>
      </c>
      <c r="B108" s="3" t="s">
        <v>61</v>
      </c>
      <c r="C108" s="0" t="n">
        <v>79</v>
      </c>
      <c r="D108" s="0" t="n">
        <v>0</v>
      </c>
      <c r="E108" s="0" t="str">
        <f aca="false">INDEX(lot!$B$2:$B$1201,MATCH(B108,lot!$A$2:$A$1201,0))</f>
        <v>SUP-E</v>
      </c>
      <c r="F108" s="3" t="n">
        <f aca="false">YEAR(A108)*100+MONTH(A108)</f>
        <v>202603</v>
      </c>
    </row>
    <row r="109" customFormat="false" ht="15" hidden="false" customHeight="false" outlineLevel="0" collapsed="false">
      <c r="A109" s="2" t="n">
        <v>46091</v>
      </c>
      <c r="B109" s="3" t="s">
        <v>61</v>
      </c>
      <c r="C109" s="0" t="n">
        <v>248</v>
      </c>
      <c r="D109" s="0" t="n">
        <v>5</v>
      </c>
      <c r="E109" s="0" t="str">
        <f aca="false">INDEX(lot!$B$2:$B$1201,MATCH(B109,lot!$A$2:$A$1201,0))</f>
        <v>SUP-E</v>
      </c>
      <c r="F109" s="3" t="n">
        <f aca="false">YEAR(A109)*100+MONTH(A109)</f>
        <v>202603</v>
      </c>
    </row>
    <row r="110" customFormat="false" ht="15" hidden="false" customHeight="false" outlineLevel="0" collapsed="false">
      <c r="A110" s="2" t="n">
        <v>46091</v>
      </c>
      <c r="B110" s="3" t="s">
        <v>161</v>
      </c>
      <c r="C110" s="0" t="n">
        <v>173</v>
      </c>
      <c r="D110" s="0" t="n">
        <v>1</v>
      </c>
      <c r="E110" s="0" t="str">
        <f aca="false">INDEX(lot!$B$2:$B$1201,MATCH(B110,lot!$A$2:$A$1201,0))</f>
        <v>SUP-E</v>
      </c>
      <c r="F110" s="3" t="n">
        <f aca="false">YEAR(A110)*100+MONTH(A110)</f>
        <v>202603</v>
      </c>
    </row>
    <row r="111" customFormat="false" ht="15" hidden="false" customHeight="false" outlineLevel="0" collapsed="false">
      <c r="A111" s="2" t="n">
        <v>46091</v>
      </c>
      <c r="B111" s="3" t="s">
        <v>161</v>
      </c>
      <c r="C111" s="0" t="n">
        <v>152</v>
      </c>
      <c r="D111" s="0" t="n">
        <v>0</v>
      </c>
      <c r="E111" s="0" t="str">
        <f aca="false">INDEX(lot!$B$2:$B$1201,MATCH(B111,lot!$A$2:$A$1201,0))</f>
        <v>SUP-E</v>
      </c>
      <c r="F111" s="3" t="n">
        <f aca="false">YEAR(A111)*100+MONTH(A111)</f>
        <v>202603</v>
      </c>
    </row>
    <row r="112" customFormat="false" ht="15" hidden="false" customHeight="false" outlineLevel="0" collapsed="false">
      <c r="A112" s="2" t="n">
        <v>46091</v>
      </c>
      <c r="B112" s="3" t="s">
        <v>173</v>
      </c>
      <c r="C112" s="0" t="n">
        <v>65</v>
      </c>
      <c r="D112" s="0" t="n">
        <v>0</v>
      </c>
      <c r="E112" s="0" t="str">
        <f aca="false">INDEX(lot!$B$2:$B$1201,MATCH(B112,lot!$A$2:$A$1201,0))</f>
        <v>SUP-E</v>
      </c>
      <c r="F112" s="3" t="n">
        <f aca="false">YEAR(A112)*100+MONTH(A112)</f>
        <v>202603</v>
      </c>
    </row>
    <row r="113" customFormat="false" ht="15" hidden="false" customHeight="false" outlineLevel="0" collapsed="false">
      <c r="A113" s="2" t="n">
        <v>46091</v>
      </c>
      <c r="B113" s="3" t="s">
        <v>173</v>
      </c>
      <c r="C113" s="0" t="n">
        <v>127</v>
      </c>
      <c r="D113" s="0" t="n">
        <v>0</v>
      </c>
      <c r="E113" s="0" t="str">
        <f aca="false">INDEX(lot!$B$2:$B$1201,MATCH(B113,lot!$A$2:$A$1201,0))</f>
        <v>SUP-E</v>
      </c>
      <c r="F113" s="3" t="n">
        <f aca="false">YEAR(A113)*100+MONTH(A113)</f>
        <v>202603</v>
      </c>
    </row>
    <row r="114" customFormat="false" ht="15" hidden="false" customHeight="false" outlineLevel="0" collapsed="false">
      <c r="A114" s="2" t="n">
        <v>46091</v>
      </c>
      <c r="B114" s="3" t="s">
        <v>247</v>
      </c>
      <c r="C114" s="0" t="n">
        <v>207</v>
      </c>
      <c r="D114" s="0" t="n">
        <v>2</v>
      </c>
      <c r="E114" s="0" t="str">
        <f aca="false">INDEX(lot!$B$2:$B$1201,MATCH(B114,lot!$A$2:$A$1201,0))</f>
        <v>SUP-E</v>
      </c>
      <c r="F114" s="3" t="n">
        <f aca="false">YEAR(A114)*100+MONTH(A114)</f>
        <v>202603</v>
      </c>
    </row>
    <row r="115" customFormat="false" ht="15" hidden="false" customHeight="false" outlineLevel="0" collapsed="false">
      <c r="A115" s="2" t="n">
        <v>46091</v>
      </c>
      <c r="B115" s="3" t="s">
        <v>258</v>
      </c>
      <c r="C115" s="0" t="n">
        <v>226</v>
      </c>
      <c r="D115" s="0" t="n">
        <v>3</v>
      </c>
      <c r="E115" s="0" t="str">
        <f aca="false">INDEX(lot!$B$2:$B$1201,MATCH(B115,lot!$A$2:$A$1201,0))</f>
        <v>SUP-C</v>
      </c>
      <c r="F115" s="3" t="n">
        <f aca="false">YEAR(A115)*100+MONTH(A115)</f>
        <v>202603</v>
      </c>
    </row>
    <row r="116" customFormat="false" ht="15" hidden="false" customHeight="false" outlineLevel="0" collapsed="false">
      <c r="A116" s="2" t="n">
        <v>46091</v>
      </c>
      <c r="B116" s="3" t="s">
        <v>258</v>
      </c>
      <c r="C116" s="0" t="n">
        <v>157</v>
      </c>
      <c r="D116" s="0" t="n">
        <v>4</v>
      </c>
      <c r="E116" s="0" t="str">
        <f aca="false">INDEX(lot!$B$2:$B$1201,MATCH(B116,lot!$A$2:$A$1201,0))</f>
        <v>SUP-C</v>
      </c>
      <c r="F116" s="3" t="n">
        <f aca="false">YEAR(A116)*100+MONTH(A116)</f>
        <v>202603</v>
      </c>
    </row>
    <row r="117" customFormat="false" ht="15" hidden="false" customHeight="false" outlineLevel="0" collapsed="false">
      <c r="A117" s="2" t="n">
        <v>46091</v>
      </c>
      <c r="B117" s="3" t="s">
        <v>322</v>
      </c>
      <c r="C117" s="0" t="n">
        <v>74</v>
      </c>
      <c r="D117" s="0" t="n">
        <v>2</v>
      </c>
      <c r="E117" s="0" t="str">
        <f aca="false">INDEX(lot!$B$2:$B$1201,MATCH(B117,lot!$A$2:$A$1201,0))</f>
        <v>SUP-A</v>
      </c>
      <c r="F117" s="3" t="n">
        <f aca="false">YEAR(A117)*100+MONTH(A117)</f>
        <v>202603</v>
      </c>
    </row>
    <row r="118" customFormat="false" ht="15" hidden="false" customHeight="false" outlineLevel="0" collapsed="false">
      <c r="A118" s="2" t="n">
        <v>46091</v>
      </c>
      <c r="B118" s="3" t="s">
        <v>322</v>
      </c>
      <c r="C118" s="0" t="n">
        <v>239</v>
      </c>
      <c r="D118" s="0" t="n">
        <v>5</v>
      </c>
      <c r="E118" s="0" t="str">
        <f aca="false">INDEX(lot!$B$2:$B$1201,MATCH(B118,lot!$A$2:$A$1201,0))</f>
        <v>SUP-A</v>
      </c>
      <c r="F118" s="3" t="n">
        <f aca="false">YEAR(A118)*100+MONTH(A118)</f>
        <v>202603</v>
      </c>
    </row>
    <row r="119" customFormat="false" ht="15" hidden="false" customHeight="false" outlineLevel="0" collapsed="false">
      <c r="A119" s="2" t="n">
        <v>46091</v>
      </c>
      <c r="B119" s="3" t="s">
        <v>615</v>
      </c>
      <c r="C119" s="0" t="n">
        <v>124</v>
      </c>
      <c r="D119" s="0" t="n">
        <v>1</v>
      </c>
      <c r="E119" s="0" t="str">
        <f aca="false">INDEX(lot!$B$2:$B$1201,MATCH(B119,lot!$A$2:$A$1201,0))</f>
        <v>SUP-E</v>
      </c>
      <c r="F119" s="3" t="n">
        <f aca="false">YEAR(A119)*100+MONTH(A119)</f>
        <v>202603</v>
      </c>
    </row>
    <row r="120" customFormat="false" ht="15" hidden="false" customHeight="false" outlineLevel="0" collapsed="false">
      <c r="A120" s="2" t="n">
        <v>46091</v>
      </c>
      <c r="B120" s="3" t="s">
        <v>655</v>
      </c>
      <c r="C120" s="0" t="n">
        <v>162</v>
      </c>
      <c r="D120" s="0" t="n">
        <v>2</v>
      </c>
      <c r="E120" s="0" t="str">
        <f aca="false">INDEX(lot!$B$2:$B$1201,MATCH(B120,lot!$A$2:$A$1201,0))</f>
        <v>SUP-A</v>
      </c>
      <c r="F120" s="3" t="n">
        <f aca="false">YEAR(A120)*100+MONTH(A120)</f>
        <v>202603</v>
      </c>
    </row>
    <row r="121" customFormat="false" ht="15" hidden="false" customHeight="false" outlineLevel="0" collapsed="false">
      <c r="A121" s="2" t="n">
        <v>46091</v>
      </c>
      <c r="B121" s="3" t="s">
        <v>724</v>
      </c>
      <c r="C121" s="0" t="n">
        <v>93</v>
      </c>
      <c r="D121" s="0" t="n">
        <v>3</v>
      </c>
      <c r="E121" s="0" t="str">
        <f aca="false">INDEX(lot!$B$2:$B$1201,MATCH(B121,lot!$A$2:$A$1201,0))</f>
        <v>SUP-C</v>
      </c>
      <c r="F121" s="3" t="n">
        <f aca="false">YEAR(A121)*100+MONTH(A121)</f>
        <v>202603</v>
      </c>
    </row>
    <row r="122" customFormat="false" ht="15" hidden="false" customHeight="false" outlineLevel="0" collapsed="false">
      <c r="A122" s="2" t="n">
        <v>46091</v>
      </c>
      <c r="B122" s="3" t="s">
        <v>724</v>
      </c>
      <c r="C122" s="0" t="n">
        <v>122</v>
      </c>
      <c r="D122" s="0" t="n">
        <v>2</v>
      </c>
      <c r="E122" s="0" t="str">
        <f aca="false">INDEX(lot!$B$2:$B$1201,MATCH(B122,lot!$A$2:$A$1201,0))</f>
        <v>SUP-C</v>
      </c>
      <c r="F122" s="3" t="n">
        <f aca="false">YEAR(A122)*100+MONTH(A122)</f>
        <v>202603</v>
      </c>
    </row>
    <row r="123" customFormat="false" ht="15" hidden="false" customHeight="false" outlineLevel="0" collapsed="false">
      <c r="A123" s="2" t="n">
        <v>46091</v>
      </c>
      <c r="B123" s="3" t="s">
        <v>834</v>
      </c>
      <c r="C123" s="0" t="n">
        <v>185</v>
      </c>
      <c r="D123" s="0" t="n">
        <v>3</v>
      </c>
      <c r="E123" s="0" t="str">
        <f aca="false">INDEX(lot!$B$2:$B$1201,MATCH(B123,lot!$A$2:$A$1201,0))</f>
        <v>SUP-E</v>
      </c>
      <c r="F123" s="3" t="n">
        <f aca="false">YEAR(A123)*100+MONTH(A123)</f>
        <v>202603</v>
      </c>
    </row>
    <row r="124" customFormat="false" ht="15" hidden="false" customHeight="false" outlineLevel="0" collapsed="false">
      <c r="A124" s="2" t="n">
        <v>46091</v>
      </c>
      <c r="B124" s="3" t="s">
        <v>834</v>
      </c>
      <c r="C124" s="0" t="n">
        <v>69</v>
      </c>
      <c r="D124" s="0" t="n">
        <v>0</v>
      </c>
      <c r="E124" s="0" t="str">
        <f aca="false">INDEX(lot!$B$2:$B$1201,MATCH(B124,lot!$A$2:$A$1201,0))</f>
        <v>SUP-E</v>
      </c>
      <c r="F124" s="3" t="n">
        <f aca="false">YEAR(A124)*100+MONTH(A124)</f>
        <v>202603</v>
      </c>
    </row>
    <row r="125" customFormat="false" ht="15" hidden="false" customHeight="false" outlineLevel="0" collapsed="false">
      <c r="A125" s="2" t="n">
        <v>46091</v>
      </c>
      <c r="B125" s="3" t="s">
        <v>916</v>
      </c>
      <c r="C125" s="0" t="n">
        <v>128</v>
      </c>
      <c r="D125" s="0" t="n">
        <v>1</v>
      </c>
      <c r="E125" s="0" t="str">
        <f aca="false">INDEX(lot!$B$2:$B$1201,MATCH(B125,lot!$A$2:$A$1201,0))</f>
        <v>SUP-A</v>
      </c>
      <c r="F125" s="3" t="n">
        <f aca="false">YEAR(A125)*100+MONTH(A125)</f>
        <v>202603</v>
      </c>
    </row>
    <row r="126" customFormat="false" ht="15" hidden="false" customHeight="false" outlineLevel="0" collapsed="false">
      <c r="A126" s="2" t="n">
        <v>46091</v>
      </c>
      <c r="B126" s="3" t="s">
        <v>916</v>
      </c>
      <c r="C126" s="0" t="n">
        <v>229</v>
      </c>
      <c r="D126" s="0" t="n">
        <v>2</v>
      </c>
      <c r="E126" s="0" t="str">
        <f aca="false">INDEX(lot!$B$2:$B$1201,MATCH(B126,lot!$A$2:$A$1201,0))</f>
        <v>SUP-A</v>
      </c>
      <c r="F126" s="3" t="n">
        <f aca="false">YEAR(A126)*100+MONTH(A126)</f>
        <v>202603</v>
      </c>
    </row>
    <row r="127" customFormat="false" ht="15" hidden="false" customHeight="false" outlineLevel="0" collapsed="false">
      <c r="A127" s="2" t="n">
        <v>46091</v>
      </c>
      <c r="B127" s="3" t="s">
        <v>959</v>
      </c>
      <c r="C127" s="0" t="n">
        <v>102</v>
      </c>
      <c r="D127" s="0" t="n">
        <v>2</v>
      </c>
      <c r="E127" s="0" t="str">
        <f aca="false">INDEX(lot!$B$2:$B$1201,MATCH(B127,lot!$A$2:$A$1201,0))</f>
        <v>SUP-C</v>
      </c>
      <c r="F127" s="3" t="n">
        <f aca="false">YEAR(A127)*100+MONTH(A127)</f>
        <v>202603</v>
      </c>
    </row>
    <row r="128" customFormat="false" ht="15" hidden="false" customHeight="false" outlineLevel="0" collapsed="false">
      <c r="A128" s="2" t="n">
        <v>46091</v>
      </c>
      <c r="B128" s="3" t="s">
        <v>959</v>
      </c>
      <c r="C128" s="0" t="n">
        <v>65</v>
      </c>
      <c r="D128" s="0" t="n">
        <v>1</v>
      </c>
      <c r="E128" s="0" t="str">
        <f aca="false">INDEX(lot!$B$2:$B$1201,MATCH(B128,lot!$A$2:$A$1201,0))</f>
        <v>SUP-C</v>
      </c>
      <c r="F128" s="3" t="n">
        <f aca="false">YEAR(A128)*100+MONTH(A128)</f>
        <v>202603</v>
      </c>
    </row>
    <row r="129" customFormat="false" ht="15" hidden="false" customHeight="false" outlineLevel="0" collapsed="false">
      <c r="A129" s="2" t="n">
        <v>46091</v>
      </c>
      <c r="B129" s="3" t="s">
        <v>1012</v>
      </c>
      <c r="C129" s="0" t="n">
        <v>128</v>
      </c>
      <c r="D129" s="0" t="n">
        <v>0</v>
      </c>
      <c r="E129" s="0" t="str">
        <f aca="false">INDEX(lot!$B$2:$B$1201,MATCH(B129,lot!$A$2:$A$1201,0))</f>
        <v>SUP-D</v>
      </c>
      <c r="F129" s="3" t="n">
        <f aca="false">YEAR(A129)*100+MONTH(A129)</f>
        <v>202603</v>
      </c>
    </row>
    <row r="130" customFormat="false" ht="15" hidden="false" customHeight="false" outlineLevel="0" collapsed="false">
      <c r="A130" s="2" t="n">
        <v>46091</v>
      </c>
      <c r="B130" s="3" t="s">
        <v>1052</v>
      </c>
      <c r="C130" s="0" t="n">
        <v>169</v>
      </c>
      <c r="D130" s="0" t="n">
        <v>1</v>
      </c>
      <c r="E130" s="0" t="str">
        <f aca="false">INDEX(lot!$B$2:$B$1201,MATCH(B130,lot!$A$2:$A$1201,0))</f>
        <v>SUP-E</v>
      </c>
      <c r="F130" s="3" t="n">
        <f aca="false">YEAR(A130)*100+MONTH(A130)</f>
        <v>202603</v>
      </c>
    </row>
    <row r="131" customFormat="false" ht="15" hidden="false" customHeight="false" outlineLevel="0" collapsed="false">
      <c r="A131" s="2" t="n">
        <v>46091</v>
      </c>
      <c r="B131" s="3" t="s">
        <v>1052</v>
      </c>
      <c r="C131" s="0" t="n">
        <v>224</v>
      </c>
      <c r="D131" s="0" t="n">
        <v>2</v>
      </c>
      <c r="E131" s="0" t="str">
        <f aca="false">INDEX(lot!$B$2:$B$1201,MATCH(B131,lot!$A$2:$A$1201,0))</f>
        <v>SUP-E</v>
      </c>
      <c r="F131" s="3" t="n">
        <f aca="false">YEAR(A131)*100+MONTH(A131)</f>
        <v>202603</v>
      </c>
    </row>
    <row r="132" customFormat="false" ht="15" hidden="false" customHeight="false" outlineLevel="0" collapsed="false">
      <c r="A132" s="2" t="n">
        <v>46091</v>
      </c>
      <c r="B132" s="3" t="s">
        <v>1080</v>
      </c>
      <c r="C132" s="0" t="n">
        <v>228</v>
      </c>
      <c r="D132" s="0" t="n">
        <v>0</v>
      </c>
      <c r="E132" s="0" t="str">
        <f aca="false">INDEX(lot!$B$2:$B$1201,MATCH(B132,lot!$A$2:$A$1201,0))</f>
        <v>SUP-E</v>
      </c>
      <c r="F132" s="3" t="n">
        <f aca="false">YEAR(A132)*100+MONTH(A132)</f>
        <v>202603</v>
      </c>
    </row>
    <row r="133" customFormat="false" ht="15" hidden="false" customHeight="false" outlineLevel="0" collapsed="false">
      <c r="A133" s="2" t="n">
        <v>46091</v>
      </c>
      <c r="B133" s="3" t="s">
        <v>1159</v>
      </c>
      <c r="C133" s="0" t="n">
        <v>218</v>
      </c>
      <c r="D133" s="0" t="n">
        <v>2</v>
      </c>
      <c r="E133" s="0" t="str">
        <f aca="false">INDEX(lot!$B$2:$B$1201,MATCH(B133,lot!$A$2:$A$1201,0))</f>
        <v>SUP-D</v>
      </c>
      <c r="F133" s="3" t="n">
        <f aca="false">YEAR(A133)*100+MONTH(A133)</f>
        <v>202603</v>
      </c>
    </row>
    <row r="134" customFormat="false" ht="15" hidden="false" customHeight="false" outlineLevel="0" collapsed="false">
      <c r="A134" s="2" t="n">
        <v>46091</v>
      </c>
      <c r="B134" s="3" t="s">
        <v>1159</v>
      </c>
      <c r="C134" s="0" t="n">
        <v>213</v>
      </c>
      <c r="D134" s="0" t="n">
        <v>2</v>
      </c>
      <c r="E134" s="0" t="str">
        <f aca="false">INDEX(lot!$B$2:$B$1201,MATCH(B134,lot!$A$2:$A$1201,0))</f>
        <v>SUP-D</v>
      </c>
      <c r="F134" s="3" t="n">
        <f aca="false">YEAR(A134)*100+MONTH(A134)</f>
        <v>202603</v>
      </c>
    </row>
    <row r="135" customFormat="false" ht="15" hidden="false" customHeight="false" outlineLevel="0" collapsed="false">
      <c r="A135" s="2" t="n">
        <v>46092</v>
      </c>
      <c r="B135" s="3" t="s">
        <v>40</v>
      </c>
      <c r="C135" s="0" t="n">
        <v>179</v>
      </c>
      <c r="D135" s="0" t="n">
        <v>3</v>
      </c>
      <c r="E135" s="0" t="str">
        <f aca="false">INDEX(lot!$B$2:$B$1201,MATCH(B135,lot!$A$2:$A$1201,0))</f>
        <v>SUP-D</v>
      </c>
      <c r="F135" s="3" t="n">
        <f aca="false">YEAR(A135)*100+MONTH(A135)</f>
        <v>202603</v>
      </c>
    </row>
    <row r="136" customFormat="false" ht="15" hidden="false" customHeight="false" outlineLevel="0" collapsed="false">
      <c r="A136" s="2" t="n">
        <v>46092</v>
      </c>
      <c r="B136" s="3" t="s">
        <v>61</v>
      </c>
      <c r="C136" s="0" t="n">
        <v>133</v>
      </c>
      <c r="D136" s="0" t="n">
        <v>2</v>
      </c>
      <c r="E136" s="0" t="str">
        <f aca="false">INDEX(lot!$B$2:$B$1201,MATCH(B136,lot!$A$2:$A$1201,0))</f>
        <v>SUP-E</v>
      </c>
      <c r="F136" s="3" t="n">
        <f aca="false">YEAR(A136)*100+MONTH(A136)</f>
        <v>202603</v>
      </c>
    </row>
    <row r="137" customFormat="false" ht="15" hidden="false" customHeight="false" outlineLevel="0" collapsed="false">
      <c r="A137" s="2" t="n">
        <v>46092</v>
      </c>
      <c r="B137" s="3" t="s">
        <v>62</v>
      </c>
      <c r="C137" s="0" t="n">
        <v>140</v>
      </c>
      <c r="D137" s="0" t="n">
        <v>7</v>
      </c>
      <c r="E137" s="0" t="str">
        <f aca="false">INDEX(lot!$B$2:$B$1201,MATCH(B137,lot!$A$2:$A$1201,0))</f>
        <v>SUP-E</v>
      </c>
      <c r="F137" s="3" t="n">
        <f aca="false">YEAR(A137)*100+MONTH(A137)</f>
        <v>202603</v>
      </c>
    </row>
    <row r="138" customFormat="false" ht="15" hidden="false" customHeight="false" outlineLevel="0" collapsed="false">
      <c r="A138" s="2" t="n">
        <v>46092</v>
      </c>
      <c r="B138" s="3" t="s">
        <v>62</v>
      </c>
      <c r="C138" s="0" t="n">
        <v>82</v>
      </c>
      <c r="D138" s="0" t="n">
        <v>3</v>
      </c>
      <c r="E138" s="0" t="str">
        <f aca="false">INDEX(lot!$B$2:$B$1201,MATCH(B138,lot!$A$2:$A$1201,0))</f>
        <v>SUP-E</v>
      </c>
      <c r="F138" s="3" t="n">
        <f aca="false">YEAR(A138)*100+MONTH(A138)</f>
        <v>202603</v>
      </c>
    </row>
    <row r="139" customFormat="false" ht="15" hidden="false" customHeight="false" outlineLevel="0" collapsed="false">
      <c r="A139" s="2" t="n">
        <v>46092</v>
      </c>
      <c r="B139" s="3" t="s">
        <v>106</v>
      </c>
      <c r="C139" s="0" t="n">
        <v>167</v>
      </c>
      <c r="D139" s="0" t="n">
        <v>3</v>
      </c>
      <c r="E139" s="0" t="str">
        <f aca="false">INDEX(lot!$B$2:$B$1201,MATCH(B139,lot!$A$2:$A$1201,0))</f>
        <v>SUP-D</v>
      </c>
      <c r="F139" s="3" t="n">
        <f aca="false">YEAR(A139)*100+MONTH(A139)</f>
        <v>202603</v>
      </c>
    </row>
    <row r="140" customFormat="false" ht="15" hidden="false" customHeight="false" outlineLevel="0" collapsed="false">
      <c r="A140" s="2" t="n">
        <v>46092</v>
      </c>
      <c r="B140" s="3" t="s">
        <v>173</v>
      </c>
      <c r="C140" s="0" t="n">
        <v>190</v>
      </c>
      <c r="D140" s="0" t="n">
        <v>0</v>
      </c>
      <c r="E140" s="0" t="str">
        <f aca="false">INDEX(lot!$B$2:$B$1201,MATCH(B140,lot!$A$2:$A$1201,0))</f>
        <v>SUP-E</v>
      </c>
      <c r="F140" s="3" t="n">
        <f aca="false">YEAR(A140)*100+MONTH(A140)</f>
        <v>202603</v>
      </c>
    </row>
    <row r="141" customFormat="false" ht="15" hidden="false" customHeight="false" outlineLevel="0" collapsed="false">
      <c r="A141" s="2" t="n">
        <v>46092</v>
      </c>
      <c r="B141" s="3" t="s">
        <v>173</v>
      </c>
      <c r="C141" s="0" t="n">
        <v>194</v>
      </c>
      <c r="D141" s="0" t="n">
        <v>0</v>
      </c>
      <c r="E141" s="0" t="str">
        <f aca="false">INDEX(lot!$B$2:$B$1201,MATCH(B141,lot!$A$2:$A$1201,0))</f>
        <v>SUP-E</v>
      </c>
      <c r="F141" s="3" t="n">
        <f aca="false">YEAR(A141)*100+MONTH(A141)</f>
        <v>202603</v>
      </c>
    </row>
    <row r="142" customFormat="false" ht="15" hidden="false" customHeight="false" outlineLevel="0" collapsed="false">
      <c r="A142" s="2" t="n">
        <v>46092</v>
      </c>
      <c r="B142" s="3" t="s">
        <v>188</v>
      </c>
      <c r="C142" s="0" t="n">
        <v>91</v>
      </c>
      <c r="D142" s="0" t="n">
        <v>1</v>
      </c>
      <c r="E142" s="0" t="str">
        <f aca="false">INDEX(lot!$B$2:$B$1201,MATCH(B142,lot!$A$2:$A$1201,0))</f>
        <v>SUP-E</v>
      </c>
      <c r="F142" s="3" t="n">
        <f aca="false">YEAR(A142)*100+MONTH(A142)</f>
        <v>202603</v>
      </c>
    </row>
    <row r="143" customFormat="false" ht="15" hidden="false" customHeight="false" outlineLevel="0" collapsed="false">
      <c r="A143" s="2" t="n">
        <v>46092</v>
      </c>
      <c r="B143" s="3" t="s">
        <v>188</v>
      </c>
      <c r="C143" s="0" t="n">
        <v>241</v>
      </c>
      <c r="D143" s="0" t="n">
        <v>2</v>
      </c>
      <c r="E143" s="0" t="str">
        <f aca="false">INDEX(lot!$B$2:$B$1201,MATCH(B143,lot!$A$2:$A$1201,0))</f>
        <v>SUP-E</v>
      </c>
      <c r="F143" s="3" t="n">
        <f aca="false">YEAR(A143)*100+MONTH(A143)</f>
        <v>202603</v>
      </c>
    </row>
    <row r="144" customFormat="false" ht="15" hidden="false" customHeight="false" outlineLevel="0" collapsed="false">
      <c r="A144" s="2" t="n">
        <v>46092</v>
      </c>
      <c r="B144" s="3" t="s">
        <v>247</v>
      </c>
      <c r="C144" s="0" t="n">
        <v>100</v>
      </c>
      <c r="D144" s="0" t="n">
        <v>1</v>
      </c>
      <c r="E144" s="0" t="str">
        <f aca="false">INDEX(lot!$B$2:$B$1201,MATCH(B144,lot!$A$2:$A$1201,0))</f>
        <v>SUP-E</v>
      </c>
      <c r="F144" s="3" t="n">
        <f aca="false">YEAR(A144)*100+MONTH(A144)</f>
        <v>202603</v>
      </c>
    </row>
    <row r="145" customFormat="false" ht="15" hidden="false" customHeight="false" outlineLevel="0" collapsed="false">
      <c r="A145" s="2" t="n">
        <v>46092</v>
      </c>
      <c r="B145" s="3" t="s">
        <v>247</v>
      </c>
      <c r="C145" s="0" t="n">
        <v>85</v>
      </c>
      <c r="D145" s="0" t="n">
        <v>1</v>
      </c>
      <c r="E145" s="0" t="str">
        <f aca="false">INDEX(lot!$B$2:$B$1201,MATCH(B145,lot!$A$2:$A$1201,0))</f>
        <v>SUP-E</v>
      </c>
      <c r="F145" s="3" t="n">
        <f aca="false">YEAR(A145)*100+MONTH(A145)</f>
        <v>202603</v>
      </c>
    </row>
    <row r="146" customFormat="false" ht="15" hidden="false" customHeight="false" outlineLevel="0" collapsed="false">
      <c r="A146" s="2" t="n">
        <v>46092</v>
      </c>
      <c r="B146" s="3" t="s">
        <v>270</v>
      </c>
      <c r="C146" s="0" t="n">
        <v>172</v>
      </c>
      <c r="D146" s="0" t="n">
        <v>3</v>
      </c>
      <c r="E146" s="0" t="str">
        <f aca="false">INDEX(lot!$B$2:$B$1201,MATCH(B146,lot!$A$2:$A$1201,0))</f>
        <v>SUP-C</v>
      </c>
      <c r="F146" s="3" t="n">
        <f aca="false">YEAR(A146)*100+MONTH(A146)</f>
        <v>202603</v>
      </c>
    </row>
    <row r="147" customFormat="false" ht="15" hidden="false" customHeight="false" outlineLevel="0" collapsed="false">
      <c r="A147" s="2" t="n">
        <v>46092</v>
      </c>
      <c r="B147" s="3" t="s">
        <v>270</v>
      </c>
      <c r="C147" s="0" t="n">
        <v>117</v>
      </c>
      <c r="D147" s="0" t="n">
        <v>1</v>
      </c>
      <c r="E147" s="0" t="str">
        <f aca="false">INDEX(lot!$B$2:$B$1201,MATCH(B147,lot!$A$2:$A$1201,0))</f>
        <v>SUP-C</v>
      </c>
      <c r="F147" s="3" t="n">
        <f aca="false">YEAR(A147)*100+MONTH(A147)</f>
        <v>202603</v>
      </c>
    </row>
    <row r="148" customFormat="false" ht="15" hidden="false" customHeight="false" outlineLevel="0" collapsed="false">
      <c r="A148" s="2" t="n">
        <v>46092</v>
      </c>
      <c r="B148" s="3" t="s">
        <v>285</v>
      </c>
      <c r="C148" s="0" t="n">
        <v>222</v>
      </c>
      <c r="D148" s="0" t="n">
        <v>7</v>
      </c>
      <c r="E148" s="0" t="str">
        <f aca="false">INDEX(lot!$B$2:$B$1201,MATCH(B148,lot!$A$2:$A$1201,0))</f>
        <v>SUP-C</v>
      </c>
      <c r="F148" s="3" t="n">
        <f aca="false">YEAR(A148)*100+MONTH(A148)</f>
        <v>202603</v>
      </c>
    </row>
    <row r="149" customFormat="false" ht="15" hidden="false" customHeight="false" outlineLevel="0" collapsed="false">
      <c r="A149" s="2" t="n">
        <v>46092</v>
      </c>
      <c r="B149" s="3" t="s">
        <v>322</v>
      </c>
      <c r="C149" s="0" t="n">
        <v>126</v>
      </c>
      <c r="D149" s="0" t="n">
        <v>0</v>
      </c>
      <c r="E149" s="0" t="str">
        <f aca="false">INDEX(lot!$B$2:$B$1201,MATCH(B149,lot!$A$2:$A$1201,0))</f>
        <v>SUP-A</v>
      </c>
      <c r="F149" s="3" t="n">
        <f aca="false">YEAR(A149)*100+MONTH(A149)</f>
        <v>202603</v>
      </c>
    </row>
    <row r="150" customFormat="false" ht="15" hidden="false" customHeight="false" outlineLevel="0" collapsed="false">
      <c r="A150" s="2" t="n">
        <v>46092</v>
      </c>
      <c r="B150" s="3" t="s">
        <v>322</v>
      </c>
      <c r="C150" s="0" t="n">
        <v>224</v>
      </c>
      <c r="D150" s="0" t="n">
        <v>3</v>
      </c>
      <c r="E150" s="0" t="str">
        <f aca="false">INDEX(lot!$B$2:$B$1201,MATCH(B150,lot!$A$2:$A$1201,0))</f>
        <v>SUP-A</v>
      </c>
      <c r="F150" s="3" t="n">
        <f aca="false">YEAR(A150)*100+MONTH(A150)</f>
        <v>202603</v>
      </c>
    </row>
    <row r="151" customFormat="false" ht="15" hidden="false" customHeight="false" outlineLevel="0" collapsed="false">
      <c r="A151" s="2" t="n">
        <v>46092</v>
      </c>
      <c r="B151" s="3" t="s">
        <v>462</v>
      </c>
      <c r="C151" s="0" t="n">
        <v>67</v>
      </c>
      <c r="D151" s="0" t="n">
        <v>0</v>
      </c>
      <c r="E151" s="0" t="str">
        <f aca="false">INDEX(lot!$B$2:$B$1201,MATCH(B151,lot!$A$2:$A$1201,0))</f>
        <v>SUP-D</v>
      </c>
      <c r="F151" s="3" t="n">
        <f aca="false">YEAR(A151)*100+MONTH(A151)</f>
        <v>202603</v>
      </c>
    </row>
    <row r="152" customFormat="false" ht="15" hidden="false" customHeight="false" outlineLevel="0" collapsed="false">
      <c r="A152" s="2" t="n">
        <v>46092</v>
      </c>
      <c r="B152" s="3" t="s">
        <v>462</v>
      </c>
      <c r="C152" s="0" t="n">
        <v>178</v>
      </c>
      <c r="D152" s="0" t="n">
        <v>1</v>
      </c>
      <c r="E152" s="0" t="str">
        <f aca="false">INDEX(lot!$B$2:$B$1201,MATCH(B152,lot!$A$2:$A$1201,0))</f>
        <v>SUP-D</v>
      </c>
      <c r="F152" s="3" t="n">
        <f aca="false">YEAR(A152)*100+MONTH(A152)</f>
        <v>202603</v>
      </c>
    </row>
    <row r="153" customFormat="false" ht="15" hidden="false" customHeight="false" outlineLevel="0" collapsed="false">
      <c r="A153" s="2" t="n">
        <v>46092</v>
      </c>
      <c r="B153" s="3" t="s">
        <v>655</v>
      </c>
      <c r="C153" s="0" t="n">
        <v>243</v>
      </c>
      <c r="D153" s="0" t="n">
        <v>2</v>
      </c>
      <c r="E153" s="0" t="str">
        <f aca="false">INDEX(lot!$B$2:$B$1201,MATCH(B153,lot!$A$2:$A$1201,0))</f>
        <v>SUP-A</v>
      </c>
      <c r="F153" s="3" t="n">
        <f aca="false">YEAR(A153)*100+MONTH(A153)</f>
        <v>202603</v>
      </c>
    </row>
    <row r="154" customFormat="false" ht="15" hidden="false" customHeight="false" outlineLevel="0" collapsed="false">
      <c r="A154" s="2" t="n">
        <v>46092</v>
      </c>
      <c r="B154" s="3" t="s">
        <v>655</v>
      </c>
      <c r="C154" s="0" t="n">
        <v>245</v>
      </c>
      <c r="D154" s="0" t="n">
        <v>0</v>
      </c>
      <c r="E154" s="0" t="str">
        <f aca="false">INDEX(lot!$B$2:$B$1201,MATCH(B154,lot!$A$2:$A$1201,0))</f>
        <v>SUP-A</v>
      </c>
      <c r="F154" s="3" t="n">
        <f aca="false">YEAR(A154)*100+MONTH(A154)</f>
        <v>202603</v>
      </c>
    </row>
    <row r="155" customFormat="false" ht="15" hidden="false" customHeight="false" outlineLevel="0" collapsed="false">
      <c r="A155" s="2" t="n">
        <v>46092</v>
      </c>
      <c r="B155" s="3" t="s">
        <v>724</v>
      </c>
      <c r="C155" s="0" t="n">
        <v>64</v>
      </c>
      <c r="D155" s="0" t="n">
        <v>3</v>
      </c>
      <c r="E155" s="0" t="str">
        <f aca="false">INDEX(lot!$B$2:$B$1201,MATCH(B155,lot!$A$2:$A$1201,0))</f>
        <v>SUP-C</v>
      </c>
      <c r="F155" s="3" t="n">
        <f aca="false">YEAR(A155)*100+MONTH(A155)</f>
        <v>202603</v>
      </c>
    </row>
    <row r="156" customFormat="false" ht="15" hidden="false" customHeight="false" outlineLevel="0" collapsed="false">
      <c r="A156" s="2" t="n">
        <v>46092</v>
      </c>
      <c r="B156" s="3" t="s">
        <v>724</v>
      </c>
      <c r="C156" s="0" t="n">
        <v>57</v>
      </c>
      <c r="D156" s="0" t="n">
        <v>1</v>
      </c>
      <c r="E156" s="0" t="str">
        <f aca="false">INDEX(lot!$B$2:$B$1201,MATCH(B156,lot!$A$2:$A$1201,0))</f>
        <v>SUP-C</v>
      </c>
      <c r="F156" s="3" t="n">
        <f aca="false">YEAR(A156)*100+MONTH(A156)</f>
        <v>202603</v>
      </c>
    </row>
    <row r="157" customFormat="false" ht="15" hidden="false" customHeight="false" outlineLevel="0" collapsed="false">
      <c r="A157" s="2" t="n">
        <v>46092</v>
      </c>
      <c r="B157" s="3" t="s">
        <v>882</v>
      </c>
      <c r="C157" s="0" t="n">
        <v>140</v>
      </c>
      <c r="D157" s="0" t="n">
        <v>0</v>
      </c>
      <c r="E157" s="0" t="str">
        <f aca="false">INDEX(lot!$B$2:$B$1201,MATCH(B157,lot!$A$2:$A$1201,0))</f>
        <v>SUP-A</v>
      </c>
      <c r="F157" s="3" t="n">
        <f aca="false">YEAR(A157)*100+MONTH(A157)</f>
        <v>202603</v>
      </c>
    </row>
    <row r="158" customFormat="false" ht="15" hidden="false" customHeight="false" outlineLevel="0" collapsed="false">
      <c r="A158" s="2" t="n">
        <v>46092</v>
      </c>
      <c r="B158" s="3" t="s">
        <v>882</v>
      </c>
      <c r="C158" s="0" t="n">
        <v>154</v>
      </c>
      <c r="D158" s="0" t="n">
        <v>2</v>
      </c>
      <c r="E158" s="0" t="str">
        <f aca="false">INDEX(lot!$B$2:$B$1201,MATCH(B158,lot!$A$2:$A$1201,0))</f>
        <v>SUP-A</v>
      </c>
      <c r="F158" s="3" t="n">
        <f aca="false">YEAR(A158)*100+MONTH(A158)</f>
        <v>202603</v>
      </c>
    </row>
    <row r="159" customFormat="false" ht="15" hidden="false" customHeight="false" outlineLevel="0" collapsed="false">
      <c r="A159" s="2" t="n">
        <v>46092</v>
      </c>
      <c r="B159" s="3" t="s">
        <v>959</v>
      </c>
      <c r="C159" s="0" t="n">
        <v>140</v>
      </c>
      <c r="D159" s="0" t="n">
        <v>5</v>
      </c>
      <c r="E159" s="0" t="str">
        <f aca="false">INDEX(lot!$B$2:$B$1201,MATCH(B159,lot!$A$2:$A$1201,0))</f>
        <v>SUP-C</v>
      </c>
      <c r="F159" s="3" t="n">
        <f aca="false">YEAR(A159)*100+MONTH(A159)</f>
        <v>202603</v>
      </c>
    </row>
    <row r="160" customFormat="false" ht="15" hidden="false" customHeight="false" outlineLevel="0" collapsed="false">
      <c r="A160" s="2" t="n">
        <v>46092</v>
      </c>
      <c r="B160" s="3" t="s">
        <v>1012</v>
      </c>
      <c r="C160" s="0" t="n">
        <v>197</v>
      </c>
      <c r="D160" s="0" t="n">
        <v>2</v>
      </c>
      <c r="E160" s="0" t="str">
        <f aca="false">INDEX(lot!$B$2:$B$1201,MATCH(B160,lot!$A$2:$A$1201,0))</f>
        <v>SUP-D</v>
      </c>
      <c r="F160" s="3" t="n">
        <f aca="false">YEAR(A160)*100+MONTH(A160)</f>
        <v>202603</v>
      </c>
    </row>
    <row r="161" customFormat="false" ht="15" hidden="false" customHeight="false" outlineLevel="0" collapsed="false">
      <c r="A161" s="2" t="n">
        <v>46092</v>
      </c>
      <c r="B161" s="3" t="s">
        <v>1050</v>
      </c>
      <c r="C161" s="0" t="n">
        <v>241</v>
      </c>
      <c r="D161" s="0" t="n">
        <v>3</v>
      </c>
      <c r="E161" s="0" t="str">
        <f aca="false">INDEX(lot!$B$2:$B$1201,MATCH(B161,lot!$A$2:$A$1201,0))</f>
        <v>SUP-D</v>
      </c>
      <c r="F161" s="3" t="n">
        <f aca="false">YEAR(A161)*100+MONTH(A161)</f>
        <v>202603</v>
      </c>
    </row>
    <row r="162" customFormat="false" ht="15" hidden="false" customHeight="false" outlineLevel="0" collapsed="false">
      <c r="A162" s="2" t="n">
        <v>46092</v>
      </c>
      <c r="B162" s="3" t="s">
        <v>1052</v>
      </c>
      <c r="C162" s="0" t="n">
        <v>63</v>
      </c>
      <c r="D162" s="0" t="n">
        <v>1</v>
      </c>
      <c r="E162" s="0" t="str">
        <f aca="false">INDEX(lot!$B$2:$B$1201,MATCH(B162,lot!$A$2:$A$1201,0))</f>
        <v>SUP-E</v>
      </c>
      <c r="F162" s="3" t="n">
        <f aca="false">YEAR(A162)*100+MONTH(A162)</f>
        <v>202603</v>
      </c>
    </row>
    <row r="163" customFormat="false" ht="15" hidden="false" customHeight="false" outlineLevel="0" collapsed="false">
      <c r="A163" s="2" t="n">
        <v>46092</v>
      </c>
      <c r="B163" s="3" t="s">
        <v>1052</v>
      </c>
      <c r="C163" s="0" t="n">
        <v>179</v>
      </c>
      <c r="D163" s="0" t="n">
        <v>0</v>
      </c>
      <c r="E163" s="0" t="str">
        <f aca="false">INDEX(lot!$B$2:$B$1201,MATCH(B163,lot!$A$2:$A$1201,0))</f>
        <v>SUP-E</v>
      </c>
      <c r="F163" s="3" t="n">
        <f aca="false">YEAR(A163)*100+MONTH(A163)</f>
        <v>202603</v>
      </c>
    </row>
    <row r="164" customFormat="false" ht="15" hidden="false" customHeight="false" outlineLevel="0" collapsed="false">
      <c r="A164" s="2" t="n">
        <v>46092</v>
      </c>
      <c r="B164" s="3" t="s">
        <v>1080</v>
      </c>
      <c r="C164" s="0" t="n">
        <v>241</v>
      </c>
      <c r="D164" s="0" t="n">
        <v>5</v>
      </c>
      <c r="E164" s="0" t="str">
        <f aca="false">INDEX(lot!$B$2:$B$1201,MATCH(B164,lot!$A$2:$A$1201,0))</f>
        <v>SUP-E</v>
      </c>
      <c r="F164" s="3" t="n">
        <f aca="false">YEAR(A164)*100+MONTH(A164)</f>
        <v>202603</v>
      </c>
    </row>
    <row r="165" customFormat="false" ht="15" hidden="false" customHeight="false" outlineLevel="0" collapsed="false">
      <c r="A165" s="2" t="n">
        <v>46092</v>
      </c>
      <c r="B165" s="3" t="s">
        <v>1080</v>
      </c>
      <c r="C165" s="0" t="n">
        <v>159</v>
      </c>
      <c r="D165" s="0" t="n">
        <v>2</v>
      </c>
      <c r="E165" s="0" t="str">
        <f aca="false">INDEX(lot!$B$2:$B$1201,MATCH(B165,lot!$A$2:$A$1201,0))</f>
        <v>SUP-E</v>
      </c>
      <c r="F165" s="3" t="n">
        <f aca="false">YEAR(A165)*100+MONTH(A165)</f>
        <v>202603</v>
      </c>
    </row>
    <row r="166" customFormat="false" ht="15" hidden="false" customHeight="false" outlineLevel="0" collapsed="false">
      <c r="A166" s="2" t="n">
        <v>46092</v>
      </c>
      <c r="B166" s="3" t="s">
        <v>1143</v>
      </c>
      <c r="C166" s="0" t="n">
        <v>225</v>
      </c>
      <c r="D166" s="0" t="n">
        <v>21</v>
      </c>
      <c r="E166" s="0" t="str">
        <f aca="false">INDEX(lot!$B$2:$B$1201,MATCH(B166,lot!$A$2:$A$1201,0))</f>
        <v>SUP-A</v>
      </c>
      <c r="F166" s="3" t="n">
        <f aca="false">YEAR(A166)*100+MONTH(A166)</f>
        <v>202603</v>
      </c>
    </row>
    <row r="167" customFormat="false" ht="15" hidden="false" customHeight="false" outlineLevel="0" collapsed="false">
      <c r="A167" s="2" t="n">
        <v>46093</v>
      </c>
      <c r="B167" s="3" t="s">
        <v>40</v>
      </c>
      <c r="C167" s="0" t="n">
        <v>156</v>
      </c>
      <c r="D167" s="0" t="n">
        <v>3</v>
      </c>
      <c r="E167" s="0" t="str">
        <f aca="false">INDEX(lot!$B$2:$B$1201,MATCH(B167,lot!$A$2:$A$1201,0))</f>
        <v>SUP-D</v>
      </c>
      <c r="F167" s="3" t="n">
        <f aca="false">YEAR(A167)*100+MONTH(A167)</f>
        <v>202603</v>
      </c>
    </row>
    <row r="168" customFormat="false" ht="15" hidden="false" customHeight="false" outlineLevel="0" collapsed="false">
      <c r="A168" s="2" t="n">
        <v>46093</v>
      </c>
      <c r="B168" s="3" t="s">
        <v>40</v>
      </c>
      <c r="C168" s="0" t="n">
        <v>231</v>
      </c>
      <c r="D168" s="0" t="n">
        <v>1</v>
      </c>
      <c r="E168" s="0" t="str">
        <f aca="false">INDEX(lot!$B$2:$B$1201,MATCH(B168,lot!$A$2:$A$1201,0))</f>
        <v>SUP-D</v>
      </c>
      <c r="F168" s="3" t="n">
        <f aca="false">YEAR(A168)*100+MONTH(A168)</f>
        <v>202603</v>
      </c>
    </row>
    <row r="169" customFormat="false" ht="15" hidden="false" customHeight="false" outlineLevel="0" collapsed="false">
      <c r="A169" s="2" t="n">
        <v>46093</v>
      </c>
      <c r="B169" s="3" t="s">
        <v>55</v>
      </c>
      <c r="C169" s="0" t="n">
        <v>192</v>
      </c>
      <c r="D169" s="0" t="n">
        <v>2</v>
      </c>
      <c r="E169" s="0" t="str">
        <f aca="false">INDEX(lot!$B$2:$B$1201,MATCH(B169,lot!$A$2:$A$1201,0))</f>
        <v>SUP-E</v>
      </c>
      <c r="F169" s="3" t="n">
        <f aca="false">YEAR(A169)*100+MONTH(A169)</f>
        <v>202603</v>
      </c>
    </row>
    <row r="170" customFormat="false" ht="15" hidden="false" customHeight="false" outlineLevel="0" collapsed="false">
      <c r="A170" s="2" t="n">
        <v>46093</v>
      </c>
      <c r="B170" s="3" t="s">
        <v>62</v>
      </c>
      <c r="C170" s="0" t="n">
        <v>122</v>
      </c>
      <c r="D170" s="0" t="n">
        <v>5</v>
      </c>
      <c r="E170" s="0" t="str">
        <f aca="false">INDEX(lot!$B$2:$B$1201,MATCH(B170,lot!$A$2:$A$1201,0))</f>
        <v>SUP-E</v>
      </c>
      <c r="F170" s="3" t="n">
        <f aca="false">YEAR(A170)*100+MONTH(A170)</f>
        <v>202603</v>
      </c>
    </row>
    <row r="171" customFormat="false" ht="15" hidden="false" customHeight="false" outlineLevel="0" collapsed="false">
      <c r="A171" s="2" t="n">
        <v>46093</v>
      </c>
      <c r="B171" s="3" t="s">
        <v>62</v>
      </c>
      <c r="C171" s="0" t="n">
        <v>176</v>
      </c>
      <c r="D171" s="0" t="n">
        <v>10</v>
      </c>
      <c r="E171" s="0" t="str">
        <f aca="false">INDEX(lot!$B$2:$B$1201,MATCH(B171,lot!$A$2:$A$1201,0))</f>
        <v>SUP-E</v>
      </c>
      <c r="F171" s="3" t="n">
        <f aca="false">YEAR(A171)*100+MONTH(A171)</f>
        <v>202603</v>
      </c>
    </row>
    <row r="172" customFormat="false" ht="15" hidden="false" customHeight="false" outlineLevel="0" collapsed="false">
      <c r="A172" s="2" t="n">
        <v>46093</v>
      </c>
      <c r="B172" s="3" t="s">
        <v>97</v>
      </c>
      <c r="C172" s="0" t="n">
        <v>245</v>
      </c>
      <c r="D172" s="0" t="n">
        <v>7</v>
      </c>
      <c r="E172" s="0" t="str">
        <f aca="false">INDEX(lot!$B$2:$B$1201,MATCH(B172,lot!$A$2:$A$1201,0))</f>
        <v>SUP-C</v>
      </c>
      <c r="F172" s="3" t="n">
        <f aca="false">YEAR(A172)*100+MONTH(A172)</f>
        <v>202603</v>
      </c>
    </row>
    <row r="173" customFormat="false" ht="15" hidden="false" customHeight="false" outlineLevel="0" collapsed="false">
      <c r="A173" s="2" t="n">
        <v>46093</v>
      </c>
      <c r="B173" s="3" t="s">
        <v>134</v>
      </c>
      <c r="C173" s="0" t="n">
        <v>160</v>
      </c>
      <c r="D173" s="0" t="n">
        <v>4</v>
      </c>
      <c r="E173" s="0" t="str">
        <f aca="false">INDEX(lot!$B$2:$B$1201,MATCH(B173,lot!$A$2:$A$1201,0))</f>
        <v>SUP-C</v>
      </c>
      <c r="F173" s="3" t="n">
        <f aca="false">YEAR(A173)*100+MONTH(A173)</f>
        <v>202603</v>
      </c>
    </row>
    <row r="174" customFormat="false" ht="15" hidden="false" customHeight="false" outlineLevel="0" collapsed="false">
      <c r="A174" s="2" t="n">
        <v>46093</v>
      </c>
      <c r="B174" s="3" t="s">
        <v>134</v>
      </c>
      <c r="C174" s="0" t="n">
        <v>106</v>
      </c>
      <c r="D174" s="0" t="n">
        <v>3</v>
      </c>
      <c r="E174" s="0" t="str">
        <f aca="false">INDEX(lot!$B$2:$B$1201,MATCH(B174,lot!$A$2:$A$1201,0))</f>
        <v>SUP-C</v>
      </c>
      <c r="F174" s="3" t="n">
        <f aca="false">YEAR(A174)*100+MONTH(A174)</f>
        <v>202603</v>
      </c>
    </row>
    <row r="175" customFormat="false" ht="15" hidden="false" customHeight="false" outlineLevel="0" collapsed="false">
      <c r="A175" s="2" t="n">
        <v>46093</v>
      </c>
      <c r="B175" s="3" t="s">
        <v>173</v>
      </c>
      <c r="C175" s="0" t="n">
        <v>208</v>
      </c>
      <c r="D175" s="0" t="n">
        <v>1</v>
      </c>
      <c r="E175" s="0" t="str">
        <f aca="false">INDEX(lot!$B$2:$B$1201,MATCH(B175,lot!$A$2:$A$1201,0))</f>
        <v>SUP-E</v>
      </c>
      <c r="F175" s="3" t="n">
        <f aca="false">YEAR(A175)*100+MONTH(A175)</f>
        <v>202603</v>
      </c>
    </row>
    <row r="176" customFormat="false" ht="15" hidden="false" customHeight="false" outlineLevel="0" collapsed="false">
      <c r="A176" s="2" t="n">
        <v>46093</v>
      </c>
      <c r="B176" s="3" t="s">
        <v>173</v>
      </c>
      <c r="C176" s="0" t="n">
        <v>233</v>
      </c>
      <c r="D176" s="0" t="n">
        <v>3</v>
      </c>
      <c r="E176" s="0" t="str">
        <f aca="false">INDEX(lot!$B$2:$B$1201,MATCH(B176,lot!$A$2:$A$1201,0))</f>
        <v>SUP-E</v>
      </c>
      <c r="F176" s="3" t="n">
        <f aca="false">YEAR(A176)*100+MONTH(A176)</f>
        <v>202603</v>
      </c>
    </row>
    <row r="177" customFormat="false" ht="15" hidden="false" customHeight="false" outlineLevel="0" collapsed="false">
      <c r="A177" s="2" t="n">
        <v>46093</v>
      </c>
      <c r="B177" s="3" t="s">
        <v>188</v>
      </c>
      <c r="C177" s="0" t="n">
        <v>150</v>
      </c>
      <c r="D177" s="0" t="n">
        <v>3</v>
      </c>
      <c r="E177" s="0" t="str">
        <f aca="false">INDEX(lot!$B$2:$B$1201,MATCH(B177,lot!$A$2:$A$1201,0))</f>
        <v>SUP-E</v>
      </c>
      <c r="F177" s="3" t="n">
        <f aca="false">YEAR(A177)*100+MONTH(A177)</f>
        <v>202603</v>
      </c>
    </row>
    <row r="178" customFormat="false" ht="15" hidden="false" customHeight="false" outlineLevel="0" collapsed="false">
      <c r="A178" s="2" t="n">
        <v>46093</v>
      </c>
      <c r="B178" s="3" t="s">
        <v>188</v>
      </c>
      <c r="C178" s="0" t="n">
        <v>192</v>
      </c>
      <c r="D178" s="0" t="n">
        <v>3</v>
      </c>
      <c r="E178" s="0" t="str">
        <f aca="false">INDEX(lot!$B$2:$B$1201,MATCH(B178,lot!$A$2:$A$1201,0))</f>
        <v>SUP-E</v>
      </c>
      <c r="F178" s="3" t="n">
        <f aca="false">YEAR(A178)*100+MONTH(A178)</f>
        <v>202603</v>
      </c>
    </row>
    <row r="179" customFormat="false" ht="15" hidden="false" customHeight="false" outlineLevel="0" collapsed="false">
      <c r="A179" s="2" t="n">
        <v>46093</v>
      </c>
      <c r="B179" s="3" t="s">
        <v>270</v>
      </c>
      <c r="C179" s="0" t="n">
        <v>105</v>
      </c>
      <c r="D179" s="0" t="n">
        <v>3</v>
      </c>
      <c r="E179" s="0" t="str">
        <f aca="false">INDEX(lot!$B$2:$B$1201,MATCH(B179,lot!$A$2:$A$1201,0))</f>
        <v>SUP-C</v>
      </c>
      <c r="F179" s="3" t="n">
        <f aca="false">YEAR(A179)*100+MONTH(A179)</f>
        <v>202603</v>
      </c>
    </row>
    <row r="180" customFormat="false" ht="15" hidden="false" customHeight="false" outlineLevel="0" collapsed="false">
      <c r="A180" s="2" t="n">
        <v>46093</v>
      </c>
      <c r="B180" s="3" t="s">
        <v>285</v>
      </c>
      <c r="C180" s="0" t="n">
        <v>170</v>
      </c>
      <c r="D180" s="0" t="n">
        <v>5</v>
      </c>
      <c r="E180" s="0" t="str">
        <f aca="false">INDEX(lot!$B$2:$B$1201,MATCH(B180,lot!$A$2:$A$1201,0))</f>
        <v>SUP-C</v>
      </c>
      <c r="F180" s="3" t="n">
        <f aca="false">YEAR(A180)*100+MONTH(A180)</f>
        <v>202603</v>
      </c>
    </row>
    <row r="181" customFormat="false" ht="15" hidden="false" customHeight="false" outlineLevel="0" collapsed="false">
      <c r="A181" s="2" t="n">
        <v>46093</v>
      </c>
      <c r="B181" s="3" t="s">
        <v>317</v>
      </c>
      <c r="C181" s="0" t="n">
        <v>114</v>
      </c>
      <c r="D181" s="0" t="n">
        <v>6</v>
      </c>
      <c r="E181" s="0" t="str">
        <f aca="false">INDEX(lot!$B$2:$B$1201,MATCH(B181,lot!$A$2:$A$1201,0))</f>
        <v>SUP-C</v>
      </c>
      <c r="F181" s="3" t="n">
        <f aca="false">YEAR(A181)*100+MONTH(A181)</f>
        <v>202603</v>
      </c>
    </row>
    <row r="182" customFormat="false" ht="15" hidden="false" customHeight="false" outlineLevel="0" collapsed="false">
      <c r="A182" s="2" t="n">
        <v>46093</v>
      </c>
      <c r="B182" s="3" t="s">
        <v>322</v>
      </c>
      <c r="C182" s="0" t="n">
        <v>133</v>
      </c>
      <c r="D182" s="0" t="n">
        <v>1</v>
      </c>
      <c r="E182" s="0" t="str">
        <f aca="false">INDEX(lot!$B$2:$B$1201,MATCH(B182,lot!$A$2:$A$1201,0))</f>
        <v>SUP-A</v>
      </c>
      <c r="F182" s="3" t="n">
        <f aca="false">YEAR(A182)*100+MONTH(A182)</f>
        <v>202603</v>
      </c>
    </row>
    <row r="183" customFormat="false" ht="15" hidden="false" customHeight="false" outlineLevel="0" collapsed="false">
      <c r="A183" s="2" t="n">
        <v>46093</v>
      </c>
      <c r="B183" s="3" t="s">
        <v>322</v>
      </c>
      <c r="C183" s="0" t="n">
        <v>190</v>
      </c>
      <c r="D183" s="0" t="n">
        <v>2</v>
      </c>
      <c r="E183" s="0" t="str">
        <f aca="false">INDEX(lot!$B$2:$B$1201,MATCH(B183,lot!$A$2:$A$1201,0))</f>
        <v>SUP-A</v>
      </c>
      <c r="F183" s="3" t="n">
        <f aca="false">YEAR(A183)*100+MONTH(A183)</f>
        <v>202603</v>
      </c>
    </row>
    <row r="184" customFormat="false" ht="15" hidden="false" customHeight="false" outlineLevel="0" collapsed="false">
      <c r="A184" s="2" t="n">
        <v>46093</v>
      </c>
      <c r="B184" s="3" t="s">
        <v>417</v>
      </c>
      <c r="C184" s="0" t="n">
        <v>219</v>
      </c>
      <c r="D184" s="0" t="n">
        <v>1</v>
      </c>
      <c r="E184" s="0" t="str">
        <f aca="false">INDEX(lot!$B$2:$B$1201,MATCH(B184,lot!$A$2:$A$1201,0))</f>
        <v>SUP-D</v>
      </c>
      <c r="F184" s="3" t="n">
        <f aca="false">YEAR(A184)*100+MONTH(A184)</f>
        <v>202603</v>
      </c>
    </row>
    <row r="185" customFormat="false" ht="15" hidden="false" customHeight="false" outlineLevel="0" collapsed="false">
      <c r="A185" s="2" t="n">
        <v>46093</v>
      </c>
      <c r="B185" s="3" t="s">
        <v>417</v>
      </c>
      <c r="C185" s="0" t="n">
        <v>215</v>
      </c>
      <c r="D185" s="0" t="n">
        <v>3</v>
      </c>
      <c r="E185" s="0" t="str">
        <f aca="false">INDEX(lot!$B$2:$B$1201,MATCH(B185,lot!$A$2:$A$1201,0))</f>
        <v>SUP-D</v>
      </c>
      <c r="F185" s="3" t="n">
        <f aca="false">YEAR(A185)*100+MONTH(A185)</f>
        <v>202603</v>
      </c>
    </row>
    <row r="186" customFormat="false" ht="15" hidden="false" customHeight="false" outlineLevel="0" collapsed="false">
      <c r="A186" s="2" t="n">
        <v>46093</v>
      </c>
      <c r="B186" s="3" t="s">
        <v>462</v>
      </c>
      <c r="C186" s="0" t="n">
        <v>231</v>
      </c>
      <c r="D186" s="0" t="n">
        <v>2</v>
      </c>
      <c r="E186" s="0" t="str">
        <f aca="false">INDEX(lot!$B$2:$B$1201,MATCH(B186,lot!$A$2:$A$1201,0))</f>
        <v>SUP-D</v>
      </c>
      <c r="F186" s="3" t="n">
        <f aca="false">YEAR(A186)*100+MONTH(A186)</f>
        <v>202603</v>
      </c>
    </row>
    <row r="187" customFormat="false" ht="15" hidden="false" customHeight="false" outlineLevel="0" collapsed="false">
      <c r="A187" s="2" t="n">
        <v>46093</v>
      </c>
      <c r="B187" s="3" t="s">
        <v>462</v>
      </c>
      <c r="C187" s="0" t="n">
        <v>122</v>
      </c>
      <c r="D187" s="0" t="n">
        <v>1</v>
      </c>
      <c r="E187" s="0" t="str">
        <f aca="false">INDEX(lot!$B$2:$B$1201,MATCH(B187,lot!$A$2:$A$1201,0))</f>
        <v>SUP-D</v>
      </c>
      <c r="F187" s="3" t="n">
        <f aca="false">YEAR(A187)*100+MONTH(A187)</f>
        <v>202603</v>
      </c>
    </row>
    <row r="188" customFormat="false" ht="15" hidden="false" customHeight="false" outlineLevel="0" collapsed="false">
      <c r="A188" s="2" t="n">
        <v>46093</v>
      </c>
      <c r="B188" s="3" t="s">
        <v>493</v>
      </c>
      <c r="C188" s="0" t="n">
        <v>161</v>
      </c>
      <c r="D188" s="0" t="n">
        <v>1</v>
      </c>
      <c r="E188" s="0" t="str">
        <f aca="false">INDEX(lot!$B$2:$B$1201,MATCH(B188,lot!$A$2:$A$1201,0))</f>
        <v>SUP-E</v>
      </c>
      <c r="F188" s="3" t="n">
        <f aca="false">YEAR(A188)*100+MONTH(A188)</f>
        <v>202603</v>
      </c>
    </row>
    <row r="189" customFormat="false" ht="15" hidden="false" customHeight="false" outlineLevel="0" collapsed="false">
      <c r="A189" s="2" t="n">
        <v>46093</v>
      </c>
      <c r="B189" s="3" t="s">
        <v>493</v>
      </c>
      <c r="C189" s="0" t="n">
        <v>186</v>
      </c>
      <c r="D189" s="0" t="n">
        <v>1</v>
      </c>
      <c r="E189" s="0" t="str">
        <f aca="false">INDEX(lot!$B$2:$B$1201,MATCH(B189,lot!$A$2:$A$1201,0))</f>
        <v>SUP-E</v>
      </c>
      <c r="F189" s="3" t="n">
        <f aca="false">YEAR(A189)*100+MONTH(A189)</f>
        <v>202603</v>
      </c>
    </row>
    <row r="190" customFormat="false" ht="15" hidden="false" customHeight="false" outlineLevel="0" collapsed="false">
      <c r="A190" s="2" t="n">
        <v>46093</v>
      </c>
      <c r="B190" s="3" t="s">
        <v>531</v>
      </c>
      <c r="C190" s="0" t="n">
        <v>65</v>
      </c>
      <c r="D190" s="0" t="n">
        <v>4</v>
      </c>
      <c r="E190" s="0" t="str">
        <f aca="false">INDEX(lot!$B$2:$B$1201,MATCH(B190,lot!$A$2:$A$1201,0))</f>
        <v>SUP-D</v>
      </c>
      <c r="F190" s="3" t="n">
        <f aca="false">YEAR(A190)*100+MONTH(A190)</f>
        <v>202603</v>
      </c>
    </row>
    <row r="191" customFormat="false" ht="15" hidden="false" customHeight="false" outlineLevel="0" collapsed="false">
      <c r="A191" s="2" t="n">
        <v>46093</v>
      </c>
      <c r="B191" s="3" t="s">
        <v>531</v>
      </c>
      <c r="C191" s="0" t="n">
        <v>122</v>
      </c>
      <c r="D191" s="0" t="n">
        <v>4</v>
      </c>
      <c r="E191" s="0" t="str">
        <f aca="false">INDEX(lot!$B$2:$B$1201,MATCH(B191,lot!$A$2:$A$1201,0))</f>
        <v>SUP-D</v>
      </c>
      <c r="F191" s="3" t="n">
        <f aca="false">YEAR(A191)*100+MONTH(A191)</f>
        <v>202603</v>
      </c>
    </row>
    <row r="192" customFormat="false" ht="15" hidden="false" customHeight="false" outlineLevel="0" collapsed="false">
      <c r="A192" s="2" t="n">
        <v>46093</v>
      </c>
      <c r="B192" s="3" t="s">
        <v>620</v>
      </c>
      <c r="C192" s="0" t="n">
        <v>160</v>
      </c>
      <c r="D192" s="0" t="n">
        <v>2</v>
      </c>
      <c r="E192" s="0" t="str">
        <f aca="false">INDEX(lot!$B$2:$B$1201,MATCH(B192,lot!$A$2:$A$1201,0))</f>
        <v>SUP-B</v>
      </c>
      <c r="F192" s="3" t="n">
        <f aca="false">YEAR(A192)*100+MONTH(A192)</f>
        <v>202603</v>
      </c>
    </row>
    <row r="193" customFormat="false" ht="15" hidden="false" customHeight="false" outlineLevel="0" collapsed="false">
      <c r="A193" s="2" t="n">
        <v>46093</v>
      </c>
      <c r="B193" s="3" t="s">
        <v>688</v>
      </c>
      <c r="C193" s="0" t="n">
        <v>103</v>
      </c>
      <c r="D193" s="0" t="n">
        <v>2</v>
      </c>
      <c r="E193" s="0" t="str">
        <f aca="false">INDEX(lot!$B$2:$B$1201,MATCH(B193,lot!$A$2:$A$1201,0))</f>
        <v>SUP-C</v>
      </c>
      <c r="F193" s="3" t="n">
        <f aca="false">YEAR(A193)*100+MONTH(A193)</f>
        <v>202603</v>
      </c>
    </row>
    <row r="194" customFormat="false" ht="15" hidden="false" customHeight="false" outlineLevel="0" collapsed="false">
      <c r="A194" s="2" t="n">
        <v>46093</v>
      </c>
      <c r="B194" s="3" t="s">
        <v>800</v>
      </c>
      <c r="C194" s="0" t="n">
        <v>81</v>
      </c>
      <c r="D194" s="0" t="n">
        <v>1</v>
      </c>
      <c r="E194" s="0" t="str">
        <f aca="false">INDEX(lot!$B$2:$B$1201,MATCH(B194,lot!$A$2:$A$1201,0))</f>
        <v>SUP-D</v>
      </c>
      <c r="F194" s="3" t="n">
        <f aca="false">YEAR(A194)*100+MONTH(A194)</f>
        <v>202603</v>
      </c>
    </row>
    <row r="195" customFormat="false" ht="15" hidden="false" customHeight="false" outlineLevel="0" collapsed="false">
      <c r="A195" s="2" t="n">
        <v>46093</v>
      </c>
      <c r="B195" s="3" t="s">
        <v>800</v>
      </c>
      <c r="C195" s="0" t="n">
        <v>225</v>
      </c>
      <c r="D195" s="0" t="n">
        <v>2</v>
      </c>
      <c r="E195" s="0" t="str">
        <f aca="false">INDEX(lot!$B$2:$B$1201,MATCH(B195,lot!$A$2:$A$1201,0))</f>
        <v>SUP-D</v>
      </c>
      <c r="F195" s="3" t="n">
        <f aca="false">YEAR(A195)*100+MONTH(A195)</f>
        <v>202603</v>
      </c>
    </row>
    <row r="196" customFormat="false" ht="15" hidden="false" customHeight="false" outlineLevel="0" collapsed="false">
      <c r="A196" s="2" t="n">
        <v>46093</v>
      </c>
      <c r="B196" s="3" t="s">
        <v>876</v>
      </c>
      <c r="C196" s="0" t="n">
        <v>191</v>
      </c>
      <c r="D196" s="0" t="n">
        <v>6</v>
      </c>
      <c r="E196" s="0" t="str">
        <f aca="false">INDEX(lot!$B$2:$B$1201,MATCH(B196,lot!$A$2:$A$1201,0))</f>
        <v>SUP-C</v>
      </c>
      <c r="F196" s="3" t="n">
        <f aca="false">YEAR(A196)*100+MONTH(A196)</f>
        <v>202603</v>
      </c>
    </row>
    <row r="197" customFormat="false" ht="15" hidden="false" customHeight="false" outlineLevel="0" collapsed="false">
      <c r="A197" s="2" t="n">
        <v>46093</v>
      </c>
      <c r="B197" s="3" t="s">
        <v>1012</v>
      </c>
      <c r="C197" s="0" t="n">
        <v>118</v>
      </c>
      <c r="D197" s="0" t="n">
        <v>2</v>
      </c>
      <c r="E197" s="0" t="str">
        <f aca="false">INDEX(lot!$B$2:$B$1201,MATCH(B197,lot!$A$2:$A$1201,0))</f>
        <v>SUP-D</v>
      </c>
      <c r="F197" s="3" t="n">
        <f aca="false">YEAR(A197)*100+MONTH(A197)</f>
        <v>202603</v>
      </c>
    </row>
    <row r="198" customFormat="false" ht="15" hidden="false" customHeight="false" outlineLevel="0" collapsed="false">
      <c r="A198" s="2" t="n">
        <v>46093</v>
      </c>
      <c r="B198" s="3" t="s">
        <v>1012</v>
      </c>
      <c r="C198" s="0" t="n">
        <v>78</v>
      </c>
      <c r="D198" s="0" t="n">
        <v>1</v>
      </c>
      <c r="E198" s="0" t="str">
        <f aca="false">INDEX(lot!$B$2:$B$1201,MATCH(B198,lot!$A$2:$A$1201,0))</f>
        <v>SUP-D</v>
      </c>
      <c r="F198" s="3" t="n">
        <f aca="false">YEAR(A198)*100+MONTH(A198)</f>
        <v>202603</v>
      </c>
    </row>
    <row r="199" customFormat="false" ht="15" hidden="false" customHeight="false" outlineLevel="0" collapsed="false">
      <c r="A199" s="2" t="n">
        <v>46093</v>
      </c>
      <c r="B199" s="3" t="s">
        <v>1050</v>
      </c>
      <c r="C199" s="0" t="n">
        <v>77</v>
      </c>
      <c r="D199" s="0" t="n">
        <v>1</v>
      </c>
      <c r="E199" s="0" t="str">
        <f aca="false">INDEX(lot!$B$2:$B$1201,MATCH(B199,lot!$A$2:$A$1201,0))</f>
        <v>SUP-D</v>
      </c>
      <c r="F199" s="3" t="n">
        <f aca="false">YEAR(A199)*100+MONTH(A199)</f>
        <v>202603</v>
      </c>
    </row>
    <row r="200" customFormat="false" ht="15" hidden="false" customHeight="false" outlineLevel="0" collapsed="false">
      <c r="A200" s="2" t="n">
        <v>46093</v>
      </c>
      <c r="B200" s="3" t="s">
        <v>1080</v>
      </c>
      <c r="C200" s="0" t="n">
        <v>117</v>
      </c>
      <c r="D200" s="0" t="n">
        <v>2</v>
      </c>
      <c r="E200" s="0" t="str">
        <f aca="false">INDEX(lot!$B$2:$B$1201,MATCH(B200,lot!$A$2:$A$1201,0))</f>
        <v>SUP-E</v>
      </c>
      <c r="F200" s="3" t="n">
        <f aca="false">YEAR(A200)*100+MONTH(A200)</f>
        <v>202603</v>
      </c>
    </row>
    <row r="201" customFormat="false" ht="15" hidden="false" customHeight="false" outlineLevel="0" collapsed="false">
      <c r="A201" s="2" t="n">
        <v>46093</v>
      </c>
      <c r="B201" s="3" t="s">
        <v>1080</v>
      </c>
      <c r="C201" s="0" t="n">
        <v>10</v>
      </c>
      <c r="D201" s="0" t="n">
        <v>0</v>
      </c>
      <c r="E201" s="0" t="str">
        <f aca="false">INDEX(lot!$B$2:$B$1201,MATCH(B201,lot!$A$2:$A$1201,0))</f>
        <v>SUP-E</v>
      </c>
      <c r="F201" s="3" t="n">
        <f aca="false">YEAR(A201)*100+MONTH(A201)</f>
        <v>202603</v>
      </c>
    </row>
    <row r="202" customFormat="false" ht="15" hidden="false" customHeight="false" outlineLevel="0" collapsed="false">
      <c r="A202" s="2" t="n">
        <v>46093</v>
      </c>
      <c r="B202" s="3" t="s">
        <v>1177</v>
      </c>
      <c r="C202" s="0" t="n">
        <v>243</v>
      </c>
      <c r="D202" s="0" t="n">
        <v>1</v>
      </c>
      <c r="E202" s="0" t="str">
        <f aca="false">INDEX(lot!$B$2:$B$1201,MATCH(B202,lot!$A$2:$A$1201,0))</f>
        <v>SUP-E</v>
      </c>
      <c r="F202" s="3" t="n">
        <f aca="false">YEAR(A202)*100+MONTH(A202)</f>
        <v>202603</v>
      </c>
    </row>
    <row r="203" customFormat="false" ht="15" hidden="false" customHeight="false" outlineLevel="0" collapsed="false">
      <c r="A203" s="2" t="n">
        <v>46093</v>
      </c>
      <c r="B203" s="3" t="s">
        <v>1209</v>
      </c>
      <c r="C203" s="0" t="n">
        <v>143</v>
      </c>
      <c r="D203" s="0" t="n">
        <v>2</v>
      </c>
      <c r="E203" s="0" t="str">
        <f aca="false">INDEX(lot!$B$2:$B$1201,MATCH(B203,lot!$A$2:$A$1201,0))</f>
        <v>SUP-D</v>
      </c>
      <c r="F203" s="3" t="n">
        <f aca="false">YEAR(A203)*100+MONTH(A203)</f>
        <v>202603</v>
      </c>
    </row>
    <row r="204" customFormat="false" ht="15" hidden="false" customHeight="false" outlineLevel="0" collapsed="false">
      <c r="A204" s="2" t="n">
        <v>46094</v>
      </c>
      <c r="B204" s="3" t="s">
        <v>55</v>
      </c>
      <c r="C204" s="0" t="n">
        <v>249</v>
      </c>
      <c r="D204" s="0" t="n">
        <v>2</v>
      </c>
      <c r="E204" s="0" t="str">
        <f aca="false">INDEX(lot!$B$2:$B$1201,MATCH(B204,lot!$A$2:$A$1201,0))</f>
        <v>SUP-E</v>
      </c>
      <c r="F204" s="3" t="n">
        <f aca="false">YEAR(A204)*100+MONTH(A204)</f>
        <v>202603</v>
      </c>
    </row>
    <row r="205" customFormat="false" ht="15" hidden="false" customHeight="false" outlineLevel="0" collapsed="false">
      <c r="A205" s="2" t="n">
        <v>46094</v>
      </c>
      <c r="B205" s="3" t="s">
        <v>57</v>
      </c>
      <c r="C205" s="0" t="n">
        <v>152</v>
      </c>
      <c r="D205" s="0" t="n">
        <v>1</v>
      </c>
      <c r="E205" s="0" t="str">
        <f aca="false">INDEX(lot!$B$2:$B$1201,MATCH(B205,lot!$A$2:$A$1201,0))</f>
        <v>SUP-E</v>
      </c>
      <c r="F205" s="3" t="n">
        <f aca="false">YEAR(A205)*100+MONTH(A205)</f>
        <v>202603</v>
      </c>
    </row>
    <row r="206" customFormat="false" ht="15" hidden="false" customHeight="false" outlineLevel="0" collapsed="false">
      <c r="A206" s="2" t="n">
        <v>46094</v>
      </c>
      <c r="B206" s="3" t="s">
        <v>57</v>
      </c>
      <c r="C206" s="0" t="n">
        <v>227</v>
      </c>
      <c r="D206" s="0" t="n">
        <v>2</v>
      </c>
      <c r="E206" s="0" t="str">
        <f aca="false">INDEX(lot!$B$2:$B$1201,MATCH(B206,lot!$A$2:$A$1201,0))</f>
        <v>SUP-E</v>
      </c>
      <c r="F206" s="3" t="n">
        <f aca="false">YEAR(A206)*100+MONTH(A206)</f>
        <v>202603</v>
      </c>
    </row>
    <row r="207" customFormat="false" ht="15" hidden="false" customHeight="false" outlineLevel="0" collapsed="false">
      <c r="A207" s="2" t="n">
        <v>46094</v>
      </c>
      <c r="B207" s="3" t="s">
        <v>62</v>
      </c>
      <c r="C207" s="0" t="n">
        <v>189</v>
      </c>
      <c r="D207" s="0" t="n">
        <v>6</v>
      </c>
      <c r="E207" s="0" t="str">
        <f aca="false">INDEX(lot!$B$2:$B$1201,MATCH(B207,lot!$A$2:$A$1201,0))</f>
        <v>SUP-E</v>
      </c>
      <c r="F207" s="3" t="n">
        <f aca="false">YEAR(A207)*100+MONTH(A207)</f>
        <v>202603</v>
      </c>
    </row>
    <row r="208" customFormat="false" ht="15" hidden="false" customHeight="false" outlineLevel="0" collapsed="false">
      <c r="A208" s="2" t="n">
        <v>46094</v>
      </c>
      <c r="B208" s="3" t="s">
        <v>97</v>
      </c>
      <c r="C208" s="0" t="n">
        <v>148</v>
      </c>
      <c r="D208" s="0" t="n">
        <v>4</v>
      </c>
      <c r="E208" s="0" t="str">
        <f aca="false">INDEX(lot!$B$2:$B$1201,MATCH(B208,lot!$A$2:$A$1201,0))</f>
        <v>SUP-C</v>
      </c>
      <c r="F208" s="3" t="n">
        <f aca="false">YEAR(A208)*100+MONTH(A208)</f>
        <v>202603</v>
      </c>
    </row>
    <row r="209" customFormat="false" ht="15" hidden="false" customHeight="false" outlineLevel="0" collapsed="false">
      <c r="A209" s="2" t="n">
        <v>46094</v>
      </c>
      <c r="B209" s="3" t="s">
        <v>134</v>
      </c>
      <c r="C209" s="0" t="n">
        <v>108</v>
      </c>
      <c r="D209" s="0" t="n">
        <v>5</v>
      </c>
      <c r="E209" s="0" t="str">
        <f aca="false">INDEX(lot!$B$2:$B$1201,MATCH(B209,lot!$A$2:$A$1201,0))</f>
        <v>SUP-C</v>
      </c>
      <c r="F209" s="3" t="n">
        <f aca="false">YEAR(A209)*100+MONTH(A209)</f>
        <v>202603</v>
      </c>
    </row>
    <row r="210" customFormat="false" ht="15" hidden="false" customHeight="false" outlineLevel="0" collapsed="false">
      <c r="A210" s="2" t="n">
        <v>46094</v>
      </c>
      <c r="B210" s="3" t="s">
        <v>134</v>
      </c>
      <c r="C210" s="0" t="n">
        <v>88</v>
      </c>
      <c r="D210" s="0" t="n">
        <v>1</v>
      </c>
      <c r="E210" s="0" t="str">
        <f aca="false">INDEX(lot!$B$2:$B$1201,MATCH(B210,lot!$A$2:$A$1201,0))</f>
        <v>SUP-C</v>
      </c>
      <c r="F210" s="3" t="n">
        <f aca="false">YEAR(A210)*100+MONTH(A210)</f>
        <v>202603</v>
      </c>
    </row>
    <row r="211" customFormat="false" ht="15" hidden="false" customHeight="false" outlineLevel="0" collapsed="false">
      <c r="A211" s="2" t="n">
        <v>46094</v>
      </c>
      <c r="B211" s="3" t="s">
        <v>165</v>
      </c>
      <c r="C211" s="0" t="n">
        <v>233</v>
      </c>
      <c r="D211" s="0" t="n">
        <v>5</v>
      </c>
      <c r="E211" s="0" t="str">
        <f aca="false">INDEX(lot!$B$2:$B$1201,MATCH(B211,lot!$A$2:$A$1201,0))</f>
        <v>SUP-C</v>
      </c>
      <c r="F211" s="3" t="n">
        <f aca="false">YEAR(A211)*100+MONTH(A211)</f>
        <v>202603</v>
      </c>
    </row>
    <row r="212" customFormat="false" ht="15" hidden="false" customHeight="false" outlineLevel="0" collapsed="false">
      <c r="A212" s="2" t="n">
        <v>46094</v>
      </c>
      <c r="B212" s="3" t="s">
        <v>165</v>
      </c>
      <c r="C212" s="0" t="n">
        <v>147</v>
      </c>
      <c r="D212" s="0" t="n">
        <v>5</v>
      </c>
      <c r="E212" s="0" t="str">
        <f aca="false">INDEX(lot!$B$2:$B$1201,MATCH(B212,lot!$A$2:$A$1201,0))</f>
        <v>SUP-C</v>
      </c>
      <c r="F212" s="3" t="n">
        <f aca="false">YEAR(A212)*100+MONTH(A212)</f>
        <v>202603</v>
      </c>
    </row>
    <row r="213" customFormat="false" ht="15" hidden="false" customHeight="false" outlineLevel="0" collapsed="false">
      <c r="A213" s="2" t="n">
        <v>46094</v>
      </c>
      <c r="B213" s="3" t="s">
        <v>200</v>
      </c>
      <c r="C213" s="0" t="n">
        <v>134</v>
      </c>
      <c r="D213" s="0" t="n">
        <v>2</v>
      </c>
      <c r="E213" s="0" t="str">
        <f aca="false">INDEX(lot!$B$2:$B$1201,MATCH(B213,lot!$A$2:$A$1201,0))</f>
        <v>SUP-E</v>
      </c>
      <c r="F213" s="3" t="n">
        <f aca="false">YEAR(A213)*100+MONTH(A213)</f>
        <v>202603</v>
      </c>
    </row>
    <row r="214" customFormat="false" ht="15" hidden="false" customHeight="false" outlineLevel="0" collapsed="false">
      <c r="A214" s="2" t="n">
        <v>46094</v>
      </c>
      <c r="B214" s="3" t="s">
        <v>200</v>
      </c>
      <c r="C214" s="0" t="n">
        <v>120</v>
      </c>
      <c r="D214" s="0" t="n">
        <v>1</v>
      </c>
      <c r="E214" s="0" t="str">
        <f aca="false">INDEX(lot!$B$2:$B$1201,MATCH(B214,lot!$A$2:$A$1201,0))</f>
        <v>SUP-E</v>
      </c>
      <c r="F214" s="3" t="n">
        <f aca="false">YEAR(A214)*100+MONTH(A214)</f>
        <v>202603</v>
      </c>
    </row>
    <row r="215" customFormat="false" ht="15" hidden="false" customHeight="false" outlineLevel="0" collapsed="false">
      <c r="A215" s="2" t="n">
        <v>46094</v>
      </c>
      <c r="B215" s="3" t="s">
        <v>245</v>
      </c>
      <c r="C215" s="0" t="n">
        <v>98</v>
      </c>
      <c r="D215" s="0" t="n">
        <v>1</v>
      </c>
      <c r="E215" s="0" t="str">
        <f aca="false">INDEX(lot!$B$2:$B$1201,MATCH(B215,lot!$A$2:$A$1201,0))</f>
        <v>SUP-E</v>
      </c>
      <c r="F215" s="3" t="n">
        <f aca="false">YEAR(A215)*100+MONTH(A215)</f>
        <v>202603</v>
      </c>
    </row>
    <row r="216" customFormat="false" ht="15" hidden="false" customHeight="false" outlineLevel="0" collapsed="false">
      <c r="A216" s="2" t="n">
        <v>46094</v>
      </c>
      <c r="B216" s="3" t="s">
        <v>245</v>
      </c>
      <c r="C216" s="0" t="n">
        <v>129</v>
      </c>
      <c r="D216" s="0" t="n">
        <v>1</v>
      </c>
      <c r="E216" s="0" t="str">
        <f aca="false">INDEX(lot!$B$2:$B$1201,MATCH(B216,lot!$A$2:$A$1201,0))</f>
        <v>SUP-E</v>
      </c>
      <c r="F216" s="3" t="n">
        <f aca="false">YEAR(A216)*100+MONTH(A216)</f>
        <v>202603</v>
      </c>
    </row>
    <row r="217" customFormat="false" ht="15" hidden="false" customHeight="false" outlineLevel="0" collapsed="false">
      <c r="A217" s="2" t="n">
        <v>46094</v>
      </c>
      <c r="B217" s="3" t="s">
        <v>270</v>
      </c>
      <c r="C217" s="0" t="n">
        <v>97</v>
      </c>
      <c r="D217" s="0" t="n">
        <v>3</v>
      </c>
      <c r="E217" s="0" t="str">
        <f aca="false">INDEX(lot!$B$2:$B$1201,MATCH(B217,lot!$A$2:$A$1201,0))</f>
        <v>SUP-C</v>
      </c>
      <c r="F217" s="3" t="n">
        <f aca="false">YEAR(A217)*100+MONTH(A217)</f>
        <v>202603</v>
      </c>
    </row>
    <row r="218" customFormat="false" ht="15" hidden="false" customHeight="false" outlineLevel="0" collapsed="false">
      <c r="A218" s="2" t="n">
        <v>46094</v>
      </c>
      <c r="B218" s="3" t="s">
        <v>296</v>
      </c>
      <c r="C218" s="0" t="n">
        <v>76</v>
      </c>
      <c r="D218" s="0" t="n">
        <v>6</v>
      </c>
      <c r="E218" s="0" t="str">
        <f aca="false">INDEX(lot!$B$2:$B$1201,MATCH(B218,lot!$A$2:$A$1201,0))</f>
        <v>SUP-A</v>
      </c>
      <c r="F218" s="3" t="n">
        <f aca="false">YEAR(A218)*100+MONTH(A218)</f>
        <v>202603</v>
      </c>
    </row>
    <row r="219" customFormat="false" ht="15" hidden="false" customHeight="false" outlineLevel="0" collapsed="false">
      <c r="A219" s="2" t="n">
        <v>46094</v>
      </c>
      <c r="B219" s="3" t="s">
        <v>296</v>
      </c>
      <c r="C219" s="0" t="n">
        <v>63</v>
      </c>
      <c r="D219" s="0" t="n">
        <v>5</v>
      </c>
      <c r="E219" s="0" t="str">
        <f aca="false">INDEX(lot!$B$2:$B$1201,MATCH(B219,lot!$A$2:$A$1201,0))</f>
        <v>SUP-A</v>
      </c>
      <c r="F219" s="3" t="n">
        <f aca="false">YEAR(A219)*100+MONTH(A219)</f>
        <v>202603</v>
      </c>
    </row>
    <row r="220" customFormat="false" ht="15" hidden="false" customHeight="false" outlineLevel="0" collapsed="false">
      <c r="A220" s="2" t="n">
        <v>46094</v>
      </c>
      <c r="B220" s="3" t="s">
        <v>317</v>
      </c>
      <c r="C220" s="0" t="n">
        <v>131</v>
      </c>
      <c r="D220" s="0" t="n">
        <v>3</v>
      </c>
      <c r="E220" s="0" t="str">
        <f aca="false">INDEX(lot!$B$2:$B$1201,MATCH(B220,lot!$A$2:$A$1201,0))</f>
        <v>SUP-C</v>
      </c>
      <c r="F220" s="3" t="n">
        <f aca="false">YEAR(A220)*100+MONTH(A220)</f>
        <v>202603</v>
      </c>
    </row>
    <row r="221" customFormat="false" ht="15" hidden="false" customHeight="false" outlineLevel="0" collapsed="false">
      <c r="A221" s="2" t="n">
        <v>46094</v>
      </c>
      <c r="B221" s="3" t="s">
        <v>317</v>
      </c>
      <c r="C221" s="0" t="n">
        <v>218</v>
      </c>
      <c r="D221" s="0" t="n">
        <v>3</v>
      </c>
      <c r="E221" s="0" t="str">
        <f aca="false">INDEX(lot!$B$2:$B$1201,MATCH(B221,lot!$A$2:$A$1201,0))</f>
        <v>SUP-C</v>
      </c>
      <c r="F221" s="3" t="n">
        <f aca="false">YEAR(A221)*100+MONTH(A221)</f>
        <v>202603</v>
      </c>
    </row>
    <row r="222" customFormat="false" ht="15" hidden="false" customHeight="false" outlineLevel="0" collapsed="false">
      <c r="A222" s="2" t="n">
        <v>46094</v>
      </c>
      <c r="B222" s="3" t="s">
        <v>417</v>
      </c>
      <c r="C222" s="0" t="n">
        <v>84</v>
      </c>
      <c r="D222" s="0" t="n">
        <v>1</v>
      </c>
      <c r="E222" s="0" t="str">
        <f aca="false">INDEX(lot!$B$2:$B$1201,MATCH(B222,lot!$A$2:$A$1201,0))</f>
        <v>SUP-D</v>
      </c>
      <c r="F222" s="3" t="n">
        <f aca="false">YEAR(A222)*100+MONTH(A222)</f>
        <v>202603</v>
      </c>
    </row>
    <row r="223" customFormat="false" ht="15" hidden="false" customHeight="false" outlineLevel="0" collapsed="false">
      <c r="A223" s="2" t="n">
        <v>46094</v>
      </c>
      <c r="B223" s="3" t="s">
        <v>462</v>
      </c>
      <c r="C223" s="0" t="n">
        <v>238</v>
      </c>
      <c r="D223" s="0" t="n">
        <v>2</v>
      </c>
      <c r="E223" s="0" t="str">
        <f aca="false">INDEX(lot!$B$2:$B$1201,MATCH(B223,lot!$A$2:$A$1201,0))</f>
        <v>SUP-D</v>
      </c>
      <c r="F223" s="3" t="n">
        <f aca="false">YEAR(A223)*100+MONTH(A223)</f>
        <v>202603</v>
      </c>
    </row>
    <row r="224" customFormat="false" ht="15" hidden="false" customHeight="false" outlineLevel="0" collapsed="false">
      <c r="A224" s="2" t="n">
        <v>46094</v>
      </c>
      <c r="B224" s="3" t="s">
        <v>491</v>
      </c>
      <c r="C224" s="0" t="n">
        <v>220</v>
      </c>
      <c r="D224" s="0" t="n">
        <v>3</v>
      </c>
      <c r="E224" s="0" t="str">
        <f aca="false">INDEX(lot!$B$2:$B$1201,MATCH(B224,lot!$A$2:$A$1201,0))</f>
        <v>SUP-E</v>
      </c>
      <c r="F224" s="3" t="n">
        <f aca="false">YEAR(A224)*100+MONTH(A224)</f>
        <v>202603</v>
      </c>
    </row>
    <row r="225" customFormat="false" ht="15" hidden="false" customHeight="false" outlineLevel="0" collapsed="false">
      <c r="A225" s="2" t="n">
        <v>46094</v>
      </c>
      <c r="B225" s="3" t="s">
        <v>505</v>
      </c>
      <c r="C225" s="0" t="n">
        <v>214</v>
      </c>
      <c r="D225" s="0" t="n">
        <v>1</v>
      </c>
      <c r="E225" s="0" t="str">
        <f aca="false">INDEX(lot!$B$2:$B$1201,MATCH(B225,lot!$A$2:$A$1201,0))</f>
        <v>SUP-E</v>
      </c>
      <c r="F225" s="3" t="n">
        <f aca="false">YEAR(A225)*100+MONTH(A225)</f>
        <v>202603</v>
      </c>
    </row>
    <row r="226" customFormat="false" ht="15" hidden="false" customHeight="false" outlineLevel="0" collapsed="false">
      <c r="A226" s="2" t="n">
        <v>46094</v>
      </c>
      <c r="B226" s="3" t="s">
        <v>505</v>
      </c>
      <c r="C226" s="0" t="n">
        <v>169</v>
      </c>
      <c r="D226" s="0" t="n">
        <v>1</v>
      </c>
      <c r="E226" s="0" t="str">
        <f aca="false">INDEX(lot!$B$2:$B$1201,MATCH(B226,lot!$A$2:$A$1201,0))</f>
        <v>SUP-E</v>
      </c>
      <c r="F226" s="3" t="n">
        <f aca="false">YEAR(A226)*100+MONTH(A226)</f>
        <v>202603</v>
      </c>
    </row>
    <row r="227" customFormat="false" ht="15" hidden="false" customHeight="false" outlineLevel="0" collapsed="false">
      <c r="A227" s="2" t="n">
        <v>46094</v>
      </c>
      <c r="B227" s="3" t="s">
        <v>531</v>
      </c>
      <c r="C227" s="0" t="n">
        <v>218</v>
      </c>
      <c r="D227" s="0" t="n">
        <v>8</v>
      </c>
      <c r="E227" s="0" t="str">
        <f aca="false">INDEX(lot!$B$2:$B$1201,MATCH(B227,lot!$A$2:$A$1201,0))</f>
        <v>SUP-D</v>
      </c>
      <c r="F227" s="3" t="n">
        <f aca="false">YEAR(A227)*100+MONTH(A227)</f>
        <v>202603</v>
      </c>
    </row>
    <row r="228" customFormat="false" ht="15" hidden="false" customHeight="false" outlineLevel="0" collapsed="false">
      <c r="A228" s="2" t="n">
        <v>46094</v>
      </c>
      <c r="B228" s="3" t="s">
        <v>554</v>
      </c>
      <c r="C228" s="0" t="n">
        <v>132</v>
      </c>
      <c r="D228" s="0" t="n">
        <v>1</v>
      </c>
      <c r="E228" s="0" t="str">
        <f aca="false">INDEX(lot!$B$2:$B$1201,MATCH(B228,lot!$A$2:$A$1201,0))</f>
        <v>SUP-D</v>
      </c>
      <c r="F228" s="3" t="n">
        <f aca="false">YEAR(A228)*100+MONTH(A228)</f>
        <v>202603</v>
      </c>
    </row>
    <row r="229" customFormat="false" ht="15" hidden="false" customHeight="false" outlineLevel="0" collapsed="false">
      <c r="A229" s="2" t="n">
        <v>46094</v>
      </c>
      <c r="B229" s="3" t="s">
        <v>573</v>
      </c>
      <c r="C229" s="0" t="n">
        <v>87</v>
      </c>
      <c r="D229" s="0" t="n">
        <v>3</v>
      </c>
      <c r="E229" s="0" t="str">
        <f aca="false">INDEX(lot!$B$2:$B$1201,MATCH(B229,lot!$A$2:$A$1201,0))</f>
        <v>SUP-C</v>
      </c>
      <c r="F229" s="3" t="n">
        <f aca="false">YEAR(A229)*100+MONTH(A229)</f>
        <v>202603</v>
      </c>
    </row>
    <row r="230" customFormat="false" ht="15" hidden="false" customHeight="false" outlineLevel="0" collapsed="false">
      <c r="A230" s="2" t="n">
        <v>46094</v>
      </c>
      <c r="B230" s="3" t="s">
        <v>650</v>
      </c>
      <c r="C230" s="0" t="n">
        <v>220</v>
      </c>
      <c r="D230" s="0" t="n">
        <v>1</v>
      </c>
      <c r="E230" s="0" t="str">
        <f aca="false">INDEX(lot!$B$2:$B$1201,MATCH(B230,lot!$A$2:$A$1201,0))</f>
        <v>SUP-D</v>
      </c>
      <c r="F230" s="3" t="n">
        <f aca="false">YEAR(A230)*100+MONTH(A230)</f>
        <v>202603</v>
      </c>
    </row>
    <row r="231" customFormat="false" ht="15" hidden="false" customHeight="false" outlineLevel="0" collapsed="false">
      <c r="A231" s="2" t="n">
        <v>46094</v>
      </c>
      <c r="B231" s="3" t="s">
        <v>688</v>
      </c>
      <c r="C231" s="0" t="n">
        <v>237</v>
      </c>
      <c r="D231" s="0" t="n">
        <v>8</v>
      </c>
      <c r="E231" s="0" t="str">
        <f aca="false">INDEX(lot!$B$2:$B$1201,MATCH(B231,lot!$A$2:$A$1201,0))</f>
        <v>SUP-C</v>
      </c>
      <c r="F231" s="3" t="n">
        <f aca="false">YEAR(A231)*100+MONTH(A231)</f>
        <v>202603</v>
      </c>
    </row>
    <row r="232" customFormat="false" ht="15" hidden="false" customHeight="false" outlineLevel="0" collapsed="false">
      <c r="A232" s="2" t="n">
        <v>46094</v>
      </c>
      <c r="B232" s="3" t="s">
        <v>688</v>
      </c>
      <c r="C232" s="0" t="n">
        <v>186</v>
      </c>
      <c r="D232" s="0" t="n">
        <v>3</v>
      </c>
      <c r="E232" s="0" t="str">
        <f aca="false">INDEX(lot!$B$2:$B$1201,MATCH(B232,lot!$A$2:$A$1201,0))</f>
        <v>SUP-C</v>
      </c>
      <c r="F232" s="3" t="n">
        <f aca="false">YEAR(A232)*100+MONTH(A232)</f>
        <v>202603</v>
      </c>
    </row>
    <row r="233" customFormat="false" ht="15" hidden="false" customHeight="false" outlineLevel="0" collapsed="false">
      <c r="A233" s="2" t="n">
        <v>46094</v>
      </c>
      <c r="B233" s="3" t="s">
        <v>800</v>
      </c>
      <c r="C233" s="0" t="n">
        <v>214</v>
      </c>
      <c r="D233" s="0" t="n">
        <v>0</v>
      </c>
      <c r="E233" s="0" t="str">
        <f aca="false">INDEX(lot!$B$2:$B$1201,MATCH(B233,lot!$A$2:$A$1201,0))</f>
        <v>SUP-D</v>
      </c>
      <c r="F233" s="3" t="n">
        <f aca="false">YEAR(A233)*100+MONTH(A233)</f>
        <v>202603</v>
      </c>
    </row>
    <row r="234" customFormat="false" ht="15" hidden="false" customHeight="false" outlineLevel="0" collapsed="false">
      <c r="A234" s="2" t="n">
        <v>46094</v>
      </c>
      <c r="B234" s="3" t="s">
        <v>800</v>
      </c>
      <c r="C234" s="0" t="n">
        <v>198</v>
      </c>
      <c r="D234" s="0" t="n">
        <v>2</v>
      </c>
      <c r="E234" s="0" t="str">
        <f aca="false">INDEX(lot!$B$2:$B$1201,MATCH(B234,lot!$A$2:$A$1201,0))</f>
        <v>SUP-D</v>
      </c>
      <c r="F234" s="3" t="n">
        <f aca="false">YEAR(A234)*100+MONTH(A234)</f>
        <v>202603</v>
      </c>
    </row>
    <row r="235" customFormat="false" ht="15" hidden="false" customHeight="false" outlineLevel="0" collapsed="false">
      <c r="A235" s="2" t="n">
        <v>46094</v>
      </c>
      <c r="B235" s="3" t="s">
        <v>869</v>
      </c>
      <c r="C235" s="0" t="n">
        <v>88</v>
      </c>
      <c r="D235" s="0" t="n">
        <v>1</v>
      </c>
      <c r="E235" s="0" t="str">
        <f aca="false">INDEX(lot!$B$2:$B$1201,MATCH(B235,lot!$A$2:$A$1201,0))</f>
        <v>SUP-D</v>
      </c>
      <c r="F235" s="3" t="n">
        <f aca="false">YEAR(A235)*100+MONTH(A235)</f>
        <v>202603</v>
      </c>
    </row>
    <row r="236" customFormat="false" ht="15" hidden="false" customHeight="false" outlineLevel="0" collapsed="false">
      <c r="A236" s="2" t="n">
        <v>46094</v>
      </c>
      <c r="B236" s="3" t="s">
        <v>884</v>
      </c>
      <c r="C236" s="0" t="n">
        <v>173</v>
      </c>
      <c r="D236" s="0" t="n">
        <v>2</v>
      </c>
      <c r="E236" s="0" t="str">
        <f aca="false">INDEX(lot!$B$2:$B$1201,MATCH(B236,lot!$A$2:$A$1201,0))</f>
        <v>SUP-D</v>
      </c>
      <c r="F236" s="3" t="n">
        <f aca="false">YEAR(A236)*100+MONTH(A236)</f>
        <v>202603</v>
      </c>
    </row>
    <row r="237" customFormat="false" ht="15" hidden="false" customHeight="false" outlineLevel="0" collapsed="false">
      <c r="A237" s="2" t="n">
        <v>46094</v>
      </c>
      <c r="B237" s="3" t="s">
        <v>1050</v>
      </c>
      <c r="C237" s="0" t="n">
        <v>113</v>
      </c>
      <c r="D237" s="0" t="n">
        <v>1</v>
      </c>
      <c r="E237" s="0" t="str">
        <f aca="false">INDEX(lot!$B$2:$B$1201,MATCH(B237,lot!$A$2:$A$1201,0))</f>
        <v>SUP-D</v>
      </c>
      <c r="F237" s="3" t="n">
        <f aca="false">YEAR(A237)*100+MONTH(A237)</f>
        <v>202603</v>
      </c>
    </row>
    <row r="238" customFormat="false" ht="15" hidden="false" customHeight="false" outlineLevel="0" collapsed="false">
      <c r="A238" s="2" t="n">
        <v>46094</v>
      </c>
      <c r="B238" s="3" t="s">
        <v>1050</v>
      </c>
      <c r="C238" s="0" t="n">
        <v>92</v>
      </c>
      <c r="D238" s="0" t="n">
        <v>0</v>
      </c>
      <c r="E238" s="0" t="str">
        <f aca="false">INDEX(lot!$B$2:$B$1201,MATCH(B238,lot!$A$2:$A$1201,0))</f>
        <v>SUP-D</v>
      </c>
      <c r="F238" s="3" t="n">
        <f aca="false">YEAR(A238)*100+MONTH(A238)</f>
        <v>202603</v>
      </c>
    </row>
    <row r="239" customFormat="false" ht="15" hidden="false" customHeight="false" outlineLevel="0" collapsed="false">
      <c r="A239" s="2" t="n">
        <v>46094</v>
      </c>
      <c r="B239" s="3" t="s">
        <v>1145</v>
      </c>
      <c r="C239" s="0" t="n">
        <v>250</v>
      </c>
      <c r="D239" s="0" t="n">
        <v>3</v>
      </c>
      <c r="E239" s="0" t="str">
        <f aca="false">INDEX(lot!$B$2:$B$1201,MATCH(B239,lot!$A$2:$A$1201,0))</f>
        <v>SUP-E</v>
      </c>
      <c r="F239" s="3" t="n">
        <f aca="false">YEAR(A239)*100+MONTH(A239)</f>
        <v>202603</v>
      </c>
    </row>
    <row r="240" customFormat="false" ht="15" hidden="false" customHeight="false" outlineLevel="0" collapsed="false">
      <c r="A240" s="2" t="n">
        <v>46094</v>
      </c>
      <c r="B240" s="3" t="s">
        <v>1153</v>
      </c>
      <c r="C240" s="0" t="n">
        <v>91</v>
      </c>
      <c r="D240" s="0" t="n">
        <v>0</v>
      </c>
      <c r="E240" s="0" t="str">
        <f aca="false">INDEX(lot!$B$2:$B$1201,MATCH(B240,lot!$A$2:$A$1201,0))</f>
        <v>SUP-E</v>
      </c>
      <c r="F240" s="3" t="n">
        <f aca="false">YEAR(A240)*100+MONTH(A240)</f>
        <v>202603</v>
      </c>
    </row>
    <row r="241" customFormat="false" ht="15" hidden="false" customHeight="false" outlineLevel="0" collapsed="false">
      <c r="A241" s="2" t="n">
        <v>46094</v>
      </c>
      <c r="B241" s="3" t="s">
        <v>1153</v>
      </c>
      <c r="C241" s="0" t="n">
        <v>185</v>
      </c>
      <c r="D241" s="0" t="n">
        <v>2</v>
      </c>
      <c r="E241" s="0" t="str">
        <f aca="false">INDEX(lot!$B$2:$B$1201,MATCH(B241,lot!$A$2:$A$1201,0))</f>
        <v>SUP-E</v>
      </c>
      <c r="F241" s="3" t="n">
        <f aca="false">YEAR(A241)*100+MONTH(A241)</f>
        <v>202603</v>
      </c>
    </row>
    <row r="242" customFormat="false" ht="15" hidden="false" customHeight="false" outlineLevel="0" collapsed="false">
      <c r="A242" s="2" t="n">
        <v>46094</v>
      </c>
      <c r="B242" s="3" t="s">
        <v>1177</v>
      </c>
      <c r="C242" s="0" t="n">
        <v>139</v>
      </c>
      <c r="D242" s="0" t="n">
        <v>0</v>
      </c>
      <c r="E242" s="0" t="str">
        <f aca="false">INDEX(lot!$B$2:$B$1201,MATCH(B242,lot!$A$2:$A$1201,0))</f>
        <v>SUP-E</v>
      </c>
      <c r="F242" s="3" t="n">
        <f aca="false">YEAR(A242)*100+MONTH(A242)</f>
        <v>202603</v>
      </c>
    </row>
    <row r="243" customFormat="false" ht="15" hidden="false" customHeight="false" outlineLevel="0" collapsed="false">
      <c r="A243" s="2" t="n">
        <v>46094</v>
      </c>
      <c r="B243" s="3" t="s">
        <v>1177</v>
      </c>
      <c r="C243" s="0" t="n">
        <v>215</v>
      </c>
      <c r="D243" s="0" t="n">
        <v>0</v>
      </c>
      <c r="E243" s="0" t="str">
        <f aca="false">INDEX(lot!$B$2:$B$1201,MATCH(B243,lot!$A$2:$A$1201,0))</f>
        <v>SUP-E</v>
      </c>
      <c r="F243" s="3" t="n">
        <f aca="false">YEAR(A243)*100+MONTH(A243)</f>
        <v>202603</v>
      </c>
    </row>
    <row r="244" customFormat="false" ht="15" hidden="false" customHeight="false" outlineLevel="0" collapsed="false">
      <c r="A244" s="2" t="n">
        <v>46097</v>
      </c>
      <c r="B244" s="3" t="s">
        <v>86</v>
      </c>
      <c r="C244" s="0" t="n">
        <v>106</v>
      </c>
      <c r="D244" s="0" t="n">
        <v>6</v>
      </c>
      <c r="E244" s="0" t="str">
        <f aca="false">INDEX(lot!$B$2:$B$1201,MATCH(B244,lot!$A$2:$A$1201,0))</f>
        <v>SUP-E</v>
      </c>
      <c r="F244" s="3" t="n">
        <f aca="false">YEAR(A244)*100+MONTH(A244)</f>
        <v>202603</v>
      </c>
    </row>
    <row r="245" customFormat="false" ht="15" hidden="false" customHeight="false" outlineLevel="0" collapsed="false">
      <c r="A245" s="2" t="n">
        <v>46097</v>
      </c>
      <c r="B245" s="3" t="s">
        <v>93</v>
      </c>
      <c r="C245" s="0" t="n">
        <v>116</v>
      </c>
      <c r="D245" s="0" t="n">
        <v>3</v>
      </c>
      <c r="E245" s="0" t="str">
        <f aca="false">INDEX(lot!$B$2:$B$1201,MATCH(B245,lot!$A$2:$A$1201,0))</f>
        <v>SUP-C</v>
      </c>
      <c r="F245" s="3" t="n">
        <f aca="false">YEAR(A245)*100+MONTH(A245)</f>
        <v>202603</v>
      </c>
    </row>
    <row r="246" customFormat="false" ht="15" hidden="false" customHeight="false" outlineLevel="0" collapsed="false">
      <c r="A246" s="2" t="n">
        <v>46097</v>
      </c>
      <c r="B246" s="3" t="s">
        <v>93</v>
      </c>
      <c r="C246" s="0" t="n">
        <v>243</v>
      </c>
      <c r="D246" s="0" t="n">
        <v>5</v>
      </c>
      <c r="E246" s="0" t="str">
        <f aca="false">INDEX(lot!$B$2:$B$1201,MATCH(B246,lot!$A$2:$A$1201,0))</f>
        <v>SUP-C</v>
      </c>
      <c r="F246" s="3" t="n">
        <f aca="false">YEAR(A246)*100+MONTH(A246)</f>
        <v>202603</v>
      </c>
    </row>
    <row r="247" customFormat="false" ht="15" hidden="false" customHeight="false" outlineLevel="0" collapsed="false">
      <c r="A247" s="2" t="n">
        <v>46097</v>
      </c>
      <c r="B247" s="3" t="s">
        <v>97</v>
      </c>
      <c r="C247" s="0" t="n">
        <v>115</v>
      </c>
      <c r="D247" s="0" t="n">
        <v>4</v>
      </c>
      <c r="E247" s="0" t="str">
        <f aca="false">INDEX(lot!$B$2:$B$1201,MATCH(B247,lot!$A$2:$A$1201,0))</f>
        <v>SUP-C</v>
      </c>
      <c r="F247" s="3" t="n">
        <f aca="false">YEAR(A247)*100+MONTH(A247)</f>
        <v>202603</v>
      </c>
    </row>
    <row r="248" customFormat="false" ht="15" hidden="false" customHeight="false" outlineLevel="0" collapsed="false">
      <c r="A248" s="2" t="n">
        <v>46097</v>
      </c>
      <c r="B248" s="3" t="s">
        <v>97</v>
      </c>
      <c r="C248" s="0" t="n">
        <v>221</v>
      </c>
      <c r="D248" s="0" t="n">
        <v>7</v>
      </c>
      <c r="E248" s="0" t="str">
        <f aca="false">INDEX(lot!$B$2:$B$1201,MATCH(B248,lot!$A$2:$A$1201,0))</f>
        <v>SUP-C</v>
      </c>
      <c r="F248" s="3" t="n">
        <f aca="false">YEAR(A248)*100+MONTH(A248)</f>
        <v>202603</v>
      </c>
    </row>
    <row r="249" customFormat="false" ht="15" hidden="false" customHeight="false" outlineLevel="0" collapsed="false">
      <c r="A249" s="2" t="n">
        <v>46097</v>
      </c>
      <c r="B249" s="3" t="s">
        <v>144</v>
      </c>
      <c r="C249" s="0" t="n">
        <v>204</v>
      </c>
      <c r="D249" s="0" t="n">
        <v>3</v>
      </c>
      <c r="E249" s="0" t="str">
        <f aca="false">INDEX(lot!$B$2:$B$1201,MATCH(B249,lot!$A$2:$A$1201,0))</f>
        <v>SUP-D</v>
      </c>
      <c r="F249" s="3" t="n">
        <f aca="false">YEAR(A249)*100+MONTH(A249)</f>
        <v>202603</v>
      </c>
    </row>
    <row r="250" customFormat="false" ht="15" hidden="false" customHeight="false" outlineLevel="0" collapsed="false">
      <c r="A250" s="2" t="n">
        <v>46097</v>
      </c>
      <c r="B250" s="3" t="s">
        <v>144</v>
      </c>
      <c r="C250" s="0" t="n">
        <v>243</v>
      </c>
      <c r="D250" s="0" t="n">
        <v>2</v>
      </c>
      <c r="E250" s="0" t="str">
        <f aca="false">INDEX(lot!$B$2:$B$1201,MATCH(B250,lot!$A$2:$A$1201,0))</f>
        <v>SUP-D</v>
      </c>
      <c r="F250" s="3" t="n">
        <f aca="false">YEAR(A250)*100+MONTH(A250)</f>
        <v>202603</v>
      </c>
    </row>
    <row r="251" customFormat="false" ht="15" hidden="false" customHeight="false" outlineLevel="0" collapsed="false">
      <c r="A251" s="2" t="n">
        <v>46097</v>
      </c>
      <c r="B251" s="3" t="s">
        <v>213</v>
      </c>
      <c r="C251" s="0" t="n">
        <v>141</v>
      </c>
      <c r="D251" s="0" t="n">
        <v>0</v>
      </c>
      <c r="E251" s="0" t="str">
        <f aca="false">INDEX(lot!$B$2:$B$1201,MATCH(B251,lot!$A$2:$A$1201,0))</f>
        <v>SUP-D</v>
      </c>
      <c r="F251" s="3" t="n">
        <f aca="false">YEAR(A251)*100+MONTH(A251)</f>
        <v>202603</v>
      </c>
    </row>
    <row r="252" customFormat="false" ht="15" hidden="false" customHeight="false" outlineLevel="0" collapsed="false">
      <c r="A252" s="2" t="n">
        <v>46097</v>
      </c>
      <c r="B252" s="3" t="s">
        <v>326</v>
      </c>
      <c r="C252" s="0" t="n">
        <v>243</v>
      </c>
      <c r="D252" s="0" t="n">
        <v>8</v>
      </c>
      <c r="E252" s="0" t="str">
        <f aca="false">INDEX(lot!$B$2:$B$1201,MATCH(B252,lot!$A$2:$A$1201,0))</f>
        <v>SUP-C</v>
      </c>
      <c r="F252" s="3" t="n">
        <f aca="false">YEAR(A252)*100+MONTH(A252)</f>
        <v>202603</v>
      </c>
    </row>
    <row r="253" customFormat="false" ht="15" hidden="false" customHeight="false" outlineLevel="0" collapsed="false">
      <c r="A253" s="2" t="n">
        <v>46097</v>
      </c>
      <c r="B253" s="3" t="s">
        <v>326</v>
      </c>
      <c r="C253" s="0" t="n">
        <v>122</v>
      </c>
      <c r="D253" s="0" t="n">
        <v>3</v>
      </c>
      <c r="E253" s="0" t="str">
        <f aca="false">INDEX(lot!$B$2:$B$1201,MATCH(B253,lot!$A$2:$A$1201,0))</f>
        <v>SUP-C</v>
      </c>
      <c r="F253" s="3" t="n">
        <f aca="false">YEAR(A253)*100+MONTH(A253)</f>
        <v>202603</v>
      </c>
    </row>
    <row r="254" customFormat="false" ht="15" hidden="false" customHeight="false" outlineLevel="0" collapsed="false">
      <c r="A254" s="2" t="n">
        <v>46097</v>
      </c>
      <c r="B254" s="3" t="s">
        <v>432</v>
      </c>
      <c r="C254" s="0" t="n">
        <v>205</v>
      </c>
      <c r="D254" s="0" t="n">
        <v>22</v>
      </c>
      <c r="E254" s="0" t="str">
        <f aca="false">INDEX(lot!$B$2:$B$1201,MATCH(B254,lot!$A$2:$A$1201,0))</f>
        <v>SUP-C</v>
      </c>
      <c r="F254" s="3" t="n">
        <f aca="false">YEAR(A254)*100+MONTH(A254)</f>
        <v>202603</v>
      </c>
    </row>
    <row r="255" customFormat="false" ht="15" hidden="false" customHeight="false" outlineLevel="0" collapsed="false">
      <c r="A255" s="2" t="n">
        <v>46097</v>
      </c>
      <c r="B255" s="3" t="s">
        <v>432</v>
      </c>
      <c r="C255" s="0" t="n">
        <v>188</v>
      </c>
      <c r="D255" s="0" t="n">
        <v>31</v>
      </c>
      <c r="E255" s="0" t="str">
        <f aca="false">INDEX(lot!$B$2:$B$1201,MATCH(B255,lot!$A$2:$A$1201,0))</f>
        <v>SUP-C</v>
      </c>
      <c r="F255" s="3" t="n">
        <f aca="false">YEAR(A255)*100+MONTH(A255)</f>
        <v>202603</v>
      </c>
    </row>
    <row r="256" customFormat="false" ht="15" hidden="false" customHeight="false" outlineLevel="0" collapsed="false">
      <c r="A256" s="2" t="n">
        <v>46097</v>
      </c>
      <c r="B256" s="3" t="s">
        <v>491</v>
      </c>
      <c r="C256" s="0" t="n">
        <v>195</v>
      </c>
      <c r="D256" s="0" t="n">
        <v>3</v>
      </c>
      <c r="E256" s="0" t="str">
        <f aca="false">INDEX(lot!$B$2:$B$1201,MATCH(B256,lot!$A$2:$A$1201,0))</f>
        <v>SUP-E</v>
      </c>
      <c r="F256" s="3" t="n">
        <f aca="false">YEAR(A256)*100+MONTH(A256)</f>
        <v>202603</v>
      </c>
    </row>
    <row r="257" customFormat="false" ht="15" hidden="false" customHeight="false" outlineLevel="0" collapsed="false">
      <c r="A257" s="2" t="n">
        <v>46097</v>
      </c>
      <c r="B257" s="3" t="s">
        <v>531</v>
      </c>
      <c r="C257" s="0" t="n">
        <v>186</v>
      </c>
      <c r="D257" s="0" t="n">
        <v>15</v>
      </c>
      <c r="E257" s="0" t="str">
        <f aca="false">INDEX(lot!$B$2:$B$1201,MATCH(B257,lot!$A$2:$A$1201,0))</f>
        <v>SUP-D</v>
      </c>
      <c r="F257" s="3" t="n">
        <f aca="false">YEAR(A257)*100+MONTH(A257)</f>
        <v>202603</v>
      </c>
    </row>
    <row r="258" customFormat="false" ht="15" hidden="false" customHeight="false" outlineLevel="0" collapsed="false">
      <c r="A258" s="2" t="n">
        <v>46097</v>
      </c>
      <c r="B258" s="3" t="s">
        <v>554</v>
      </c>
      <c r="C258" s="0" t="n">
        <v>77</v>
      </c>
      <c r="D258" s="0" t="n">
        <v>0</v>
      </c>
      <c r="E258" s="0" t="str">
        <f aca="false">INDEX(lot!$B$2:$B$1201,MATCH(B258,lot!$A$2:$A$1201,0))</f>
        <v>SUP-D</v>
      </c>
      <c r="F258" s="3" t="n">
        <f aca="false">YEAR(A258)*100+MONTH(A258)</f>
        <v>202603</v>
      </c>
    </row>
    <row r="259" customFormat="false" ht="15" hidden="false" customHeight="false" outlineLevel="0" collapsed="false">
      <c r="A259" s="2" t="n">
        <v>46097</v>
      </c>
      <c r="B259" s="3" t="s">
        <v>573</v>
      </c>
      <c r="C259" s="0" t="n">
        <v>173</v>
      </c>
      <c r="D259" s="0" t="n">
        <v>5</v>
      </c>
      <c r="E259" s="0" t="str">
        <f aca="false">INDEX(lot!$B$2:$B$1201,MATCH(B259,lot!$A$2:$A$1201,0))</f>
        <v>SUP-C</v>
      </c>
      <c r="F259" s="3" t="n">
        <f aca="false">YEAR(A259)*100+MONTH(A259)</f>
        <v>202603</v>
      </c>
    </row>
    <row r="260" customFormat="false" ht="15" hidden="false" customHeight="false" outlineLevel="0" collapsed="false">
      <c r="A260" s="2" t="n">
        <v>46097</v>
      </c>
      <c r="B260" s="3" t="s">
        <v>610</v>
      </c>
      <c r="C260" s="0" t="n">
        <v>121</v>
      </c>
      <c r="D260" s="0" t="n">
        <v>2</v>
      </c>
      <c r="E260" s="0" t="str">
        <f aca="false">INDEX(lot!$B$2:$B$1201,MATCH(B260,lot!$A$2:$A$1201,0))</f>
        <v>SUP-C</v>
      </c>
      <c r="F260" s="3" t="n">
        <f aca="false">YEAR(A260)*100+MONTH(A260)</f>
        <v>202603</v>
      </c>
    </row>
    <row r="261" customFormat="false" ht="15" hidden="false" customHeight="false" outlineLevel="0" collapsed="false">
      <c r="A261" s="2" t="n">
        <v>46097</v>
      </c>
      <c r="B261" s="3" t="s">
        <v>610</v>
      </c>
      <c r="C261" s="0" t="n">
        <v>87</v>
      </c>
      <c r="D261" s="0" t="n">
        <v>1</v>
      </c>
      <c r="E261" s="0" t="str">
        <f aca="false">INDEX(lot!$B$2:$B$1201,MATCH(B261,lot!$A$2:$A$1201,0))</f>
        <v>SUP-C</v>
      </c>
      <c r="F261" s="3" t="n">
        <f aca="false">YEAR(A261)*100+MONTH(A261)</f>
        <v>202603</v>
      </c>
    </row>
    <row r="262" customFormat="false" ht="15" hidden="false" customHeight="false" outlineLevel="0" collapsed="false">
      <c r="A262" s="2" t="n">
        <v>46097</v>
      </c>
      <c r="B262" s="3" t="s">
        <v>650</v>
      </c>
      <c r="C262" s="0" t="n">
        <v>100</v>
      </c>
      <c r="D262" s="0" t="n">
        <v>1</v>
      </c>
      <c r="E262" s="0" t="str">
        <f aca="false">INDEX(lot!$B$2:$B$1201,MATCH(B262,lot!$A$2:$A$1201,0))</f>
        <v>SUP-D</v>
      </c>
      <c r="F262" s="3" t="n">
        <f aca="false">YEAR(A262)*100+MONTH(A262)</f>
        <v>202603</v>
      </c>
    </row>
    <row r="263" customFormat="false" ht="15" hidden="false" customHeight="false" outlineLevel="0" collapsed="false">
      <c r="A263" s="2" t="n">
        <v>46097</v>
      </c>
      <c r="B263" s="3" t="s">
        <v>650</v>
      </c>
      <c r="C263" s="0" t="n">
        <v>104</v>
      </c>
      <c r="D263" s="0" t="n">
        <v>1</v>
      </c>
      <c r="E263" s="0" t="str">
        <f aca="false">INDEX(lot!$B$2:$B$1201,MATCH(B263,lot!$A$2:$A$1201,0))</f>
        <v>SUP-D</v>
      </c>
      <c r="F263" s="3" t="n">
        <f aca="false">YEAR(A263)*100+MONTH(A263)</f>
        <v>202603</v>
      </c>
    </row>
    <row r="264" customFormat="false" ht="15" hidden="false" customHeight="false" outlineLevel="0" collapsed="false">
      <c r="A264" s="2" t="n">
        <v>46097</v>
      </c>
      <c r="B264" s="3" t="s">
        <v>674</v>
      </c>
      <c r="C264" s="0" t="n">
        <v>211</v>
      </c>
      <c r="D264" s="0" t="n">
        <v>4</v>
      </c>
      <c r="E264" s="0" t="str">
        <f aca="false">INDEX(lot!$B$2:$B$1201,MATCH(B264,lot!$A$2:$A$1201,0))</f>
        <v>SUP-C</v>
      </c>
      <c r="F264" s="3" t="n">
        <f aca="false">YEAR(A264)*100+MONTH(A264)</f>
        <v>202603</v>
      </c>
    </row>
    <row r="265" customFormat="false" ht="15" hidden="false" customHeight="false" outlineLevel="0" collapsed="false">
      <c r="A265" s="2" t="n">
        <v>46097</v>
      </c>
      <c r="B265" s="3" t="s">
        <v>688</v>
      </c>
      <c r="C265" s="0" t="n">
        <v>157</v>
      </c>
      <c r="D265" s="0" t="n">
        <v>5</v>
      </c>
      <c r="E265" s="0" t="str">
        <f aca="false">INDEX(lot!$B$2:$B$1201,MATCH(B265,lot!$A$2:$A$1201,0))</f>
        <v>SUP-C</v>
      </c>
      <c r="F265" s="3" t="n">
        <f aca="false">YEAR(A265)*100+MONTH(A265)</f>
        <v>202603</v>
      </c>
    </row>
    <row r="266" customFormat="false" ht="15" hidden="false" customHeight="false" outlineLevel="0" collapsed="false">
      <c r="A266" s="2" t="n">
        <v>46097</v>
      </c>
      <c r="B266" s="3" t="s">
        <v>688</v>
      </c>
      <c r="C266" s="0" t="n">
        <v>216</v>
      </c>
      <c r="D266" s="0" t="n">
        <v>9</v>
      </c>
      <c r="E266" s="0" t="str">
        <f aca="false">INDEX(lot!$B$2:$B$1201,MATCH(B266,lot!$A$2:$A$1201,0))</f>
        <v>SUP-C</v>
      </c>
      <c r="F266" s="3" t="n">
        <f aca="false">YEAR(A266)*100+MONTH(A266)</f>
        <v>202603</v>
      </c>
    </row>
    <row r="267" customFormat="false" ht="15" hidden="false" customHeight="false" outlineLevel="0" collapsed="false">
      <c r="A267" s="2" t="n">
        <v>46097</v>
      </c>
      <c r="B267" s="3" t="s">
        <v>840</v>
      </c>
      <c r="C267" s="0" t="n">
        <v>101</v>
      </c>
      <c r="D267" s="0" t="n">
        <v>2</v>
      </c>
      <c r="E267" s="0" t="str">
        <f aca="false">INDEX(lot!$B$2:$B$1201,MATCH(B267,lot!$A$2:$A$1201,0))</f>
        <v>SUP-D</v>
      </c>
      <c r="F267" s="3" t="n">
        <f aca="false">YEAR(A267)*100+MONTH(A267)</f>
        <v>202603</v>
      </c>
    </row>
    <row r="268" customFormat="false" ht="15" hidden="false" customHeight="false" outlineLevel="0" collapsed="false">
      <c r="A268" s="2" t="n">
        <v>46097</v>
      </c>
      <c r="B268" s="3" t="s">
        <v>840</v>
      </c>
      <c r="C268" s="0" t="n">
        <v>244</v>
      </c>
      <c r="D268" s="0" t="n">
        <v>4</v>
      </c>
      <c r="E268" s="0" t="str">
        <f aca="false">INDEX(lot!$B$2:$B$1201,MATCH(B268,lot!$A$2:$A$1201,0))</f>
        <v>SUP-D</v>
      </c>
      <c r="F268" s="3" t="n">
        <f aca="false">YEAR(A268)*100+MONTH(A268)</f>
        <v>202603</v>
      </c>
    </row>
    <row r="269" customFormat="false" ht="15" hidden="false" customHeight="false" outlineLevel="0" collapsed="false">
      <c r="A269" s="2" t="n">
        <v>46097</v>
      </c>
      <c r="B269" s="3" t="s">
        <v>884</v>
      </c>
      <c r="C269" s="0" t="n">
        <v>228</v>
      </c>
      <c r="D269" s="0" t="n">
        <v>3</v>
      </c>
      <c r="E269" s="0" t="str">
        <f aca="false">INDEX(lot!$B$2:$B$1201,MATCH(B269,lot!$A$2:$A$1201,0))</f>
        <v>SUP-D</v>
      </c>
      <c r="F269" s="3" t="n">
        <f aca="false">YEAR(A269)*100+MONTH(A269)</f>
        <v>202603</v>
      </c>
    </row>
    <row r="270" customFormat="false" ht="15" hidden="false" customHeight="false" outlineLevel="0" collapsed="false">
      <c r="A270" s="2" t="n">
        <v>46097</v>
      </c>
      <c r="B270" s="3" t="s">
        <v>884</v>
      </c>
      <c r="C270" s="0" t="n">
        <v>103</v>
      </c>
      <c r="D270" s="0" t="n">
        <v>1</v>
      </c>
      <c r="E270" s="0" t="str">
        <f aca="false">INDEX(lot!$B$2:$B$1201,MATCH(B270,lot!$A$2:$A$1201,0))</f>
        <v>SUP-D</v>
      </c>
      <c r="F270" s="3" t="n">
        <f aca="false">YEAR(A270)*100+MONTH(A270)</f>
        <v>202603</v>
      </c>
    </row>
    <row r="271" customFormat="false" ht="15" hidden="false" customHeight="false" outlineLevel="0" collapsed="false">
      <c r="A271" s="2" t="n">
        <v>46097</v>
      </c>
      <c r="B271" s="3" t="s">
        <v>902</v>
      </c>
      <c r="C271" s="0" t="n">
        <v>242</v>
      </c>
      <c r="D271" s="0" t="n">
        <v>6</v>
      </c>
      <c r="E271" s="0" t="str">
        <f aca="false">INDEX(lot!$B$2:$B$1201,MATCH(B271,lot!$A$2:$A$1201,0))</f>
        <v>SUP-C</v>
      </c>
      <c r="F271" s="3" t="n">
        <f aca="false">YEAR(A271)*100+MONTH(A271)</f>
        <v>202603</v>
      </c>
    </row>
    <row r="272" customFormat="false" ht="15" hidden="false" customHeight="false" outlineLevel="0" collapsed="false">
      <c r="A272" s="2" t="n">
        <v>46097</v>
      </c>
      <c r="B272" s="3" t="s">
        <v>1121</v>
      </c>
      <c r="C272" s="0" t="n">
        <v>153</v>
      </c>
      <c r="D272" s="0" t="n">
        <v>11</v>
      </c>
      <c r="E272" s="0" t="str">
        <f aca="false">INDEX(lot!$B$2:$B$1201,MATCH(B272,lot!$A$2:$A$1201,0))</f>
        <v>SUP-C</v>
      </c>
      <c r="F272" s="3" t="n">
        <f aca="false">YEAR(A272)*100+MONTH(A272)</f>
        <v>202603</v>
      </c>
    </row>
    <row r="273" customFormat="false" ht="15" hidden="false" customHeight="false" outlineLevel="0" collapsed="false">
      <c r="A273" s="2" t="n">
        <v>46097</v>
      </c>
      <c r="B273" s="3" t="s">
        <v>1145</v>
      </c>
      <c r="C273" s="0" t="n">
        <v>168</v>
      </c>
      <c r="D273" s="0" t="n">
        <v>2</v>
      </c>
      <c r="E273" s="0" t="str">
        <f aca="false">INDEX(lot!$B$2:$B$1201,MATCH(B273,lot!$A$2:$A$1201,0))</f>
        <v>SUP-E</v>
      </c>
      <c r="F273" s="3" t="n">
        <f aca="false">YEAR(A273)*100+MONTH(A273)</f>
        <v>202603</v>
      </c>
    </row>
    <row r="274" customFormat="false" ht="15" hidden="false" customHeight="false" outlineLevel="0" collapsed="false">
      <c r="A274" s="2" t="n">
        <v>46097</v>
      </c>
      <c r="B274" s="3" t="s">
        <v>1153</v>
      </c>
      <c r="C274" s="0" t="n">
        <v>216</v>
      </c>
      <c r="D274" s="0" t="n">
        <v>1</v>
      </c>
      <c r="E274" s="0" t="str">
        <f aca="false">INDEX(lot!$B$2:$B$1201,MATCH(B274,lot!$A$2:$A$1201,0))</f>
        <v>SUP-E</v>
      </c>
      <c r="F274" s="3" t="n">
        <f aca="false">YEAR(A274)*100+MONTH(A274)</f>
        <v>202603</v>
      </c>
    </row>
    <row r="275" customFormat="false" ht="15" hidden="false" customHeight="false" outlineLevel="0" collapsed="false">
      <c r="A275" s="2" t="n">
        <v>46097</v>
      </c>
      <c r="B275" s="3" t="s">
        <v>1153</v>
      </c>
      <c r="C275" s="0" t="n">
        <v>196</v>
      </c>
      <c r="D275" s="0" t="n">
        <v>1</v>
      </c>
      <c r="E275" s="0" t="str">
        <f aca="false">INDEX(lot!$B$2:$B$1201,MATCH(B275,lot!$A$2:$A$1201,0))</f>
        <v>SUP-E</v>
      </c>
      <c r="F275" s="3" t="n">
        <f aca="false">YEAR(A275)*100+MONTH(A275)</f>
        <v>202603</v>
      </c>
    </row>
    <row r="276" customFormat="false" ht="15" hidden="false" customHeight="false" outlineLevel="0" collapsed="false">
      <c r="A276" s="2" t="n">
        <v>46097</v>
      </c>
      <c r="B276" s="3" t="s">
        <v>1177</v>
      </c>
      <c r="C276" s="0" t="n">
        <v>123</v>
      </c>
      <c r="D276" s="0" t="n">
        <v>1</v>
      </c>
      <c r="E276" s="0" t="str">
        <f aca="false">INDEX(lot!$B$2:$B$1201,MATCH(B276,lot!$A$2:$A$1201,0))</f>
        <v>SUP-E</v>
      </c>
      <c r="F276" s="3" t="n">
        <f aca="false">YEAR(A276)*100+MONTH(A276)</f>
        <v>202603</v>
      </c>
    </row>
    <row r="277" customFormat="false" ht="15" hidden="false" customHeight="false" outlineLevel="0" collapsed="false">
      <c r="A277" s="2" t="n">
        <v>46097</v>
      </c>
      <c r="B277" s="3" t="s">
        <v>1181</v>
      </c>
      <c r="C277" s="0" t="n">
        <v>79</v>
      </c>
      <c r="D277" s="0" t="n">
        <v>0</v>
      </c>
      <c r="E277" s="0" t="str">
        <f aca="false">INDEX(lot!$B$2:$B$1201,MATCH(B277,lot!$A$2:$A$1201,0))</f>
        <v>SUP-A</v>
      </c>
      <c r="F277" s="3" t="n">
        <f aca="false">YEAR(A277)*100+MONTH(A277)</f>
        <v>202603</v>
      </c>
    </row>
    <row r="278" customFormat="false" ht="15" hidden="false" customHeight="false" outlineLevel="0" collapsed="false">
      <c r="A278" s="2" t="n">
        <v>46097</v>
      </c>
      <c r="B278" s="3" t="s">
        <v>1181</v>
      </c>
      <c r="C278" s="0" t="n">
        <v>160</v>
      </c>
      <c r="D278" s="0" t="n">
        <v>2</v>
      </c>
      <c r="E278" s="0" t="str">
        <f aca="false">INDEX(lot!$B$2:$B$1201,MATCH(B278,lot!$A$2:$A$1201,0))</f>
        <v>SUP-A</v>
      </c>
      <c r="F278" s="3" t="n">
        <f aca="false">YEAR(A278)*100+MONTH(A278)</f>
        <v>202603</v>
      </c>
    </row>
    <row r="279" customFormat="false" ht="15" hidden="false" customHeight="false" outlineLevel="0" collapsed="false">
      <c r="A279" s="2" t="n">
        <v>46097</v>
      </c>
      <c r="B279" s="3" t="s">
        <v>1187</v>
      </c>
      <c r="C279" s="0" t="n">
        <v>106</v>
      </c>
      <c r="D279" s="0" t="n">
        <v>1</v>
      </c>
      <c r="E279" s="0" t="str">
        <f aca="false">INDEX(lot!$B$2:$B$1201,MATCH(B279,lot!$A$2:$A$1201,0))</f>
        <v>SUP-A</v>
      </c>
      <c r="F279" s="3" t="n">
        <f aca="false">YEAR(A279)*100+MONTH(A279)</f>
        <v>202603</v>
      </c>
    </row>
    <row r="280" customFormat="false" ht="15" hidden="false" customHeight="false" outlineLevel="0" collapsed="false">
      <c r="A280" s="2" t="n">
        <v>46098</v>
      </c>
      <c r="B280" s="3" t="s">
        <v>86</v>
      </c>
      <c r="C280" s="0" t="n">
        <v>189</v>
      </c>
      <c r="D280" s="0" t="n">
        <v>5</v>
      </c>
      <c r="E280" s="0" t="str">
        <f aca="false">INDEX(lot!$B$2:$B$1201,MATCH(B280,lot!$A$2:$A$1201,0))</f>
        <v>SUP-E</v>
      </c>
      <c r="F280" s="3" t="n">
        <f aca="false">YEAR(A280)*100+MONTH(A280)</f>
        <v>202603</v>
      </c>
    </row>
    <row r="281" customFormat="false" ht="15" hidden="false" customHeight="false" outlineLevel="0" collapsed="false">
      <c r="A281" s="2" t="n">
        <v>46098</v>
      </c>
      <c r="B281" s="3" t="s">
        <v>86</v>
      </c>
      <c r="C281" s="0" t="n">
        <v>183</v>
      </c>
      <c r="D281" s="0" t="n">
        <v>14</v>
      </c>
      <c r="E281" s="0" t="str">
        <f aca="false">INDEX(lot!$B$2:$B$1201,MATCH(B281,lot!$A$2:$A$1201,0))</f>
        <v>SUP-E</v>
      </c>
      <c r="F281" s="3" t="n">
        <f aca="false">YEAR(A281)*100+MONTH(A281)</f>
        <v>202603</v>
      </c>
    </row>
    <row r="282" customFormat="false" ht="15" hidden="false" customHeight="false" outlineLevel="0" collapsed="false">
      <c r="A282" s="2" t="n">
        <v>46098</v>
      </c>
      <c r="B282" s="3" t="s">
        <v>93</v>
      </c>
      <c r="C282" s="0" t="n">
        <v>111</v>
      </c>
      <c r="D282" s="0" t="n">
        <v>5</v>
      </c>
      <c r="E282" s="0" t="str">
        <f aca="false">INDEX(lot!$B$2:$B$1201,MATCH(B282,lot!$A$2:$A$1201,0))</f>
        <v>SUP-C</v>
      </c>
      <c r="F282" s="3" t="n">
        <f aca="false">YEAR(A282)*100+MONTH(A282)</f>
        <v>202603</v>
      </c>
    </row>
    <row r="283" customFormat="false" ht="15" hidden="false" customHeight="false" outlineLevel="0" collapsed="false">
      <c r="A283" s="2" t="n">
        <v>46098</v>
      </c>
      <c r="B283" s="3" t="s">
        <v>93</v>
      </c>
      <c r="C283" s="0" t="n">
        <v>202</v>
      </c>
      <c r="D283" s="0" t="n">
        <v>8</v>
      </c>
      <c r="E283" s="0" t="str">
        <f aca="false">INDEX(lot!$B$2:$B$1201,MATCH(B283,lot!$A$2:$A$1201,0))</f>
        <v>SUP-C</v>
      </c>
      <c r="F283" s="3" t="n">
        <f aca="false">YEAR(A283)*100+MONTH(A283)</f>
        <v>202603</v>
      </c>
    </row>
    <row r="284" customFormat="false" ht="15" hidden="false" customHeight="false" outlineLevel="0" collapsed="false">
      <c r="A284" s="2" t="n">
        <v>46098</v>
      </c>
      <c r="B284" s="3" t="s">
        <v>140</v>
      </c>
      <c r="C284" s="0" t="n">
        <v>173</v>
      </c>
      <c r="D284" s="0" t="n">
        <v>1</v>
      </c>
      <c r="E284" s="0" t="str">
        <f aca="false">INDEX(lot!$B$2:$B$1201,MATCH(B284,lot!$A$2:$A$1201,0))</f>
        <v>SUP-A</v>
      </c>
      <c r="F284" s="3" t="n">
        <f aca="false">YEAR(A284)*100+MONTH(A284)</f>
        <v>202603</v>
      </c>
    </row>
    <row r="285" customFormat="false" ht="15" hidden="false" customHeight="false" outlineLevel="0" collapsed="false">
      <c r="A285" s="2" t="n">
        <v>46098</v>
      </c>
      <c r="B285" s="3" t="s">
        <v>144</v>
      </c>
      <c r="C285" s="0" t="n">
        <v>194</v>
      </c>
      <c r="D285" s="0" t="n">
        <v>0</v>
      </c>
      <c r="E285" s="0" t="str">
        <f aca="false">INDEX(lot!$B$2:$B$1201,MATCH(B285,lot!$A$2:$A$1201,0))</f>
        <v>SUP-D</v>
      </c>
      <c r="F285" s="3" t="n">
        <f aca="false">YEAR(A285)*100+MONTH(A285)</f>
        <v>202603</v>
      </c>
    </row>
    <row r="286" customFormat="false" ht="15" hidden="false" customHeight="false" outlineLevel="0" collapsed="false">
      <c r="A286" s="2" t="n">
        <v>46098</v>
      </c>
      <c r="B286" s="3" t="s">
        <v>144</v>
      </c>
      <c r="C286" s="0" t="n">
        <v>89</v>
      </c>
      <c r="D286" s="0" t="n">
        <v>2</v>
      </c>
      <c r="E286" s="0" t="str">
        <f aca="false">INDEX(lot!$B$2:$B$1201,MATCH(B286,lot!$A$2:$A$1201,0))</f>
        <v>SUP-D</v>
      </c>
      <c r="F286" s="3" t="n">
        <f aca="false">YEAR(A286)*100+MONTH(A286)</f>
        <v>202603</v>
      </c>
    </row>
    <row r="287" customFormat="false" ht="15" hidden="false" customHeight="false" outlineLevel="0" collapsed="false">
      <c r="A287" s="2" t="n">
        <v>46098</v>
      </c>
      <c r="B287" s="3" t="s">
        <v>213</v>
      </c>
      <c r="C287" s="0" t="n">
        <v>243</v>
      </c>
      <c r="D287" s="0" t="n">
        <v>2</v>
      </c>
      <c r="E287" s="0" t="str">
        <f aca="false">INDEX(lot!$B$2:$B$1201,MATCH(B287,lot!$A$2:$A$1201,0))</f>
        <v>SUP-D</v>
      </c>
      <c r="F287" s="3" t="n">
        <f aca="false">YEAR(A287)*100+MONTH(A287)</f>
        <v>202603</v>
      </c>
    </row>
    <row r="288" customFormat="false" ht="15" hidden="false" customHeight="false" outlineLevel="0" collapsed="false">
      <c r="A288" s="2" t="n">
        <v>46098</v>
      </c>
      <c r="B288" s="3" t="s">
        <v>242</v>
      </c>
      <c r="C288" s="0" t="n">
        <v>89</v>
      </c>
      <c r="D288" s="0" t="n">
        <v>7</v>
      </c>
      <c r="E288" s="0" t="str">
        <f aca="false">INDEX(lot!$B$2:$B$1201,MATCH(B288,lot!$A$2:$A$1201,0))</f>
        <v>SUP-A</v>
      </c>
      <c r="F288" s="3" t="n">
        <f aca="false">YEAR(A288)*100+MONTH(A288)</f>
        <v>202603</v>
      </c>
    </row>
    <row r="289" customFormat="false" ht="15" hidden="false" customHeight="false" outlineLevel="0" collapsed="false">
      <c r="A289" s="2" t="n">
        <v>46098</v>
      </c>
      <c r="B289" s="3" t="s">
        <v>432</v>
      </c>
      <c r="C289" s="0" t="n">
        <v>208</v>
      </c>
      <c r="D289" s="0" t="n">
        <v>16</v>
      </c>
      <c r="E289" s="0" t="str">
        <f aca="false">INDEX(lot!$B$2:$B$1201,MATCH(B289,lot!$A$2:$A$1201,0))</f>
        <v>SUP-C</v>
      </c>
      <c r="F289" s="3" t="n">
        <f aca="false">YEAR(A289)*100+MONTH(A289)</f>
        <v>202603</v>
      </c>
    </row>
    <row r="290" customFormat="false" ht="15" hidden="false" customHeight="false" outlineLevel="0" collapsed="false">
      <c r="A290" s="2" t="n">
        <v>46098</v>
      </c>
      <c r="B290" s="3" t="s">
        <v>432</v>
      </c>
      <c r="C290" s="0" t="n">
        <v>228</v>
      </c>
      <c r="D290" s="0" t="n">
        <v>22</v>
      </c>
      <c r="E290" s="0" t="str">
        <f aca="false">INDEX(lot!$B$2:$B$1201,MATCH(B290,lot!$A$2:$A$1201,0))</f>
        <v>SUP-C</v>
      </c>
      <c r="F290" s="3" t="n">
        <f aca="false">YEAR(A290)*100+MONTH(A290)</f>
        <v>202603</v>
      </c>
    </row>
    <row r="291" customFormat="false" ht="15" hidden="false" customHeight="false" outlineLevel="0" collapsed="false">
      <c r="A291" s="2" t="n">
        <v>46098</v>
      </c>
      <c r="B291" s="3" t="s">
        <v>471</v>
      </c>
      <c r="C291" s="0" t="n">
        <v>111</v>
      </c>
      <c r="D291" s="0" t="n">
        <v>0</v>
      </c>
      <c r="E291" s="0" t="str">
        <f aca="false">INDEX(lot!$B$2:$B$1201,MATCH(B291,lot!$A$2:$A$1201,0))</f>
        <v>SUP-E</v>
      </c>
      <c r="F291" s="3" t="n">
        <f aca="false">YEAR(A291)*100+MONTH(A291)</f>
        <v>202603</v>
      </c>
    </row>
    <row r="292" customFormat="false" ht="15" hidden="false" customHeight="false" outlineLevel="0" collapsed="false">
      <c r="A292" s="2" t="n">
        <v>46098</v>
      </c>
      <c r="B292" s="3" t="s">
        <v>491</v>
      </c>
      <c r="C292" s="0" t="n">
        <v>125</v>
      </c>
      <c r="D292" s="0" t="n">
        <v>1</v>
      </c>
      <c r="E292" s="0" t="str">
        <f aca="false">INDEX(lot!$B$2:$B$1201,MATCH(B292,lot!$A$2:$A$1201,0))</f>
        <v>SUP-E</v>
      </c>
      <c r="F292" s="3" t="n">
        <f aca="false">YEAR(A292)*100+MONTH(A292)</f>
        <v>202603</v>
      </c>
    </row>
    <row r="293" customFormat="false" ht="15" hidden="false" customHeight="false" outlineLevel="0" collapsed="false">
      <c r="A293" s="2" t="n">
        <v>46098</v>
      </c>
      <c r="B293" s="3" t="s">
        <v>491</v>
      </c>
      <c r="C293" s="0" t="n">
        <v>229</v>
      </c>
      <c r="D293" s="0" t="n">
        <v>1</v>
      </c>
      <c r="E293" s="0" t="str">
        <f aca="false">INDEX(lot!$B$2:$B$1201,MATCH(B293,lot!$A$2:$A$1201,0))</f>
        <v>SUP-E</v>
      </c>
      <c r="F293" s="3" t="n">
        <f aca="false">YEAR(A293)*100+MONTH(A293)</f>
        <v>202603</v>
      </c>
    </row>
    <row r="294" customFormat="false" ht="15" hidden="false" customHeight="false" outlineLevel="0" collapsed="false">
      <c r="A294" s="2" t="n">
        <v>46098</v>
      </c>
      <c r="B294" s="3" t="s">
        <v>560</v>
      </c>
      <c r="C294" s="0" t="n">
        <v>228</v>
      </c>
      <c r="D294" s="0" t="n">
        <v>3</v>
      </c>
      <c r="E294" s="0" t="str">
        <f aca="false">INDEX(lot!$B$2:$B$1201,MATCH(B294,lot!$A$2:$A$1201,0))</f>
        <v>SUP-B</v>
      </c>
      <c r="F294" s="3" t="n">
        <f aca="false">YEAR(A294)*100+MONTH(A294)</f>
        <v>202603</v>
      </c>
    </row>
    <row r="295" customFormat="false" ht="15" hidden="false" customHeight="false" outlineLevel="0" collapsed="false">
      <c r="A295" s="2" t="n">
        <v>46098</v>
      </c>
      <c r="B295" s="3" t="s">
        <v>560</v>
      </c>
      <c r="C295" s="0" t="n">
        <v>72</v>
      </c>
      <c r="D295" s="0" t="n">
        <v>1</v>
      </c>
      <c r="E295" s="0" t="str">
        <f aca="false">INDEX(lot!$B$2:$B$1201,MATCH(B295,lot!$A$2:$A$1201,0))</f>
        <v>SUP-B</v>
      </c>
      <c r="F295" s="3" t="n">
        <f aca="false">YEAR(A295)*100+MONTH(A295)</f>
        <v>202603</v>
      </c>
    </row>
    <row r="296" customFormat="false" ht="15" hidden="false" customHeight="false" outlineLevel="0" collapsed="false">
      <c r="A296" s="2" t="n">
        <v>46098</v>
      </c>
      <c r="B296" s="3" t="s">
        <v>599</v>
      </c>
      <c r="C296" s="0" t="n">
        <v>232</v>
      </c>
      <c r="D296" s="0" t="n">
        <v>1</v>
      </c>
      <c r="E296" s="0" t="str">
        <f aca="false">INDEX(lot!$B$2:$B$1201,MATCH(B296,lot!$A$2:$A$1201,0))</f>
        <v>SUP-C</v>
      </c>
      <c r="F296" s="3" t="n">
        <f aca="false">YEAR(A296)*100+MONTH(A296)</f>
        <v>202603</v>
      </c>
    </row>
    <row r="297" customFormat="false" ht="15" hidden="false" customHeight="false" outlineLevel="0" collapsed="false">
      <c r="A297" s="2" t="n">
        <v>46098</v>
      </c>
      <c r="B297" s="3" t="s">
        <v>599</v>
      </c>
      <c r="C297" s="0" t="n">
        <v>189</v>
      </c>
      <c r="D297" s="0" t="n">
        <v>5</v>
      </c>
      <c r="E297" s="0" t="str">
        <f aca="false">INDEX(lot!$B$2:$B$1201,MATCH(B297,lot!$A$2:$A$1201,0))</f>
        <v>SUP-C</v>
      </c>
      <c r="F297" s="3" t="n">
        <f aca="false">YEAR(A297)*100+MONTH(A297)</f>
        <v>202603</v>
      </c>
    </row>
    <row r="298" customFormat="false" ht="15" hidden="false" customHeight="false" outlineLevel="0" collapsed="false">
      <c r="A298" s="2" t="n">
        <v>46098</v>
      </c>
      <c r="B298" s="3" t="s">
        <v>610</v>
      </c>
      <c r="C298" s="0" t="n">
        <v>209</v>
      </c>
      <c r="D298" s="0" t="n">
        <v>4</v>
      </c>
      <c r="E298" s="0" t="str">
        <f aca="false">INDEX(lot!$B$2:$B$1201,MATCH(B298,lot!$A$2:$A$1201,0))</f>
        <v>SUP-C</v>
      </c>
      <c r="F298" s="3" t="n">
        <f aca="false">YEAR(A298)*100+MONTH(A298)</f>
        <v>202603</v>
      </c>
    </row>
    <row r="299" customFormat="false" ht="15" hidden="false" customHeight="false" outlineLevel="0" collapsed="false">
      <c r="A299" s="2" t="n">
        <v>46098</v>
      </c>
      <c r="B299" s="3" t="s">
        <v>610</v>
      </c>
      <c r="C299" s="0" t="n">
        <v>169</v>
      </c>
      <c r="D299" s="0" t="n">
        <v>5</v>
      </c>
      <c r="E299" s="0" t="str">
        <f aca="false">INDEX(lot!$B$2:$B$1201,MATCH(B299,lot!$A$2:$A$1201,0))</f>
        <v>SUP-C</v>
      </c>
      <c r="F299" s="3" t="n">
        <f aca="false">YEAR(A299)*100+MONTH(A299)</f>
        <v>202603</v>
      </c>
    </row>
    <row r="300" customFormat="false" ht="15" hidden="false" customHeight="false" outlineLevel="0" collapsed="false">
      <c r="A300" s="2" t="n">
        <v>46098</v>
      </c>
      <c r="B300" s="3" t="s">
        <v>650</v>
      </c>
      <c r="C300" s="0" t="n">
        <v>194</v>
      </c>
      <c r="D300" s="0" t="n">
        <v>0</v>
      </c>
      <c r="E300" s="0" t="str">
        <f aca="false">INDEX(lot!$B$2:$B$1201,MATCH(B300,lot!$A$2:$A$1201,0))</f>
        <v>SUP-D</v>
      </c>
      <c r="F300" s="3" t="n">
        <f aca="false">YEAR(A300)*100+MONTH(A300)</f>
        <v>202603</v>
      </c>
    </row>
    <row r="301" customFormat="false" ht="15" hidden="false" customHeight="false" outlineLevel="0" collapsed="false">
      <c r="A301" s="2" t="n">
        <v>46098</v>
      </c>
      <c r="B301" s="3" t="s">
        <v>650</v>
      </c>
      <c r="C301" s="0" t="n">
        <v>102</v>
      </c>
      <c r="D301" s="0" t="n">
        <v>1</v>
      </c>
      <c r="E301" s="0" t="str">
        <f aca="false">INDEX(lot!$B$2:$B$1201,MATCH(B301,lot!$A$2:$A$1201,0))</f>
        <v>SUP-D</v>
      </c>
      <c r="F301" s="3" t="n">
        <f aca="false">YEAR(A301)*100+MONTH(A301)</f>
        <v>202603</v>
      </c>
    </row>
    <row r="302" customFormat="false" ht="15" hidden="false" customHeight="false" outlineLevel="0" collapsed="false">
      <c r="A302" s="2" t="n">
        <v>46098</v>
      </c>
      <c r="B302" s="3" t="s">
        <v>674</v>
      </c>
      <c r="C302" s="0" t="n">
        <v>150</v>
      </c>
      <c r="D302" s="0" t="n">
        <v>3</v>
      </c>
      <c r="E302" s="0" t="str">
        <f aca="false">INDEX(lot!$B$2:$B$1201,MATCH(B302,lot!$A$2:$A$1201,0))</f>
        <v>SUP-C</v>
      </c>
      <c r="F302" s="3" t="n">
        <f aca="false">YEAR(A302)*100+MONTH(A302)</f>
        <v>202603</v>
      </c>
    </row>
    <row r="303" customFormat="false" ht="15" hidden="false" customHeight="false" outlineLevel="0" collapsed="false">
      <c r="A303" s="2" t="n">
        <v>46098</v>
      </c>
      <c r="B303" s="3" t="s">
        <v>674</v>
      </c>
      <c r="C303" s="0" t="n">
        <v>73</v>
      </c>
      <c r="D303" s="0" t="n">
        <v>1</v>
      </c>
      <c r="E303" s="0" t="str">
        <f aca="false">INDEX(lot!$B$2:$B$1201,MATCH(B303,lot!$A$2:$A$1201,0))</f>
        <v>SUP-C</v>
      </c>
      <c r="F303" s="3" t="n">
        <f aca="false">YEAR(A303)*100+MONTH(A303)</f>
        <v>202603</v>
      </c>
    </row>
    <row r="304" customFormat="false" ht="15" hidden="false" customHeight="false" outlineLevel="0" collapsed="false">
      <c r="A304" s="2" t="n">
        <v>46098</v>
      </c>
      <c r="B304" s="3" t="s">
        <v>1121</v>
      </c>
      <c r="C304" s="0" t="n">
        <v>71</v>
      </c>
      <c r="D304" s="0" t="n">
        <v>16</v>
      </c>
      <c r="E304" s="0" t="str">
        <f aca="false">INDEX(lot!$B$2:$B$1201,MATCH(B304,lot!$A$2:$A$1201,0))</f>
        <v>SUP-C</v>
      </c>
      <c r="F304" s="3" t="n">
        <f aca="false">YEAR(A304)*100+MONTH(A304)</f>
        <v>202603</v>
      </c>
    </row>
    <row r="305" customFormat="false" ht="15" hidden="false" customHeight="false" outlineLevel="0" collapsed="false">
      <c r="A305" s="2" t="n">
        <v>46098</v>
      </c>
      <c r="B305" s="3" t="s">
        <v>1187</v>
      </c>
      <c r="C305" s="0" t="n">
        <v>222</v>
      </c>
      <c r="D305" s="0" t="n">
        <v>3</v>
      </c>
      <c r="E305" s="0" t="str">
        <f aca="false">INDEX(lot!$B$2:$B$1201,MATCH(B305,lot!$A$2:$A$1201,0))</f>
        <v>SUP-A</v>
      </c>
      <c r="F305" s="3" t="n">
        <f aca="false">YEAR(A305)*100+MONTH(A305)</f>
        <v>202603</v>
      </c>
    </row>
    <row r="306" customFormat="false" ht="15" hidden="false" customHeight="false" outlineLevel="0" collapsed="false">
      <c r="A306" s="2" t="n">
        <v>46099</v>
      </c>
      <c r="B306" s="3" t="s">
        <v>86</v>
      </c>
      <c r="C306" s="0" t="n">
        <v>202</v>
      </c>
      <c r="D306" s="0" t="n">
        <v>7</v>
      </c>
      <c r="E306" s="0" t="str">
        <f aca="false">INDEX(lot!$B$2:$B$1201,MATCH(B306,lot!$A$2:$A$1201,0))</f>
        <v>SUP-E</v>
      </c>
      <c r="F306" s="3" t="n">
        <f aca="false">YEAR(A306)*100+MONTH(A306)</f>
        <v>202603</v>
      </c>
    </row>
    <row r="307" customFormat="false" ht="15" hidden="false" customHeight="false" outlineLevel="0" collapsed="false">
      <c r="A307" s="2" t="n">
        <v>46099</v>
      </c>
      <c r="B307" s="3" t="s">
        <v>86</v>
      </c>
      <c r="C307" s="0" t="n">
        <v>95</v>
      </c>
      <c r="D307" s="0" t="n">
        <v>4</v>
      </c>
      <c r="E307" s="0" t="str">
        <f aca="false">INDEX(lot!$B$2:$B$1201,MATCH(B307,lot!$A$2:$A$1201,0))</f>
        <v>SUP-E</v>
      </c>
      <c r="F307" s="3" t="n">
        <f aca="false">YEAR(A307)*100+MONTH(A307)</f>
        <v>202603</v>
      </c>
    </row>
    <row r="308" customFormat="false" ht="15" hidden="false" customHeight="false" outlineLevel="0" collapsed="false">
      <c r="A308" s="2" t="n">
        <v>46099</v>
      </c>
      <c r="B308" s="3" t="s">
        <v>114</v>
      </c>
      <c r="C308" s="0" t="n">
        <v>246</v>
      </c>
      <c r="D308" s="0" t="n">
        <v>4</v>
      </c>
      <c r="E308" s="0" t="str">
        <f aca="false">INDEX(lot!$B$2:$B$1201,MATCH(B308,lot!$A$2:$A$1201,0))</f>
        <v>SUP-E</v>
      </c>
      <c r="F308" s="3" t="n">
        <f aca="false">YEAR(A308)*100+MONTH(A308)</f>
        <v>202603</v>
      </c>
    </row>
    <row r="309" customFormat="false" ht="15" hidden="false" customHeight="false" outlineLevel="0" collapsed="false">
      <c r="A309" s="2" t="n">
        <v>46099</v>
      </c>
      <c r="B309" s="3" t="s">
        <v>114</v>
      </c>
      <c r="C309" s="0" t="n">
        <v>176</v>
      </c>
      <c r="D309" s="0" t="n">
        <v>2</v>
      </c>
      <c r="E309" s="0" t="str">
        <f aca="false">INDEX(lot!$B$2:$B$1201,MATCH(B309,lot!$A$2:$A$1201,0))</f>
        <v>SUP-E</v>
      </c>
      <c r="F309" s="3" t="n">
        <f aca="false">YEAR(A309)*100+MONTH(A309)</f>
        <v>202603</v>
      </c>
    </row>
    <row r="310" customFormat="false" ht="15" hidden="false" customHeight="false" outlineLevel="0" collapsed="false">
      <c r="A310" s="2" t="n">
        <v>46099</v>
      </c>
      <c r="B310" s="3" t="s">
        <v>115</v>
      </c>
      <c r="C310" s="0" t="n">
        <v>105</v>
      </c>
      <c r="D310" s="0" t="n">
        <v>1</v>
      </c>
      <c r="E310" s="0" t="str">
        <f aca="false">INDEX(lot!$B$2:$B$1201,MATCH(B310,lot!$A$2:$A$1201,0))</f>
        <v>SUP-D</v>
      </c>
      <c r="F310" s="3" t="n">
        <f aca="false">YEAR(A310)*100+MONTH(A310)</f>
        <v>202603</v>
      </c>
    </row>
    <row r="311" customFormat="false" ht="15" hidden="false" customHeight="false" outlineLevel="0" collapsed="false">
      <c r="A311" s="2" t="n">
        <v>46099</v>
      </c>
      <c r="B311" s="3" t="s">
        <v>140</v>
      </c>
      <c r="C311" s="0" t="n">
        <v>109</v>
      </c>
      <c r="D311" s="0" t="n">
        <v>1</v>
      </c>
      <c r="E311" s="0" t="str">
        <f aca="false">INDEX(lot!$B$2:$B$1201,MATCH(B311,lot!$A$2:$A$1201,0))</f>
        <v>SUP-A</v>
      </c>
      <c r="F311" s="3" t="n">
        <f aca="false">YEAR(A311)*100+MONTH(A311)</f>
        <v>202603</v>
      </c>
    </row>
    <row r="312" customFormat="false" ht="15" hidden="false" customHeight="false" outlineLevel="0" collapsed="false">
      <c r="A312" s="2" t="n">
        <v>46099</v>
      </c>
      <c r="B312" s="3" t="s">
        <v>144</v>
      </c>
      <c r="C312" s="0" t="n">
        <v>68</v>
      </c>
      <c r="D312" s="0" t="n">
        <v>1</v>
      </c>
      <c r="E312" s="0" t="str">
        <f aca="false">INDEX(lot!$B$2:$B$1201,MATCH(B312,lot!$A$2:$A$1201,0))</f>
        <v>SUP-D</v>
      </c>
      <c r="F312" s="3" t="n">
        <f aca="false">YEAR(A312)*100+MONTH(A312)</f>
        <v>202603</v>
      </c>
    </row>
    <row r="313" customFormat="false" ht="15" hidden="false" customHeight="false" outlineLevel="0" collapsed="false">
      <c r="A313" s="2" t="n">
        <v>46099</v>
      </c>
      <c r="B313" s="3" t="s">
        <v>242</v>
      </c>
      <c r="C313" s="0" t="n">
        <v>122</v>
      </c>
      <c r="D313" s="0" t="n">
        <v>8</v>
      </c>
      <c r="E313" s="0" t="str">
        <f aca="false">INDEX(lot!$B$2:$B$1201,MATCH(B313,lot!$A$2:$A$1201,0))</f>
        <v>SUP-A</v>
      </c>
      <c r="F313" s="3" t="n">
        <f aca="false">YEAR(A313)*100+MONTH(A313)</f>
        <v>202603</v>
      </c>
    </row>
    <row r="314" customFormat="false" ht="15" hidden="false" customHeight="false" outlineLevel="0" collapsed="false">
      <c r="A314" s="2" t="n">
        <v>46099</v>
      </c>
      <c r="B314" s="3" t="s">
        <v>242</v>
      </c>
      <c r="C314" s="0" t="n">
        <v>150</v>
      </c>
      <c r="D314" s="0" t="n">
        <v>9</v>
      </c>
      <c r="E314" s="0" t="str">
        <f aca="false">INDEX(lot!$B$2:$B$1201,MATCH(B314,lot!$A$2:$A$1201,0))</f>
        <v>SUP-A</v>
      </c>
      <c r="F314" s="3" t="n">
        <f aca="false">YEAR(A314)*100+MONTH(A314)</f>
        <v>202603</v>
      </c>
    </row>
    <row r="315" customFormat="false" ht="15" hidden="false" customHeight="false" outlineLevel="0" collapsed="false">
      <c r="A315" s="2" t="n">
        <v>46099</v>
      </c>
      <c r="B315" s="3" t="s">
        <v>324</v>
      </c>
      <c r="C315" s="0" t="n">
        <v>93</v>
      </c>
      <c r="D315" s="0" t="n">
        <v>1</v>
      </c>
      <c r="E315" s="0" t="str">
        <f aca="false">INDEX(lot!$B$2:$B$1201,MATCH(B315,lot!$A$2:$A$1201,0))</f>
        <v>SUP-E</v>
      </c>
      <c r="F315" s="3" t="n">
        <f aca="false">YEAR(A315)*100+MONTH(A315)</f>
        <v>202603</v>
      </c>
    </row>
    <row r="316" customFormat="false" ht="15" hidden="false" customHeight="false" outlineLevel="0" collapsed="false">
      <c r="A316" s="2" t="n">
        <v>46099</v>
      </c>
      <c r="B316" s="3" t="s">
        <v>324</v>
      </c>
      <c r="C316" s="0" t="n">
        <v>189</v>
      </c>
      <c r="D316" s="0" t="n">
        <v>1</v>
      </c>
      <c r="E316" s="0" t="str">
        <f aca="false">INDEX(lot!$B$2:$B$1201,MATCH(B316,lot!$A$2:$A$1201,0))</f>
        <v>SUP-E</v>
      </c>
      <c r="F316" s="3" t="n">
        <f aca="false">YEAR(A316)*100+MONTH(A316)</f>
        <v>202603</v>
      </c>
    </row>
    <row r="317" customFormat="false" ht="15" hidden="false" customHeight="false" outlineLevel="0" collapsed="false">
      <c r="A317" s="2" t="n">
        <v>46099</v>
      </c>
      <c r="B317" s="3" t="s">
        <v>432</v>
      </c>
      <c r="C317" s="0" t="n">
        <v>10</v>
      </c>
      <c r="D317" s="0" t="n">
        <v>2</v>
      </c>
      <c r="E317" s="0" t="str">
        <f aca="false">INDEX(lot!$B$2:$B$1201,MATCH(B317,lot!$A$2:$A$1201,0))</f>
        <v>SUP-C</v>
      </c>
      <c r="F317" s="3" t="n">
        <f aca="false">YEAR(A317)*100+MONTH(A317)</f>
        <v>202603</v>
      </c>
    </row>
    <row r="318" customFormat="false" ht="15" hidden="false" customHeight="false" outlineLevel="0" collapsed="false">
      <c r="A318" s="2" t="n">
        <v>46099</v>
      </c>
      <c r="B318" s="3" t="s">
        <v>471</v>
      </c>
      <c r="C318" s="0" t="n">
        <v>184</v>
      </c>
      <c r="D318" s="0" t="n">
        <v>2</v>
      </c>
      <c r="E318" s="0" t="str">
        <f aca="false">INDEX(lot!$B$2:$B$1201,MATCH(B318,lot!$A$2:$A$1201,0))</f>
        <v>SUP-E</v>
      </c>
      <c r="F318" s="3" t="n">
        <f aca="false">YEAR(A318)*100+MONTH(A318)</f>
        <v>202603</v>
      </c>
    </row>
    <row r="319" customFormat="false" ht="15" hidden="false" customHeight="false" outlineLevel="0" collapsed="false">
      <c r="A319" s="2" t="n">
        <v>46099</v>
      </c>
      <c r="B319" s="3" t="s">
        <v>471</v>
      </c>
      <c r="C319" s="0" t="n">
        <v>248</v>
      </c>
      <c r="D319" s="0" t="n">
        <v>2</v>
      </c>
      <c r="E319" s="0" t="str">
        <f aca="false">INDEX(lot!$B$2:$B$1201,MATCH(B319,lot!$A$2:$A$1201,0))</f>
        <v>SUP-E</v>
      </c>
      <c r="F319" s="3" t="n">
        <f aca="false">YEAR(A319)*100+MONTH(A319)</f>
        <v>202603</v>
      </c>
    </row>
    <row r="320" customFormat="false" ht="15" hidden="false" customHeight="false" outlineLevel="0" collapsed="false">
      <c r="A320" s="2" t="n">
        <v>46099</v>
      </c>
      <c r="B320" s="3" t="s">
        <v>480</v>
      </c>
      <c r="C320" s="0" t="n">
        <v>171</v>
      </c>
      <c r="D320" s="0" t="n">
        <v>1</v>
      </c>
      <c r="E320" s="0" t="str">
        <f aca="false">INDEX(lot!$B$2:$B$1201,MATCH(B320,lot!$A$2:$A$1201,0))</f>
        <v>SUP-E</v>
      </c>
      <c r="F320" s="3" t="n">
        <f aca="false">YEAR(A320)*100+MONTH(A320)</f>
        <v>202603</v>
      </c>
    </row>
    <row r="321" customFormat="false" ht="15" hidden="false" customHeight="false" outlineLevel="0" collapsed="false">
      <c r="A321" s="2" t="n">
        <v>46099</v>
      </c>
      <c r="B321" s="3" t="s">
        <v>503</v>
      </c>
      <c r="C321" s="0" t="n">
        <v>226</v>
      </c>
      <c r="D321" s="0" t="n">
        <v>6</v>
      </c>
      <c r="E321" s="0" t="str">
        <f aca="false">INDEX(lot!$B$2:$B$1201,MATCH(B321,lot!$A$2:$A$1201,0))</f>
        <v>SUP-C</v>
      </c>
      <c r="F321" s="3" t="n">
        <f aca="false">YEAR(A321)*100+MONTH(A321)</f>
        <v>202603</v>
      </c>
    </row>
    <row r="322" customFormat="false" ht="15" hidden="false" customHeight="false" outlineLevel="0" collapsed="false">
      <c r="A322" s="2" t="n">
        <v>46099</v>
      </c>
      <c r="B322" s="3" t="s">
        <v>503</v>
      </c>
      <c r="C322" s="0" t="n">
        <v>145</v>
      </c>
      <c r="D322" s="0" t="n">
        <v>2</v>
      </c>
      <c r="E322" s="0" t="str">
        <f aca="false">INDEX(lot!$B$2:$B$1201,MATCH(B322,lot!$A$2:$A$1201,0))</f>
        <v>SUP-C</v>
      </c>
      <c r="F322" s="3" t="n">
        <f aca="false">YEAR(A322)*100+MONTH(A322)</f>
        <v>202603</v>
      </c>
    </row>
    <row r="323" customFormat="false" ht="15" hidden="false" customHeight="false" outlineLevel="0" collapsed="false">
      <c r="A323" s="2" t="n">
        <v>46099</v>
      </c>
      <c r="B323" s="3" t="s">
        <v>599</v>
      </c>
      <c r="C323" s="0" t="n">
        <v>80</v>
      </c>
      <c r="D323" s="0" t="n">
        <v>3</v>
      </c>
      <c r="E323" s="0" t="str">
        <f aca="false">INDEX(lot!$B$2:$B$1201,MATCH(B323,lot!$A$2:$A$1201,0))</f>
        <v>SUP-C</v>
      </c>
      <c r="F323" s="3" t="n">
        <f aca="false">YEAR(A323)*100+MONTH(A323)</f>
        <v>202603</v>
      </c>
    </row>
    <row r="324" customFormat="false" ht="15" hidden="false" customHeight="false" outlineLevel="0" collapsed="false">
      <c r="A324" s="2" t="n">
        <v>46099</v>
      </c>
      <c r="B324" s="3" t="s">
        <v>616</v>
      </c>
      <c r="C324" s="0" t="n">
        <v>223</v>
      </c>
      <c r="D324" s="0" t="n">
        <v>2</v>
      </c>
      <c r="E324" s="0" t="str">
        <f aca="false">INDEX(lot!$B$2:$B$1201,MATCH(B324,lot!$A$2:$A$1201,0))</f>
        <v>SUP-A</v>
      </c>
      <c r="F324" s="3" t="n">
        <f aca="false">YEAR(A324)*100+MONTH(A324)</f>
        <v>202603</v>
      </c>
    </row>
    <row r="325" customFormat="false" ht="15" hidden="false" customHeight="false" outlineLevel="0" collapsed="false">
      <c r="A325" s="2" t="n">
        <v>46099</v>
      </c>
      <c r="B325" s="3" t="s">
        <v>674</v>
      </c>
      <c r="C325" s="0" t="n">
        <v>69</v>
      </c>
      <c r="D325" s="0" t="n">
        <v>3</v>
      </c>
      <c r="E325" s="0" t="str">
        <f aca="false">INDEX(lot!$B$2:$B$1201,MATCH(B325,lot!$A$2:$A$1201,0))</f>
        <v>SUP-C</v>
      </c>
      <c r="F325" s="3" t="n">
        <f aca="false">YEAR(A325)*100+MONTH(A325)</f>
        <v>202603</v>
      </c>
    </row>
    <row r="326" customFormat="false" ht="15" hidden="false" customHeight="false" outlineLevel="0" collapsed="false">
      <c r="A326" s="2" t="n">
        <v>46099</v>
      </c>
      <c r="B326" s="3" t="s">
        <v>674</v>
      </c>
      <c r="C326" s="0" t="n">
        <v>128</v>
      </c>
      <c r="D326" s="0" t="n">
        <v>5</v>
      </c>
      <c r="E326" s="0" t="str">
        <f aca="false">INDEX(lot!$B$2:$B$1201,MATCH(B326,lot!$A$2:$A$1201,0))</f>
        <v>SUP-C</v>
      </c>
      <c r="F326" s="3" t="n">
        <f aca="false">YEAR(A326)*100+MONTH(A326)</f>
        <v>202603</v>
      </c>
    </row>
    <row r="327" customFormat="false" ht="15" hidden="false" customHeight="false" outlineLevel="0" collapsed="false">
      <c r="A327" s="2" t="n">
        <v>46100</v>
      </c>
      <c r="B327" s="3" t="s">
        <v>110</v>
      </c>
      <c r="C327" s="0" t="n">
        <v>151</v>
      </c>
      <c r="D327" s="0" t="n">
        <v>0</v>
      </c>
      <c r="E327" s="0" t="str">
        <f aca="false">INDEX(lot!$B$2:$B$1201,MATCH(B327,lot!$A$2:$A$1201,0))</f>
        <v>SUP-D</v>
      </c>
      <c r="F327" s="3" t="n">
        <f aca="false">YEAR(A327)*100+MONTH(A327)</f>
        <v>202603</v>
      </c>
    </row>
    <row r="328" customFormat="false" ht="15" hidden="false" customHeight="false" outlineLevel="0" collapsed="false">
      <c r="A328" s="2" t="n">
        <v>46100</v>
      </c>
      <c r="B328" s="3" t="s">
        <v>114</v>
      </c>
      <c r="C328" s="0" t="n">
        <v>84</v>
      </c>
      <c r="D328" s="0" t="n">
        <v>0</v>
      </c>
      <c r="E328" s="0" t="str">
        <f aca="false">INDEX(lot!$B$2:$B$1201,MATCH(B328,lot!$A$2:$A$1201,0))</f>
        <v>SUP-E</v>
      </c>
      <c r="F328" s="3" t="n">
        <f aca="false">YEAR(A328)*100+MONTH(A328)</f>
        <v>202603</v>
      </c>
    </row>
    <row r="329" customFormat="false" ht="15" hidden="false" customHeight="false" outlineLevel="0" collapsed="false">
      <c r="A329" s="2" t="n">
        <v>46100</v>
      </c>
      <c r="B329" s="3" t="s">
        <v>114</v>
      </c>
      <c r="C329" s="0" t="n">
        <v>248</v>
      </c>
      <c r="D329" s="0" t="n">
        <v>3</v>
      </c>
      <c r="E329" s="0" t="str">
        <f aca="false">INDEX(lot!$B$2:$B$1201,MATCH(B329,lot!$A$2:$A$1201,0))</f>
        <v>SUP-E</v>
      </c>
      <c r="F329" s="3" t="n">
        <f aca="false">YEAR(A329)*100+MONTH(A329)</f>
        <v>202603</v>
      </c>
    </row>
    <row r="330" customFormat="false" ht="15" hidden="false" customHeight="false" outlineLevel="0" collapsed="false">
      <c r="A330" s="2" t="n">
        <v>46100</v>
      </c>
      <c r="B330" s="3" t="s">
        <v>115</v>
      </c>
      <c r="C330" s="0" t="n">
        <v>209</v>
      </c>
      <c r="D330" s="0" t="n">
        <v>1</v>
      </c>
      <c r="E330" s="0" t="str">
        <f aca="false">INDEX(lot!$B$2:$B$1201,MATCH(B330,lot!$A$2:$A$1201,0))</f>
        <v>SUP-D</v>
      </c>
      <c r="F330" s="3" t="n">
        <f aca="false">YEAR(A330)*100+MONTH(A330)</f>
        <v>202603</v>
      </c>
    </row>
    <row r="331" customFormat="false" ht="15" hidden="false" customHeight="false" outlineLevel="0" collapsed="false">
      <c r="A331" s="2" t="n">
        <v>46100</v>
      </c>
      <c r="B331" s="3" t="s">
        <v>257</v>
      </c>
      <c r="C331" s="0" t="n">
        <v>215</v>
      </c>
      <c r="D331" s="0" t="n">
        <v>1</v>
      </c>
      <c r="E331" s="0" t="str">
        <f aca="false">INDEX(lot!$B$2:$B$1201,MATCH(B331,lot!$A$2:$A$1201,0))</f>
        <v>SUP-A</v>
      </c>
      <c r="F331" s="3" t="n">
        <f aca="false">YEAR(A331)*100+MONTH(A331)</f>
        <v>202603</v>
      </c>
    </row>
    <row r="332" customFormat="false" ht="15" hidden="false" customHeight="false" outlineLevel="0" collapsed="false">
      <c r="A332" s="2" t="n">
        <v>46100</v>
      </c>
      <c r="B332" s="3" t="s">
        <v>283</v>
      </c>
      <c r="C332" s="0" t="n">
        <v>105</v>
      </c>
      <c r="D332" s="0" t="n">
        <v>2</v>
      </c>
      <c r="E332" s="0" t="str">
        <f aca="false">INDEX(lot!$B$2:$B$1201,MATCH(B332,lot!$A$2:$A$1201,0))</f>
        <v>SUP-E</v>
      </c>
      <c r="F332" s="3" t="n">
        <f aca="false">YEAR(A332)*100+MONTH(A332)</f>
        <v>202603</v>
      </c>
    </row>
    <row r="333" customFormat="false" ht="15" hidden="false" customHeight="false" outlineLevel="0" collapsed="false">
      <c r="A333" s="2" t="n">
        <v>46100</v>
      </c>
      <c r="B333" s="3" t="s">
        <v>324</v>
      </c>
      <c r="C333" s="0" t="n">
        <v>192</v>
      </c>
      <c r="D333" s="0" t="n">
        <v>3</v>
      </c>
      <c r="E333" s="0" t="str">
        <f aca="false">INDEX(lot!$B$2:$B$1201,MATCH(B333,lot!$A$2:$A$1201,0))</f>
        <v>SUP-E</v>
      </c>
      <c r="F333" s="3" t="n">
        <f aca="false">YEAR(A333)*100+MONTH(A333)</f>
        <v>202603</v>
      </c>
    </row>
    <row r="334" customFormat="false" ht="15" hidden="false" customHeight="false" outlineLevel="0" collapsed="false">
      <c r="A334" s="2" t="n">
        <v>46100</v>
      </c>
      <c r="B334" s="3" t="s">
        <v>328</v>
      </c>
      <c r="C334" s="0" t="n">
        <v>152</v>
      </c>
      <c r="D334" s="0" t="n">
        <v>3</v>
      </c>
      <c r="E334" s="0" t="str">
        <f aca="false">INDEX(lot!$B$2:$B$1201,MATCH(B334,lot!$A$2:$A$1201,0))</f>
        <v>SUP-D</v>
      </c>
      <c r="F334" s="3" t="n">
        <f aca="false">YEAR(A334)*100+MONTH(A334)</f>
        <v>202603</v>
      </c>
    </row>
    <row r="335" customFormat="false" ht="15" hidden="false" customHeight="false" outlineLevel="0" collapsed="false">
      <c r="A335" s="2" t="n">
        <v>46100</v>
      </c>
      <c r="B335" s="3" t="s">
        <v>480</v>
      </c>
      <c r="C335" s="0" t="n">
        <v>145</v>
      </c>
      <c r="D335" s="0" t="n">
        <v>3</v>
      </c>
      <c r="E335" s="0" t="str">
        <f aca="false">INDEX(lot!$B$2:$B$1201,MATCH(B335,lot!$A$2:$A$1201,0))</f>
        <v>SUP-E</v>
      </c>
      <c r="F335" s="3" t="n">
        <f aca="false">YEAR(A335)*100+MONTH(A335)</f>
        <v>202603</v>
      </c>
    </row>
    <row r="336" customFormat="false" ht="15" hidden="false" customHeight="false" outlineLevel="0" collapsed="false">
      <c r="A336" s="2" t="n">
        <v>46100</v>
      </c>
      <c r="B336" s="3" t="s">
        <v>480</v>
      </c>
      <c r="C336" s="0" t="n">
        <v>177</v>
      </c>
      <c r="D336" s="0" t="n">
        <v>2</v>
      </c>
      <c r="E336" s="0" t="str">
        <f aca="false">INDEX(lot!$B$2:$B$1201,MATCH(B336,lot!$A$2:$A$1201,0))</f>
        <v>SUP-E</v>
      </c>
      <c r="F336" s="3" t="n">
        <f aca="false">YEAR(A336)*100+MONTH(A336)</f>
        <v>202603</v>
      </c>
    </row>
    <row r="337" customFormat="false" ht="15" hidden="false" customHeight="false" outlineLevel="0" collapsed="false">
      <c r="A337" s="2" t="n">
        <v>46100</v>
      </c>
      <c r="B337" s="3" t="s">
        <v>503</v>
      </c>
      <c r="C337" s="0" t="n">
        <v>133</v>
      </c>
      <c r="D337" s="0" t="n">
        <v>5</v>
      </c>
      <c r="E337" s="0" t="str">
        <f aca="false">INDEX(lot!$B$2:$B$1201,MATCH(B337,lot!$A$2:$A$1201,0))</f>
        <v>SUP-C</v>
      </c>
      <c r="F337" s="3" t="n">
        <f aca="false">YEAR(A337)*100+MONTH(A337)</f>
        <v>202603</v>
      </c>
    </row>
    <row r="338" customFormat="false" ht="15" hidden="false" customHeight="false" outlineLevel="0" collapsed="false">
      <c r="A338" s="2" t="n">
        <v>46100</v>
      </c>
      <c r="B338" s="3" t="s">
        <v>599</v>
      </c>
      <c r="C338" s="0" t="n">
        <v>177</v>
      </c>
      <c r="D338" s="0" t="n">
        <v>5</v>
      </c>
      <c r="E338" s="0" t="str">
        <f aca="false">INDEX(lot!$B$2:$B$1201,MATCH(B338,lot!$A$2:$A$1201,0))</f>
        <v>SUP-C</v>
      </c>
      <c r="F338" s="3" t="n">
        <f aca="false">YEAR(A338)*100+MONTH(A338)</f>
        <v>202603</v>
      </c>
    </row>
    <row r="339" customFormat="false" ht="15" hidden="false" customHeight="false" outlineLevel="0" collapsed="false">
      <c r="A339" s="2" t="n">
        <v>46100</v>
      </c>
      <c r="B339" s="3" t="s">
        <v>608</v>
      </c>
      <c r="C339" s="0" t="n">
        <v>63</v>
      </c>
      <c r="D339" s="0" t="n">
        <v>1</v>
      </c>
      <c r="E339" s="0" t="str">
        <f aca="false">INDEX(lot!$B$2:$B$1201,MATCH(B339,lot!$A$2:$A$1201,0))</f>
        <v>SUP-E</v>
      </c>
      <c r="F339" s="3" t="n">
        <f aca="false">YEAR(A339)*100+MONTH(A339)</f>
        <v>202603</v>
      </c>
    </row>
    <row r="340" customFormat="false" ht="15" hidden="false" customHeight="false" outlineLevel="0" collapsed="false">
      <c r="A340" s="2" t="n">
        <v>46100</v>
      </c>
      <c r="B340" s="3" t="s">
        <v>614</v>
      </c>
      <c r="C340" s="0" t="n">
        <v>64</v>
      </c>
      <c r="D340" s="0" t="n">
        <v>6</v>
      </c>
      <c r="E340" s="0" t="str">
        <f aca="false">INDEX(lot!$B$2:$B$1201,MATCH(B340,lot!$A$2:$A$1201,0))</f>
        <v>SUP-D</v>
      </c>
      <c r="F340" s="3" t="n">
        <f aca="false">YEAR(A340)*100+MONTH(A340)</f>
        <v>202603</v>
      </c>
    </row>
    <row r="341" customFormat="false" ht="15" hidden="false" customHeight="false" outlineLevel="0" collapsed="false">
      <c r="A341" s="2" t="n">
        <v>46100</v>
      </c>
      <c r="B341" s="3" t="s">
        <v>614</v>
      </c>
      <c r="C341" s="0" t="n">
        <v>196</v>
      </c>
      <c r="D341" s="0" t="n">
        <v>11</v>
      </c>
      <c r="E341" s="0" t="str">
        <f aca="false">INDEX(lot!$B$2:$B$1201,MATCH(B341,lot!$A$2:$A$1201,0))</f>
        <v>SUP-D</v>
      </c>
      <c r="F341" s="3" t="n">
        <f aca="false">YEAR(A341)*100+MONTH(A341)</f>
        <v>202603</v>
      </c>
    </row>
    <row r="342" customFormat="false" ht="15" hidden="false" customHeight="false" outlineLevel="0" collapsed="false">
      <c r="A342" s="2" t="n">
        <v>46100</v>
      </c>
      <c r="B342" s="3" t="s">
        <v>722</v>
      </c>
      <c r="C342" s="0" t="n">
        <v>146</v>
      </c>
      <c r="D342" s="0" t="n">
        <v>3</v>
      </c>
      <c r="E342" s="0" t="str">
        <f aca="false">INDEX(lot!$B$2:$B$1201,MATCH(B342,lot!$A$2:$A$1201,0))</f>
        <v>SUP-C</v>
      </c>
      <c r="F342" s="3" t="n">
        <f aca="false">YEAR(A342)*100+MONTH(A342)</f>
        <v>202603</v>
      </c>
    </row>
    <row r="343" customFormat="false" ht="15" hidden="false" customHeight="false" outlineLevel="0" collapsed="false">
      <c r="A343" s="2" t="n">
        <v>46100</v>
      </c>
      <c r="B343" s="3" t="s">
        <v>784</v>
      </c>
      <c r="C343" s="0" t="n">
        <v>243</v>
      </c>
      <c r="D343" s="0" t="n">
        <v>7</v>
      </c>
      <c r="E343" s="0" t="str">
        <f aca="false">INDEX(lot!$B$2:$B$1201,MATCH(B343,lot!$A$2:$A$1201,0))</f>
        <v>SUP-C</v>
      </c>
      <c r="F343" s="3" t="n">
        <f aca="false">YEAR(A343)*100+MONTH(A343)</f>
        <v>202603</v>
      </c>
    </row>
    <row r="344" customFormat="false" ht="15" hidden="false" customHeight="false" outlineLevel="0" collapsed="false">
      <c r="A344" s="2" t="n">
        <v>46100</v>
      </c>
      <c r="B344" s="3" t="s">
        <v>859</v>
      </c>
      <c r="C344" s="0" t="n">
        <v>195</v>
      </c>
      <c r="D344" s="0" t="n">
        <v>5</v>
      </c>
      <c r="E344" s="0" t="str">
        <f aca="false">INDEX(lot!$B$2:$B$1201,MATCH(B344,lot!$A$2:$A$1201,0))</f>
        <v>SUP-D</v>
      </c>
      <c r="F344" s="3" t="n">
        <f aca="false">YEAR(A344)*100+MONTH(A344)</f>
        <v>202603</v>
      </c>
    </row>
    <row r="345" customFormat="false" ht="15" hidden="false" customHeight="false" outlineLevel="0" collapsed="false">
      <c r="A345" s="2" t="n">
        <v>46100</v>
      </c>
      <c r="B345" s="3" t="s">
        <v>948</v>
      </c>
      <c r="C345" s="0" t="n">
        <v>177</v>
      </c>
      <c r="D345" s="0" t="n">
        <v>3</v>
      </c>
      <c r="E345" s="0" t="str">
        <f aca="false">INDEX(lot!$B$2:$B$1201,MATCH(B345,lot!$A$2:$A$1201,0))</f>
        <v>SUP-A</v>
      </c>
      <c r="F345" s="3" t="n">
        <f aca="false">YEAR(A345)*100+MONTH(A345)</f>
        <v>202603</v>
      </c>
    </row>
    <row r="346" customFormat="false" ht="15" hidden="false" customHeight="false" outlineLevel="0" collapsed="false">
      <c r="A346" s="2" t="n">
        <v>46100</v>
      </c>
      <c r="B346" s="3" t="s">
        <v>948</v>
      </c>
      <c r="C346" s="0" t="n">
        <v>67</v>
      </c>
      <c r="D346" s="0" t="n">
        <v>0</v>
      </c>
      <c r="E346" s="0" t="str">
        <f aca="false">INDEX(lot!$B$2:$B$1201,MATCH(B346,lot!$A$2:$A$1201,0))</f>
        <v>SUP-A</v>
      </c>
      <c r="F346" s="3" t="n">
        <f aca="false">YEAR(A346)*100+MONTH(A346)</f>
        <v>202603</v>
      </c>
    </row>
    <row r="347" customFormat="false" ht="15" hidden="false" customHeight="false" outlineLevel="0" collapsed="false">
      <c r="A347" s="2" t="n">
        <v>46101</v>
      </c>
      <c r="B347" s="3" t="s">
        <v>47</v>
      </c>
      <c r="C347" s="0" t="n">
        <v>154</v>
      </c>
      <c r="D347" s="0" t="n">
        <v>0</v>
      </c>
      <c r="E347" s="0" t="str">
        <f aca="false">INDEX(lot!$B$2:$B$1201,MATCH(B347,lot!$A$2:$A$1201,0))</f>
        <v>SUP-D</v>
      </c>
      <c r="F347" s="3" t="n">
        <f aca="false">YEAR(A347)*100+MONTH(A347)</f>
        <v>202603</v>
      </c>
    </row>
    <row r="348" customFormat="false" ht="15" hidden="false" customHeight="false" outlineLevel="0" collapsed="false">
      <c r="A348" s="2" t="n">
        <v>46101</v>
      </c>
      <c r="B348" s="3" t="s">
        <v>47</v>
      </c>
      <c r="C348" s="0" t="n">
        <v>121</v>
      </c>
      <c r="D348" s="0" t="n">
        <v>1</v>
      </c>
      <c r="E348" s="0" t="str">
        <f aca="false">INDEX(lot!$B$2:$B$1201,MATCH(B348,lot!$A$2:$A$1201,0))</f>
        <v>SUP-D</v>
      </c>
      <c r="F348" s="3" t="n">
        <f aca="false">YEAR(A348)*100+MONTH(A348)</f>
        <v>202603</v>
      </c>
    </row>
    <row r="349" customFormat="false" ht="15" hidden="false" customHeight="false" outlineLevel="0" collapsed="false">
      <c r="A349" s="2" t="n">
        <v>46101</v>
      </c>
      <c r="B349" s="3" t="s">
        <v>79</v>
      </c>
      <c r="C349" s="0" t="n">
        <v>198</v>
      </c>
      <c r="D349" s="0" t="n">
        <v>1</v>
      </c>
      <c r="E349" s="0" t="str">
        <f aca="false">INDEX(lot!$B$2:$B$1201,MATCH(B349,lot!$A$2:$A$1201,0))</f>
        <v>SUP-E</v>
      </c>
      <c r="F349" s="3" t="n">
        <f aca="false">YEAR(A349)*100+MONTH(A349)</f>
        <v>202603</v>
      </c>
    </row>
    <row r="350" customFormat="false" ht="15" hidden="false" customHeight="false" outlineLevel="0" collapsed="false">
      <c r="A350" s="2" t="n">
        <v>46101</v>
      </c>
      <c r="B350" s="3" t="s">
        <v>110</v>
      </c>
      <c r="C350" s="0" t="n">
        <v>134</v>
      </c>
      <c r="D350" s="0" t="n">
        <v>0</v>
      </c>
      <c r="E350" s="0" t="str">
        <f aca="false">INDEX(lot!$B$2:$B$1201,MATCH(B350,lot!$A$2:$A$1201,0))</f>
        <v>SUP-D</v>
      </c>
      <c r="F350" s="3" t="n">
        <f aca="false">YEAR(A350)*100+MONTH(A350)</f>
        <v>202603</v>
      </c>
    </row>
    <row r="351" customFormat="false" ht="15" hidden="false" customHeight="false" outlineLevel="0" collapsed="false">
      <c r="A351" s="2" t="n">
        <v>46101</v>
      </c>
      <c r="B351" s="3" t="s">
        <v>110</v>
      </c>
      <c r="C351" s="0" t="n">
        <v>246</v>
      </c>
      <c r="D351" s="0" t="n">
        <v>2</v>
      </c>
      <c r="E351" s="0" t="str">
        <f aca="false">INDEX(lot!$B$2:$B$1201,MATCH(B351,lot!$A$2:$A$1201,0))</f>
        <v>SUP-D</v>
      </c>
      <c r="F351" s="3" t="n">
        <f aca="false">YEAR(A351)*100+MONTH(A351)</f>
        <v>202603</v>
      </c>
    </row>
    <row r="352" customFormat="false" ht="15" hidden="false" customHeight="false" outlineLevel="0" collapsed="false">
      <c r="A352" s="2" t="n">
        <v>46101</v>
      </c>
      <c r="B352" s="3" t="s">
        <v>114</v>
      </c>
      <c r="C352" s="0" t="n">
        <v>162</v>
      </c>
      <c r="D352" s="0" t="n">
        <v>1</v>
      </c>
      <c r="E352" s="0" t="str">
        <f aca="false">INDEX(lot!$B$2:$B$1201,MATCH(B352,lot!$A$2:$A$1201,0))</f>
        <v>SUP-E</v>
      </c>
      <c r="F352" s="3" t="n">
        <f aca="false">YEAR(A352)*100+MONTH(A352)</f>
        <v>202603</v>
      </c>
    </row>
    <row r="353" customFormat="false" ht="15" hidden="false" customHeight="false" outlineLevel="0" collapsed="false">
      <c r="A353" s="2" t="n">
        <v>46101</v>
      </c>
      <c r="B353" s="3" t="s">
        <v>114</v>
      </c>
      <c r="C353" s="0" t="n">
        <v>112</v>
      </c>
      <c r="D353" s="0" t="n">
        <v>1</v>
      </c>
      <c r="E353" s="0" t="str">
        <f aca="false">INDEX(lot!$B$2:$B$1201,MATCH(B353,lot!$A$2:$A$1201,0))</f>
        <v>SUP-E</v>
      </c>
      <c r="F353" s="3" t="n">
        <f aca="false">YEAR(A353)*100+MONTH(A353)</f>
        <v>202603</v>
      </c>
    </row>
    <row r="354" customFormat="false" ht="15" hidden="false" customHeight="false" outlineLevel="0" collapsed="false">
      <c r="A354" s="2" t="n">
        <v>46101</v>
      </c>
      <c r="B354" s="3" t="s">
        <v>115</v>
      </c>
      <c r="C354" s="0" t="n">
        <v>147</v>
      </c>
      <c r="D354" s="0" t="n">
        <v>1</v>
      </c>
      <c r="E354" s="0" t="str">
        <f aca="false">INDEX(lot!$B$2:$B$1201,MATCH(B354,lot!$A$2:$A$1201,0))</f>
        <v>SUP-D</v>
      </c>
      <c r="F354" s="3" t="n">
        <f aca="false">YEAR(A354)*100+MONTH(A354)</f>
        <v>202603</v>
      </c>
    </row>
    <row r="355" customFormat="false" ht="15" hidden="false" customHeight="false" outlineLevel="0" collapsed="false">
      <c r="A355" s="2" t="n">
        <v>46101</v>
      </c>
      <c r="B355" s="3" t="s">
        <v>115</v>
      </c>
      <c r="C355" s="0" t="n">
        <v>233</v>
      </c>
      <c r="D355" s="0" t="n">
        <v>4</v>
      </c>
      <c r="E355" s="0" t="str">
        <f aca="false">INDEX(lot!$B$2:$B$1201,MATCH(B355,lot!$A$2:$A$1201,0))</f>
        <v>SUP-D</v>
      </c>
      <c r="F355" s="3" t="n">
        <f aca="false">YEAR(A355)*100+MONTH(A355)</f>
        <v>202603</v>
      </c>
    </row>
    <row r="356" customFormat="false" ht="15" hidden="false" customHeight="false" outlineLevel="0" collapsed="false">
      <c r="A356" s="2" t="n">
        <v>46101</v>
      </c>
      <c r="B356" s="3" t="s">
        <v>154</v>
      </c>
      <c r="C356" s="0" t="n">
        <v>77</v>
      </c>
      <c r="D356" s="0" t="n">
        <v>0</v>
      </c>
      <c r="E356" s="0" t="str">
        <f aca="false">INDEX(lot!$B$2:$B$1201,MATCH(B356,lot!$A$2:$A$1201,0))</f>
        <v>SUP-A</v>
      </c>
      <c r="F356" s="3" t="n">
        <f aca="false">YEAR(A356)*100+MONTH(A356)</f>
        <v>202603</v>
      </c>
    </row>
    <row r="357" customFormat="false" ht="15" hidden="false" customHeight="false" outlineLevel="0" collapsed="false">
      <c r="A357" s="2" t="n">
        <v>46101</v>
      </c>
      <c r="B357" s="3" t="s">
        <v>197</v>
      </c>
      <c r="C357" s="0" t="n">
        <v>96</v>
      </c>
      <c r="D357" s="0" t="n">
        <v>1</v>
      </c>
      <c r="E357" s="0" t="str">
        <f aca="false">INDEX(lot!$B$2:$B$1201,MATCH(B357,lot!$A$2:$A$1201,0))</f>
        <v>SUP-E</v>
      </c>
      <c r="F357" s="3" t="n">
        <f aca="false">YEAR(A357)*100+MONTH(A357)</f>
        <v>202603</v>
      </c>
    </row>
    <row r="358" customFormat="false" ht="15" hidden="false" customHeight="false" outlineLevel="0" collapsed="false">
      <c r="A358" s="2" t="n">
        <v>46101</v>
      </c>
      <c r="B358" s="3" t="s">
        <v>197</v>
      </c>
      <c r="C358" s="0" t="n">
        <v>118</v>
      </c>
      <c r="D358" s="0" t="n">
        <v>2</v>
      </c>
      <c r="E358" s="0" t="str">
        <f aca="false">INDEX(lot!$B$2:$B$1201,MATCH(B358,lot!$A$2:$A$1201,0))</f>
        <v>SUP-E</v>
      </c>
      <c r="F358" s="3" t="n">
        <f aca="false">YEAR(A358)*100+MONTH(A358)</f>
        <v>202603</v>
      </c>
    </row>
    <row r="359" customFormat="false" ht="15" hidden="false" customHeight="false" outlineLevel="0" collapsed="false">
      <c r="A359" s="2" t="n">
        <v>46101</v>
      </c>
      <c r="B359" s="3" t="s">
        <v>257</v>
      </c>
      <c r="C359" s="0" t="n">
        <v>121</v>
      </c>
      <c r="D359" s="0" t="n">
        <v>1</v>
      </c>
      <c r="E359" s="0" t="str">
        <f aca="false">INDEX(lot!$B$2:$B$1201,MATCH(B359,lot!$A$2:$A$1201,0))</f>
        <v>SUP-A</v>
      </c>
      <c r="F359" s="3" t="n">
        <f aca="false">YEAR(A359)*100+MONTH(A359)</f>
        <v>202603</v>
      </c>
    </row>
    <row r="360" customFormat="false" ht="15" hidden="false" customHeight="false" outlineLevel="0" collapsed="false">
      <c r="A360" s="2" t="n">
        <v>46101</v>
      </c>
      <c r="B360" s="3" t="s">
        <v>283</v>
      </c>
      <c r="C360" s="0" t="n">
        <v>116</v>
      </c>
      <c r="D360" s="0" t="n">
        <v>1</v>
      </c>
      <c r="E360" s="0" t="str">
        <f aca="false">INDEX(lot!$B$2:$B$1201,MATCH(B360,lot!$A$2:$A$1201,0))</f>
        <v>SUP-E</v>
      </c>
      <c r="F360" s="3" t="n">
        <f aca="false">YEAR(A360)*100+MONTH(A360)</f>
        <v>202603</v>
      </c>
    </row>
    <row r="361" customFormat="false" ht="15" hidden="false" customHeight="false" outlineLevel="0" collapsed="false">
      <c r="A361" s="2" t="n">
        <v>46101</v>
      </c>
      <c r="B361" s="3" t="s">
        <v>283</v>
      </c>
      <c r="C361" s="0" t="n">
        <v>212</v>
      </c>
      <c r="D361" s="0" t="n">
        <v>2</v>
      </c>
      <c r="E361" s="0" t="str">
        <f aca="false">INDEX(lot!$B$2:$B$1201,MATCH(B361,lot!$A$2:$A$1201,0))</f>
        <v>SUP-E</v>
      </c>
      <c r="F361" s="3" t="n">
        <f aca="false">YEAR(A361)*100+MONTH(A361)</f>
        <v>202603</v>
      </c>
    </row>
    <row r="362" customFormat="false" ht="15" hidden="false" customHeight="false" outlineLevel="0" collapsed="false">
      <c r="A362" s="2" t="n">
        <v>46101</v>
      </c>
      <c r="B362" s="3" t="s">
        <v>328</v>
      </c>
      <c r="C362" s="0" t="n">
        <v>189</v>
      </c>
      <c r="D362" s="0" t="n">
        <v>2</v>
      </c>
      <c r="E362" s="0" t="str">
        <f aca="false">INDEX(lot!$B$2:$B$1201,MATCH(B362,lot!$A$2:$A$1201,0))</f>
        <v>SUP-D</v>
      </c>
      <c r="F362" s="3" t="n">
        <f aca="false">YEAR(A362)*100+MONTH(A362)</f>
        <v>202603</v>
      </c>
    </row>
    <row r="363" customFormat="false" ht="15" hidden="false" customHeight="false" outlineLevel="0" collapsed="false">
      <c r="A363" s="2" t="n">
        <v>46101</v>
      </c>
      <c r="B363" s="3" t="s">
        <v>328</v>
      </c>
      <c r="C363" s="0" t="n">
        <v>66</v>
      </c>
      <c r="D363" s="0" t="n">
        <v>0</v>
      </c>
      <c r="E363" s="0" t="str">
        <f aca="false">INDEX(lot!$B$2:$B$1201,MATCH(B363,lot!$A$2:$A$1201,0))</f>
        <v>SUP-D</v>
      </c>
      <c r="F363" s="3" t="n">
        <f aca="false">YEAR(A363)*100+MONTH(A363)</f>
        <v>202603</v>
      </c>
    </row>
    <row r="364" customFormat="false" ht="15" hidden="false" customHeight="false" outlineLevel="0" collapsed="false">
      <c r="A364" s="2" t="n">
        <v>46101</v>
      </c>
      <c r="B364" s="3" t="s">
        <v>503</v>
      </c>
      <c r="C364" s="0" t="n">
        <v>123</v>
      </c>
      <c r="D364" s="0" t="n">
        <v>4</v>
      </c>
      <c r="E364" s="0" t="str">
        <f aca="false">INDEX(lot!$B$2:$B$1201,MATCH(B364,lot!$A$2:$A$1201,0))</f>
        <v>SUP-C</v>
      </c>
      <c r="F364" s="3" t="n">
        <f aca="false">YEAR(A364)*100+MONTH(A364)</f>
        <v>202603</v>
      </c>
    </row>
    <row r="365" customFormat="false" ht="15" hidden="false" customHeight="false" outlineLevel="0" collapsed="false">
      <c r="A365" s="2" t="n">
        <v>46101</v>
      </c>
      <c r="B365" s="3" t="s">
        <v>503</v>
      </c>
      <c r="C365" s="0" t="n">
        <v>129</v>
      </c>
      <c r="D365" s="0" t="n">
        <v>4</v>
      </c>
      <c r="E365" s="0" t="str">
        <f aca="false">INDEX(lot!$B$2:$B$1201,MATCH(B365,lot!$A$2:$A$1201,0))</f>
        <v>SUP-C</v>
      </c>
      <c r="F365" s="3" t="n">
        <f aca="false">YEAR(A365)*100+MONTH(A365)</f>
        <v>202603</v>
      </c>
    </row>
    <row r="366" customFormat="false" ht="15" hidden="false" customHeight="false" outlineLevel="0" collapsed="false">
      <c r="A366" s="2" t="n">
        <v>46101</v>
      </c>
      <c r="B366" s="3" t="s">
        <v>539</v>
      </c>
      <c r="C366" s="0" t="n">
        <v>237</v>
      </c>
      <c r="D366" s="0" t="n">
        <v>2</v>
      </c>
      <c r="E366" s="0" t="str">
        <f aca="false">INDEX(lot!$B$2:$B$1201,MATCH(B366,lot!$A$2:$A$1201,0))</f>
        <v>SUP-E</v>
      </c>
      <c r="F366" s="3" t="n">
        <f aca="false">YEAR(A366)*100+MONTH(A366)</f>
        <v>202603</v>
      </c>
    </row>
    <row r="367" customFormat="false" ht="15" hidden="false" customHeight="false" outlineLevel="0" collapsed="false">
      <c r="A367" s="2" t="n">
        <v>46101</v>
      </c>
      <c r="B367" s="3" t="s">
        <v>559</v>
      </c>
      <c r="C367" s="0" t="n">
        <v>219</v>
      </c>
      <c r="D367" s="0" t="n">
        <v>2</v>
      </c>
      <c r="E367" s="0" t="str">
        <f aca="false">INDEX(lot!$B$2:$B$1201,MATCH(B367,lot!$A$2:$A$1201,0))</f>
        <v>SUP-D</v>
      </c>
      <c r="F367" s="3" t="n">
        <f aca="false">YEAR(A367)*100+MONTH(A367)</f>
        <v>202603</v>
      </c>
    </row>
    <row r="368" customFormat="false" ht="15" hidden="false" customHeight="false" outlineLevel="0" collapsed="false">
      <c r="A368" s="2" t="n">
        <v>46101</v>
      </c>
      <c r="B368" s="3" t="s">
        <v>594</v>
      </c>
      <c r="C368" s="0" t="n">
        <v>183</v>
      </c>
      <c r="D368" s="0" t="n">
        <v>1</v>
      </c>
      <c r="E368" s="0" t="str">
        <f aca="false">INDEX(lot!$B$2:$B$1201,MATCH(B368,lot!$A$2:$A$1201,0))</f>
        <v>SUP-E</v>
      </c>
      <c r="F368" s="3" t="n">
        <f aca="false">YEAR(A368)*100+MONTH(A368)</f>
        <v>202603</v>
      </c>
    </row>
    <row r="369" customFormat="false" ht="15" hidden="false" customHeight="false" outlineLevel="0" collapsed="false">
      <c r="A369" s="2" t="n">
        <v>46101</v>
      </c>
      <c r="B369" s="3" t="s">
        <v>594</v>
      </c>
      <c r="C369" s="0" t="n">
        <v>190</v>
      </c>
      <c r="D369" s="0" t="n">
        <v>1</v>
      </c>
      <c r="E369" s="0" t="str">
        <f aca="false">INDEX(lot!$B$2:$B$1201,MATCH(B369,lot!$A$2:$A$1201,0))</f>
        <v>SUP-E</v>
      </c>
      <c r="F369" s="3" t="n">
        <f aca="false">YEAR(A369)*100+MONTH(A369)</f>
        <v>202603</v>
      </c>
    </row>
    <row r="370" customFormat="false" ht="15" hidden="false" customHeight="false" outlineLevel="0" collapsed="false">
      <c r="A370" s="2" t="n">
        <v>46101</v>
      </c>
      <c r="B370" s="3" t="s">
        <v>614</v>
      </c>
      <c r="C370" s="0" t="n">
        <v>207</v>
      </c>
      <c r="D370" s="0" t="n">
        <v>18</v>
      </c>
      <c r="E370" s="0" t="str">
        <f aca="false">INDEX(lot!$B$2:$B$1201,MATCH(B370,lot!$A$2:$A$1201,0))</f>
        <v>SUP-D</v>
      </c>
      <c r="F370" s="3" t="n">
        <f aca="false">YEAR(A370)*100+MONTH(A370)</f>
        <v>202603</v>
      </c>
    </row>
    <row r="371" customFormat="false" ht="15" hidden="false" customHeight="false" outlineLevel="0" collapsed="false">
      <c r="A371" s="2" t="n">
        <v>46101</v>
      </c>
      <c r="B371" s="3" t="s">
        <v>696</v>
      </c>
      <c r="C371" s="0" t="n">
        <v>75</v>
      </c>
      <c r="D371" s="0" t="n">
        <v>0</v>
      </c>
      <c r="E371" s="0" t="str">
        <f aca="false">INDEX(lot!$B$2:$B$1201,MATCH(B371,lot!$A$2:$A$1201,0))</f>
        <v>SUP-D</v>
      </c>
      <c r="F371" s="3" t="n">
        <f aca="false">YEAR(A371)*100+MONTH(A371)</f>
        <v>202603</v>
      </c>
    </row>
    <row r="372" customFormat="false" ht="15" hidden="false" customHeight="false" outlineLevel="0" collapsed="false">
      <c r="A372" s="2" t="n">
        <v>46101</v>
      </c>
      <c r="B372" s="3" t="s">
        <v>778</v>
      </c>
      <c r="C372" s="0" t="n">
        <v>69</v>
      </c>
      <c r="D372" s="0" t="n">
        <v>3</v>
      </c>
      <c r="E372" s="0" t="str">
        <f aca="false">INDEX(lot!$B$2:$B$1201,MATCH(B372,lot!$A$2:$A$1201,0))</f>
        <v>SUP-C</v>
      </c>
      <c r="F372" s="3" t="n">
        <f aca="false">YEAR(A372)*100+MONTH(A372)</f>
        <v>202603</v>
      </c>
    </row>
    <row r="373" customFormat="false" ht="15" hidden="false" customHeight="false" outlineLevel="0" collapsed="false">
      <c r="A373" s="2" t="n">
        <v>46101</v>
      </c>
      <c r="B373" s="3" t="s">
        <v>784</v>
      </c>
      <c r="C373" s="0" t="n">
        <v>182</v>
      </c>
      <c r="D373" s="0" t="n">
        <v>5</v>
      </c>
      <c r="E373" s="0" t="str">
        <f aca="false">INDEX(lot!$B$2:$B$1201,MATCH(B373,lot!$A$2:$A$1201,0))</f>
        <v>SUP-C</v>
      </c>
      <c r="F373" s="3" t="n">
        <f aca="false">YEAR(A373)*100+MONTH(A373)</f>
        <v>202603</v>
      </c>
    </row>
    <row r="374" customFormat="false" ht="15" hidden="false" customHeight="false" outlineLevel="0" collapsed="false">
      <c r="A374" s="2" t="n">
        <v>46101</v>
      </c>
      <c r="B374" s="3" t="s">
        <v>784</v>
      </c>
      <c r="C374" s="0" t="n">
        <v>203</v>
      </c>
      <c r="D374" s="0" t="n">
        <v>7</v>
      </c>
      <c r="E374" s="0" t="str">
        <f aca="false">INDEX(lot!$B$2:$B$1201,MATCH(B374,lot!$A$2:$A$1201,0))</f>
        <v>SUP-C</v>
      </c>
      <c r="F374" s="3" t="n">
        <f aca="false">YEAR(A374)*100+MONTH(A374)</f>
        <v>202603</v>
      </c>
    </row>
    <row r="375" customFormat="false" ht="15" hidden="false" customHeight="false" outlineLevel="0" collapsed="false">
      <c r="A375" s="2" t="n">
        <v>46101</v>
      </c>
      <c r="B375" s="3" t="s">
        <v>807</v>
      </c>
      <c r="C375" s="0" t="n">
        <v>108</v>
      </c>
      <c r="D375" s="0" t="n">
        <v>9</v>
      </c>
      <c r="E375" s="0" t="str">
        <f aca="false">INDEX(lot!$B$2:$B$1201,MATCH(B375,lot!$A$2:$A$1201,0))</f>
        <v>SUP-A</v>
      </c>
      <c r="F375" s="3" t="n">
        <f aca="false">YEAR(A375)*100+MONTH(A375)</f>
        <v>202603</v>
      </c>
    </row>
    <row r="376" customFormat="false" ht="15" hidden="false" customHeight="false" outlineLevel="0" collapsed="false">
      <c r="A376" s="2" t="n">
        <v>46101</v>
      </c>
      <c r="B376" s="3" t="s">
        <v>859</v>
      </c>
      <c r="C376" s="0" t="n">
        <v>250</v>
      </c>
      <c r="D376" s="0" t="n">
        <v>1</v>
      </c>
      <c r="E376" s="0" t="str">
        <f aca="false">INDEX(lot!$B$2:$B$1201,MATCH(B376,lot!$A$2:$A$1201,0))</f>
        <v>SUP-D</v>
      </c>
      <c r="F376" s="3" t="n">
        <f aca="false">YEAR(A376)*100+MONTH(A376)</f>
        <v>202603</v>
      </c>
    </row>
    <row r="377" customFormat="false" ht="15" hidden="false" customHeight="false" outlineLevel="0" collapsed="false">
      <c r="A377" s="2" t="n">
        <v>46101</v>
      </c>
      <c r="B377" s="3" t="s">
        <v>859</v>
      </c>
      <c r="C377" s="0" t="n">
        <v>125</v>
      </c>
      <c r="D377" s="0" t="n">
        <v>2</v>
      </c>
      <c r="E377" s="0" t="str">
        <f aca="false">INDEX(lot!$B$2:$B$1201,MATCH(B377,lot!$A$2:$A$1201,0))</f>
        <v>SUP-D</v>
      </c>
      <c r="F377" s="3" t="n">
        <f aca="false">YEAR(A377)*100+MONTH(A377)</f>
        <v>202603</v>
      </c>
    </row>
    <row r="378" customFormat="false" ht="15" hidden="false" customHeight="false" outlineLevel="0" collapsed="false">
      <c r="A378" s="2" t="n">
        <v>46101</v>
      </c>
      <c r="B378" s="3" t="s">
        <v>948</v>
      </c>
      <c r="C378" s="0" t="n">
        <v>137</v>
      </c>
      <c r="D378" s="0" t="n">
        <v>1</v>
      </c>
      <c r="E378" s="0" t="str">
        <f aca="false">INDEX(lot!$B$2:$B$1201,MATCH(B378,lot!$A$2:$A$1201,0))</f>
        <v>SUP-A</v>
      </c>
      <c r="F378" s="3" t="n">
        <f aca="false">YEAR(A378)*100+MONTH(A378)</f>
        <v>202603</v>
      </c>
    </row>
    <row r="379" customFormat="false" ht="15" hidden="false" customHeight="false" outlineLevel="0" collapsed="false">
      <c r="A379" s="2" t="n">
        <v>46101</v>
      </c>
      <c r="B379" s="3" t="s">
        <v>948</v>
      </c>
      <c r="C379" s="0" t="n">
        <v>108</v>
      </c>
      <c r="D379" s="0" t="n">
        <v>1</v>
      </c>
      <c r="E379" s="0" t="str">
        <f aca="false">INDEX(lot!$B$2:$B$1201,MATCH(B379,lot!$A$2:$A$1201,0))</f>
        <v>SUP-A</v>
      </c>
      <c r="F379" s="3" t="n">
        <f aca="false">YEAR(A379)*100+MONTH(A379)</f>
        <v>202603</v>
      </c>
    </row>
    <row r="380" customFormat="false" ht="15" hidden="false" customHeight="false" outlineLevel="0" collapsed="false">
      <c r="A380" s="2" t="n">
        <v>46101</v>
      </c>
      <c r="B380" s="3" t="s">
        <v>1038</v>
      </c>
      <c r="C380" s="0" t="n">
        <v>136</v>
      </c>
      <c r="D380" s="0" t="n">
        <v>2</v>
      </c>
      <c r="E380" s="0" t="str">
        <f aca="false">INDEX(lot!$B$2:$B$1201,MATCH(B380,lot!$A$2:$A$1201,0))</f>
        <v>SUP-E</v>
      </c>
      <c r="F380" s="3" t="n">
        <f aca="false">YEAR(A380)*100+MONTH(A380)</f>
        <v>202603</v>
      </c>
    </row>
    <row r="381" customFormat="false" ht="15" hidden="false" customHeight="false" outlineLevel="0" collapsed="false">
      <c r="A381" s="2" t="n">
        <v>46101</v>
      </c>
      <c r="B381" s="3" t="s">
        <v>1038</v>
      </c>
      <c r="C381" s="0" t="n">
        <v>98</v>
      </c>
      <c r="D381" s="0" t="n">
        <v>1</v>
      </c>
      <c r="E381" s="0" t="str">
        <f aca="false">INDEX(lot!$B$2:$B$1201,MATCH(B381,lot!$A$2:$A$1201,0))</f>
        <v>SUP-E</v>
      </c>
      <c r="F381" s="3" t="n">
        <f aca="false">YEAR(A381)*100+MONTH(A381)</f>
        <v>202603</v>
      </c>
    </row>
    <row r="382" customFormat="false" ht="15" hidden="false" customHeight="false" outlineLevel="0" collapsed="false">
      <c r="A382" s="2" t="n">
        <v>46101</v>
      </c>
      <c r="B382" s="3" t="s">
        <v>1112</v>
      </c>
      <c r="C382" s="0" t="n">
        <v>139</v>
      </c>
      <c r="D382" s="0" t="n">
        <v>2</v>
      </c>
      <c r="E382" s="0" t="str">
        <f aca="false">INDEX(lot!$B$2:$B$1201,MATCH(B382,lot!$A$2:$A$1201,0))</f>
        <v>SUP-E</v>
      </c>
      <c r="F382" s="3" t="n">
        <f aca="false">YEAR(A382)*100+MONTH(A382)</f>
        <v>202603</v>
      </c>
    </row>
    <row r="383" customFormat="false" ht="15" hidden="false" customHeight="false" outlineLevel="0" collapsed="false">
      <c r="A383" s="2" t="n">
        <v>46101</v>
      </c>
      <c r="B383" s="3" t="s">
        <v>1158</v>
      </c>
      <c r="C383" s="0" t="n">
        <v>236</v>
      </c>
      <c r="D383" s="0" t="n">
        <v>1</v>
      </c>
      <c r="E383" s="0" t="str">
        <f aca="false">INDEX(lot!$B$2:$B$1201,MATCH(B383,lot!$A$2:$A$1201,0))</f>
        <v>SUP-E</v>
      </c>
      <c r="F383" s="3" t="n">
        <f aca="false">YEAR(A383)*100+MONTH(A383)</f>
        <v>202603</v>
      </c>
    </row>
    <row r="384" customFormat="false" ht="15" hidden="false" customHeight="false" outlineLevel="0" collapsed="false">
      <c r="A384" s="2" t="n">
        <v>46104</v>
      </c>
      <c r="B384" s="3" t="s">
        <v>79</v>
      </c>
      <c r="C384" s="0" t="n">
        <v>143</v>
      </c>
      <c r="D384" s="0" t="n">
        <v>2</v>
      </c>
      <c r="E384" s="0" t="str">
        <f aca="false">INDEX(lot!$B$2:$B$1201,MATCH(B384,lot!$A$2:$A$1201,0))</f>
        <v>SUP-E</v>
      </c>
      <c r="F384" s="3" t="n">
        <f aca="false">YEAR(A384)*100+MONTH(A384)</f>
        <v>202603</v>
      </c>
    </row>
    <row r="385" customFormat="false" ht="15" hidden="false" customHeight="false" outlineLevel="0" collapsed="false">
      <c r="A385" s="2" t="n">
        <v>46104</v>
      </c>
      <c r="B385" s="3" t="s">
        <v>110</v>
      </c>
      <c r="C385" s="0" t="n">
        <v>162</v>
      </c>
      <c r="D385" s="0" t="n">
        <v>2</v>
      </c>
      <c r="E385" s="0" t="str">
        <f aca="false">INDEX(lot!$B$2:$B$1201,MATCH(B385,lot!$A$2:$A$1201,0))</f>
        <v>SUP-D</v>
      </c>
      <c r="F385" s="3" t="n">
        <f aca="false">YEAR(A385)*100+MONTH(A385)</f>
        <v>202603</v>
      </c>
    </row>
    <row r="386" customFormat="false" ht="15" hidden="false" customHeight="false" outlineLevel="0" collapsed="false">
      <c r="A386" s="2" t="n">
        <v>46104</v>
      </c>
      <c r="B386" s="3" t="s">
        <v>154</v>
      </c>
      <c r="C386" s="0" t="n">
        <v>73</v>
      </c>
      <c r="D386" s="0" t="n">
        <v>2</v>
      </c>
      <c r="E386" s="0" t="str">
        <f aca="false">INDEX(lot!$B$2:$B$1201,MATCH(B386,lot!$A$2:$A$1201,0))</f>
        <v>SUP-A</v>
      </c>
      <c r="F386" s="3" t="n">
        <f aca="false">YEAR(A386)*100+MONTH(A386)</f>
        <v>202603</v>
      </c>
    </row>
    <row r="387" customFormat="false" ht="15" hidden="false" customHeight="false" outlineLevel="0" collapsed="false">
      <c r="A387" s="2" t="n">
        <v>46104</v>
      </c>
      <c r="B387" s="3" t="s">
        <v>154</v>
      </c>
      <c r="C387" s="0" t="n">
        <v>90</v>
      </c>
      <c r="D387" s="0" t="n">
        <v>1</v>
      </c>
      <c r="E387" s="0" t="str">
        <f aca="false">INDEX(lot!$B$2:$B$1201,MATCH(B387,lot!$A$2:$A$1201,0))</f>
        <v>SUP-A</v>
      </c>
      <c r="F387" s="3" t="n">
        <f aca="false">YEAR(A387)*100+MONTH(A387)</f>
        <v>202603</v>
      </c>
    </row>
    <row r="388" customFormat="false" ht="15" hidden="false" customHeight="false" outlineLevel="0" collapsed="false">
      <c r="A388" s="2" t="n">
        <v>46104</v>
      </c>
      <c r="B388" s="3" t="s">
        <v>180</v>
      </c>
      <c r="C388" s="0" t="n">
        <v>241</v>
      </c>
      <c r="D388" s="0" t="n">
        <v>3</v>
      </c>
      <c r="E388" s="0" t="str">
        <f aca="false">INDEX(lot!$B$2:$B$1201,MATCH(B388,lot!$A$2:$A$1201,0))</f>
        <v>SUP-D</v>
      </c>
      <c r="F388" s="3" t="n">
        <f aca="false">YEAR(A388)*100+MONTH(A388)</f>
        <v>202603</v>
      </c>
    </row>
    <row r="389" customFormat="false" ht="15" hidden="false" customHeight="false" outlineLevel="0" collapsed="false">
      <c r="A389" s="2" t="n">
        <v>46104</v>
      </c>
      <c r="B389" s="3" t="s">
        <v>214</v>
      </c>
      <c r="C389" s="0" t="n">
        <v>149</v>
      </c>
      <c r="D389" s="0" t="n">
        <v>0</v>
      </c>
      <c r="E389" s="0" t="str">
        <f aca="false">INDEX(lot!$B$2:$B$1201,MATCH(B389,lot!$A$2:$A$1201,0))</f>
        <v>SUP-E</v>
      </c>
      <c r="F389" s="3" t="n">
        <f aca="false">YEAR(A389)*100+MONTH(A389)</f>
        <v>202603</v>
      </c>
    </row>
    <row r="390" customFormat="false" ht="15" hidden="false" customHeight="false" outlineLevel="0" collapsed="false">
      <c r="A390" s="2" t="n">
        <v>46104</v>
      </c>
      <c r="B390" s="3" t="s">
        <v>214</v>
      </c>
      <c r="C390" s="0" t="n">
        <v>238</v>
      </c>
      <c r="D390" s="0" t="n">
        <v>0</v>
      </c>
      <c r="E390" s="0" t="str">
        <f aca="false">INDEX(lot!$B$2:$B$1201,MATCH(B390,lot!$A$2:$A$1201,0))</f>
        <v>SUP-E</v>
      </c>
      <c r="F390" s="3" t="n">
        <f aca="false">YEAR(A390)*100+MONTH(A390)</f>
        <v>202603</v>
      </c>
    </row>
    <row r="391" customFormat="false" ht="15" hidden="false" customHeight="false" outlineLevel="0" collapsed="false">
      <c r="A391" s="2" t="n">
        <v>46104</v>
      </c>
      <c r="B391" s="3" t="s">
        <v>255</v>
      </c>
      <c r="C391" s="0" t="n">
        <v>131</v>
      </c>
      <c r="D391" s="0" t="n">
        <v>1</v>
      </c>
      <c r="E391" s="0" t="str">
        <f aca="false">INDEX(lot!$B$2:$B$1201,MATCH(B391,lot!$A$2:$A$1201,0))</f>
        <v>SUP-A</v>
      </c>
      <c r="F391" s="3" t="n">
        <f aca="false">YEAR(A391)*100+MONTH(A391)</f>
        <v>202603</v>
      </c>
    </row>
    <row r="392" customFormat="false" ht="15" hidden="false" customHeight="false" outlineLevel="0" collapsed="false">
      <c r="A392" s="2" t="n">
        <v>46104</v>
      </c>
      <c r="B392" s="3" t="s">
        <v>255</v>
      </c>
      <c r="C392" s="0" t="n">
        <v>188</v>
      </c>
      <c r="D392" s="0" t="n">
        <v>2</v>
      </c>
      <c r="E392" s="0" t="str">
        <f aca="false">INDEX(lot!$B$2:$B$1201,MATCH(B392,lot!$A$2:$A$1201,0))</f>
        <v>SUP-A</v>
      </c>
      <c r="F392" s="3" t="n">
        <f aca="false">YEAR(A392)*100+MONTH(A392)</f>
        <v>202603</v>
      </c>
    </row>
    <row r="393" customFormat="false" ht="15" hidden="false" customHeight="false" outlineLevel="0" collapsed="false">
      <c r="A393" s="2" t="n">
        <v>46104</v>
      </c>
      <c r="B393" s="3" t="s">
        <v>279</v>
      </c>
      <c r="C393" s="0" t="n">
        <v>176</v>
      </c>
      <c r="D393" s="0" t="n">
        <v>0</v>
      </c>
      <c r="E393" s="0" t="str">
        <f aca="false">INDEX(lot!$B$2:$B$1201,MATCH(B393,lot!$A$2:$A$1201,0))</f>
        <v>SUP-A</v>
      </c>
      <c r="F393" s="3" t="n">
        <f aca="false">YEAR(A393)*100+MONTH(A393)</f>
        <v>202603</v>
      </c>
    </row>
    <row r="394" customFormat="false" ht="15" hidden="false" customHeight="false" outlineLevel="0" collapsed="false">
      <c r="A394" s="2" t="n">
        <v>46104</v>
      </c>
      <c r="B394" s="3" t="s">
        <v>279</v>
      </c>
      <c r="C394" s="0" t="n">
        <v>244</v>
      </c>
      <c r="D394" s="0" t="n">
        <v>2</v>
      </c>
      <c r="E394" s="0" t="str">
        <f aca="false">INDEX(lot!$B$2:$B$1201,MATCH(B394,lot!$A$2:$A$1201,0))</f>
        <v>SUP-A</v>
      </c>
      <c r="F394" s="3" t="n">
        <f aca="false">YEAR(A394)*100+MONTH(A394)</f>
        <v>202603</v>
      </c>
    </row>
    <row r="395" customFormat="false" ht="15" hidden="false" customHeight="false" outlineLevel="0" collapsed="false">
      <c r="A395" s="2" t="n">
        <v>46104</v>
      </c>
      <c r="B395" s="3" t="s">
        <v>283</v>
      </c>
      <c r="C395" s="0" t="n">
        <v>70</v>
      </c>
      <c r="D395" s="0" t="n">
        <v>0</v>
      </c>
      <c r="E395" s="0" t="str">
        <f aca="false">INDEX(lot!$B$2:$B$1201,MATCH(B395,lot!$A$2:$A$1201,0))</f>
        <v>SUP-E</v>
      </c>
      <c r="F395" s="3" t="n">
        <f aca="false">YEAR(A395)*100+MONTH(A395)</f>
        <v>202603</v>
      </c>
    </row>
    <row r="396" customFormat="false" ht="15" hidden="false" customHeight="false" outlineLevel="0" collapsed="false">
      <c r="A396" s="2" t="n">
        <v>46104</v>
      </c>
      <c r="B396" s="3" t="s">
        <v>283</v>
      </c>
      <c r="C396" s="0" t="n">
        <v>244</v>
      </c>
      <c r="D396" s="0" t="n">
        <v>0</v>
      </c>
      <c r="E396" s="0" t="str">
        <f aca="false">INDEX(lot!$B$2:$B$1201,MATCH(B396,lot!$A$2:$A$1201,0))</f>
        <v>SUP-E</v>
      </c>
      <c r="F396" s="3" t="n">
        <f aca="false">YEAR(A396)*100+MONTH(A396)</f>
        <v>202603</v>
      </c>
    </row>
    <row r="397" customFormat="false" ht="15" hidden="false" customHeight="false" outlineLevel="0" collapsed="false">
      <c r="A397" s="2" t="n">
        <v>46104</v>
      </c>
      <c r="B397" s="3" t="s">
        <v>328</v>
      </c>
      <c r="C397" s="0" t="n">
        <v>169</v>
      </c>
      <c r="D397" s="0" t="n">
        <v>1</v>
      </c>
      <c r="E397" s="0" t="str">
        <f aca="false">INDEX(lot!$B$2:$B$1201,MATCH(B397,lot!$A$2:$A$1201,0))</f>
        <v>SUP-D</v>
      </c>
      <c r="F397" s="3" t="n">
        <f aca="false">YEAR(A397)*100+MONTH(A397)</f>
        <v>202603</v>
      </c>
    </row>
    <row r="398" customFormat="false" ht="15" hidden="false" customHeight="false" outlineLevel="0" collapsed="false">
      <c r="A398" s="2" t="n">
        <v>46104</v>
      </c>
      <c r="B398" s="3" t="s">
        <v>329</v>
      </c>
      <c r="C398" s="0" t="n">
        <v>243</v>
      </c>
      <c r="D398" s="0" t="n">
        <v>3</v>
      </c>
      <c r="E398" s="0" t="str">
        <f aca="false">INDEX(lot!$B$2:$B$1201,MATCH(B398,lot!$A$2:$A$1201,0))</f>
        <v>SUP-D</v>
      </c>
      <c r="F398" s="3" t="n">
        <f aca="false">YEAR(A398)*100+MONTH(A398)</f>
        <v>202603</v>
      </c>
    </row>
    <row r="399" customFormat="false" ht="15" hidden="false" customHeight="false" outlineLevel="0" collapsed="false">
      <c r="A399" s="2" t="n">
        <v>46104</v>
      </c>
      <c r="B399" s="3" t="s">
        <v>329</v>
      </c>
      <c r="C399" s="0" t="n">
        <v>220</v>
      </c>
      <c r="D399" s="0" t="n">
        <v>3</v>
      </c>
      <c r="E399" s="0" t="str">
        <f aca="false">INDEX(lot!$B$2:$B$1201,MATCH(B399,lot!$A$2:$A$1201,0))</f>
        <v>SUP-D</v>
      </c>
      <c r="F399" s="3" t="n">
        <f aca="false">YEAR(A399)*100+MONTH(A399)</f>
        <v>202603</v>
      </c>
    </row>
    <row r="400" customFormat="false" ht="15" hidden="false" customHeight="false" outlineLevel="0" collapsed="false">
      <c r="A400" s="2" t="n">
        <v>46104</v>
      </c>
      <c r="B400" s="3" t="s">
        <v>377</v>
      </c>
      <c r="C400" s="0" t="n">
        <v>113</v>
      </c>
      <c r="D400" s="0" t="n">
        <v>19</v>
      </c>
      <c r="E400" s="0" t="str">
        <f aca="false">INDEX(lot!$B$2:$B$1201,MATCH(B400,lot!$A$2:$A$1201,0))</f>
        <v>SUP-C</v>
      </c>
      <c r="F400" s="3" t="n">
        <f aca="false">YEAR(A400)*100+MONTH(A400)</f>
        <v>202603</v>
      </c>
    </row>
    <row r="401" customFormat="false" ht="15" hidden="false" customHeight="false" outlineLevel="0" collapsed="false">
      <c r="A401" s="2" t="n">
        <v>46104</v>
      </c>
      <c r="B401" s="3" t="s">
        <v>377</v>
      </c>
      <c r="C401" s="0" t="n">
        <v>105</v>
      </c>
      <c r="D401" s="0" t="n">
        <v>11</v>
      </c>
      <c r="E401" s="0" t="str">
        <f aca="false">INDEX(lot!$B$2:$B$1201,MATCH(B401,lot!$A$2:$A$1201,0))</f>
        <v>SUP-C</v>
      </c>
      <c r="F401" s="3" t="n">
        <f aca="false">YEAR(A401)*100+MONTH(A401)</f>
        <v>202603</v>
      </c>
    </row>
    <row r="402" customFormat="false" ht="15" hidden="false" customHeight="false" outlineLevel="0" collapsed="false">
      <c r="A402" s="2" t="n">
        <v>46104</v>
      </c>
      <c r="B402" s="3" t="s">
        <v>392</v>
      </c>
      <c r="C402" s="0" t="n">
        <v>114</v>
      </c>
      <c r="D402" s="0" t="n">
        <v>2</v>
      </c>
      <c r="E402" s="0" t="str">
        <f aca="false">INDEX(lot!$B$2:$B$1201,MATCH(B402,lot!$A$2:$A$1201,0))</f>
        <v>SUP-D</v>
      </c>
      <c r="F402" s="3" t="n">
        <f aca="false">YEAR(A402)*100+MONTH(A402)</f>
        <v>202603</v>
      </c>
    </row>
    <row r="403" customFormat="false" ht="15" hidden="false" customHeight="false" outlineLevel="0" collapsed="false">
      <c r="A403" s="2" t="n">
        <v>46104</v>
      </c>
      <c r="B403" s="3" t="s">
        <v>392</v>
      </c>
      <c r="C403" s="0" t="n">
        <v>222</v>
      </c>
      <c r="D403" s="0" t="n">
        <v>1</v>
      </c>
      <c r="E403" s="0" t="str">
        <f aca="false">INDEX(lot!$B$2:$B$1201,MATCH(B403,lot!$A$2:$A$1201,0))</f>
        <v>SUP-D</v>
      </c>
      <c r="F403" s="3" t="n">
        <f aca="false">YEAR(A403)*100+MONTH(A403)</f>
        <v>202603</v>
      </c>
    </row>
    <row r="404" customFormat="false" ht="15" hidden="false" customHeight="false" outlineLevel="0" collapsed="false">
      <c r="A404" s="2" t="n">
        <v>46104</v>
      </c>
      <c r="B404" s="3" t="s">
        <v>512</v>
      </c>
      <c r="C404" s="0" t="n">
        <v>154</v>
      </c>
      <c r="D404" s="0" t="n">
        <v>5</v>
      </c>
      <c r="E404" s="0" t="str">
        <f aca="false">INDEX(lot!$B$2:$B$1201,MATCH(B404,lot!$A$2:$A$1201,0))</f>
        <v>SUP-C</v>
      </c>
      <c r="F404" s="3" t="n">
        <f aca="false">YEAR(A404)*100+MONTH(A404)</f>
        <v>202603</v>
      </c>
    </row>
    <row r="405" customFormat="false" ht="15" hidden="false" customHeight="false" outlineLevel="0" collapsed="false">
      <c r="A405" s="2" t="n">
        <v>46104</v>
      </c>
      <c r="B405" s="3" t="s">
        <v>512</v>
      </c>
      <c r="C405" s="0" t="n">
        <v>139</v>
      </c>
      <c r="D405" s="0" t="n">
        <v>5</v>
      </c>
      <c r="E405" s="0" t="str">
        <f aca="false">INDEX(lot!$B$2:$B$1201,MATCH(B405,lot!$A$2:$A$1201,0))</f>
        <v>SUP-C</v>
      </c>
      <c r="F405" s="3" t="n">
        <f aca="false">YEAR(A405)*100+MONTH(A405)</f>
        <v>202603</v>
      </c>
    </row>
    <row r="406" customFormat="false" ht="15" hidden="false" customHeight="false" outlineLevel="0" collapsed="false">
      <c r="A406" s="2" t="n">
        <v>46104</v>
      </c>
      <c r="B406" s="3" t="s">
        <v>539</v>
      </c>
      <c r="C406" s="0" t="n">
        <v>188</v>
      </c>
      <c r="D406" s="0" t="n">
        <v>1</v>
      </c>
      <c r="E406" s="0" t="str">
        <f aca="false">INDEX(lot!$B$2:$B$1201,MATCH(B406,lot!$A$2:$A$1201,0))</f>
        <v>SUP-E</v>
      </c>
      <c r="F406" s="3" t="n">
        <f aca="false">YEAR(A406)*100+MONTH(A406)</f>
        <v>202603</v>
      </c>
    </row>
    <row r="407" customFormat="false" ht="15" hidden="false" customHeight="false" outlineLevel="0" collapsed="false">
      <c r="A407" s="2" t="n">
        <v>46104</v>
      </c>
      <c r="B407" s="3" t="s">
        <v>539</v>
      </c>
      <c r="C407" s="0" t="n">
        <v>207</v>
      </c>
      <c r="D407" s="0" t="n">
        <v>2</v>
      </c>
      <c r="E407" s="0" t="str">
        <f aca="false">INDEX(lot!$B$2:$B$1201,MATCH(B407,lot!$A$2:$A$1201,0))</f>
        <v>SUP-E</v>
      </c>
      <c r="F407" s="3" t="n">
        <f aca="false">YEAR(A407)*100+MONTH(A407)</f>
        <v>202603</v>
      </c>
    </row>
    <row r="408" customFormat="false" ht="15" hidden="false" customHeight="false" outlineLevel="0" collapsed="false">
      <c r="A408" s="2" t="n">
        <v>46104</v>
      </c>
      <c r="B408" s="3" t="s">
        <v>575</v>
      </c>
      <c r="C408" s="0" t="n">
        <v>107</v>
      </c>
      <c r="D408" s="0" t="n">
        <v>4</v>
      </c>
      <c r="E408" s="0" t="str">
        <f aca="false">INDEX(lot!$B$2:$B$1201,MATCH(B408,lot!$A$2:$A$1201,0))</f>
        <v>SUP-D</v>
      </c>
      <c r="F408" s="3" t="n">
        <f aca="false">YEAR(A408)*100+MONTH(A408)</f>
        <v>202603</v>
      </c>
    </row>
    <row r="409" customFormat="false" ht="15" hidden="false" customHeight="false" outlineLevel="0" collapsed="false">
      <c r="A409" s="2" t="n">
        <v>46104</v>
      </c>
      <c r="B409" s="3" t="s">
        <v>575</v>
      </c>
      <c r="C409" s="0" t="n">
        <v>220</v>
      </c>
      <c r="D409" s="0" t="n">
        <v>7</v>
      </c>
      <c r="E409" s="0" t="str">
        <f aca="false">INDEX(lot!$B$2:$B$1201,MATCH(B409,lot!$A$2:$A$1201,0))</f>
        <v>SUP-D</v>
      </c>
      <c r="F409" s="3" t="n">
        <f aca="false">YEAR(A409)*100+MONTH(A409)</f>
        <v>202603</v>
      </c>
    </row>
    <row r="410" customFormat="false" ht="15" hidden="false" customHeight="false" outlineLevel="0" collapsed="false">
      <c r="A410" s="2" t="n">
        <v>46104</v>
      </c>
      <c r="B410" s="3" t="s">
        <v>614</v>
      </c>
      <c r="C410" s="0" t="n">
        <v>197</v>
      </c>
      <c r="D410" s="0" t="n">
        <v>8</v>
      </c>
      <c r="E410" s="0" t="str">
        <f aca="false">INDEX(lot!$B$2:$B$1201,MATCH(B410,lot!$A$2:$A$1201,0))</f>
        <v>SUP-D</v>
      </c>
      <c r="F410" s="3" t="n">
        <f aca="false">YEAR(A410)*100+MONTH(A410)</f>
        <v>202603</v>
      </c>
    </row>
    <row r="411" customFormat="false" ht="15" hidden="false" customHeight="false" outlineLevel="0" collapsed="false">
      <c r="A411" s="2" t="n">
        <v>46104</v>
      </c>
      <c r="B411" s="3" t="s">
        <v>696</v>
      </c>
      <c r="C411" s="0" t="n">
        <v>251</v>
      </c>
      <c r="D411" s="0" t="n">
        <v>2</v>
      </c>
      <c r="E411" s="0" t="str">
        <f aca="false">INDEX(lot!$B$2:$B$1201,MATCH(B411,lot!$A$2:$A$1201,0))</f>
        <v>SUP-D</v>
      </c>
      <c r="F411" s="3" t="n">
        <f aca="false">YEAR(A411)*100+MONTH(A411)</f>
        <v>202603</v>
      </c>
    </row>
    <row r="412" customFormat="false" ht="15" hidden="false" customHeight="false" outlineLevel="0" collapsed="false">
      <c r="A412" s="2" t="n">
        <v>46104</v>
      </c>
      <c r="B412" s="3" t="s">
        <v>784</v>
      </c>
      <c r="C412" s="0" t="n">
        <v>166</v>
      </c>
      <c r="D412" s="0" t="n">
        <v>5</v>
      </c>
      <c r="E412" s="0" t="str">
        <f aca="false">INDEX(lot!$B$2:$B$1201,MATCH(B412,lot!$A$2:$A$1201,0))</f>
        <v>SUP-C</v>
      </c>
      <c r="F412" s="3" t="n">
        <f aca="false">YEAR(A412)*100+MONTH(A412)</f>
        <v>202603</v>
      </c>
    </row>
    <row r="413" customFormat="false" ht="15" hidden="false" customHeight="false" outlineLevel="0" collapsed="false">
      <c r="A413" s="2" t="n">
        <v>46104</v>
      </c>
      <c r="B413" s="3" t="s">
        <v>784</v>
      </c>
      <c r="C413" s="0" t="n">
        <v>231</v>
      </c>
      <c r="D413" s="0" t="n">
        <v>3</v>
      </c>
      <c r="E413" s="0" t="str">
        <f aca="false">INDEX(lot!$B$2:$B$1201,MATCH(B413,lot!$A$2:$A$1201,0))</f>
        <v>SUP-C</v>
      </c>
      <c r="F413" s="3" t="n">
        <f aca="false">YEAR(A413)*100+MONTH(A413)</f>
        <v>202603</v>
      </c>
    </row>
    <row r="414" customFormat="false" ht="15" hidden="false" customHeight="false" outlineLevel="0" collapsed="false">
      <c r="A414" s="2" t="n">
        <v>46104</v>
      </c>
      <c r="B414" s="3" t="s">
        <v>807</v>
      </c>
      <c r="C414" s="0" t="n">
        <v>148</v>
      </c>
      <c r="D414" s="0" t="n">
        <v>6</v>
      </c>
      <c r="E414" s="0" t="str">
        <f aca="false">INDEX(lot!$B$2:$B$1201,MATCH(B414,lot!$A$2:$A$1201,0))</f>
        <v>SUP-A</v>
      </c>
      <c r="F414" s="3" t="n">
        <f aca="false">YEAR(A414)*100+MONTH(A414)</f>
        <v>202603</v>
      </c>
    </row>
    <row r="415" customFormat="false" ht="15" hidden="false" customHeight="false" outlineLevel="0" collapsed="false">
      <c r="A415" s="2" t="n">
        <v>46104</v>
      </c>
      <c r="B415" s="3" t="s">
        <v>859</v>
      </c>
      <c r="C415" s="0" t="n">
        <v>228</v>
      </c>
      <c r="D415" s="0" t="n">
        <v>2</v>
      </c>
      <c r="E415" s="0" t="str">
        <f aca="false">INDEX(lot!$B$2:$B$1201,MATCH(B415,lot!$A$2:$A$1201,0))</f>
        <v>SUP-D</v>
      </c>
      <c r="F415" s="3" t="n">
        <f aca="false">YEAR(A415)*100+MONTH(A415)</f>
        <v>202603</v>
      </c>
    </row>
    <row r="416" customFormat="false" ht="15" hidden="false" customHeight="false" outlineLevel="0" collapsed="false">
      <c r="A416" s="2" t="n">
        <v>46104</v>
      </c>
      <c r="B416" s="3" t="s">
        <v>932</v>
      </c>
      <c r="C416" s="0" t="n">
        <v>216</v>
      </c>
      <c r="D416" s="0" t="n">
        <v>28</v>
      </c>
      <c r="E416" s="0" t="str">
        <f aca="false">INDEX(lot!$B$2:$B$1201,MATCH(B416,lot!$A$2:$A$1201,0))</f>
        <v>SUP-C</v>
      </c>
      <c r="F416" s="3" t="n">
        <f aca="false">YEAR(A416)*100+MONTH(A416)</f>
        <v>202603</v>
      </c>
    </row>
    <row r="417" customFormat="false" ht="15" hidden="false" customHeight="false" outlineLevel="0" collapsed="false">
      <c r="A417" s="2" t="n">
        <v>46104</v>
      </c>
      <c r="B417" s="3" t="s">
        <v>932</v>
      </c>
      <c r="C417" s="0" t="n">
        <v>188</v>
      </c>
      <c r="D417" s="0" t="n">
        <v>37</v>
      </c>
      <c r="E417" s="0" t="str">
        <f aca="false">INDEX(lot!$B$2:$B$1201,MATCH(B417,lot!$A$2:$A$1201,0))</f>
        <v>SUP-C</v>
      </c>
      <c r="F417" s="3" t="n">
        <f aca="false">YEAR(A417)*100+MONTH(A417)</f>
        <v>202603</v>
      </c>
    </row>
    <row r="418" customFormat="false" ht="15" hidden="false" customHeight="false" outlineLevel="0" collapsed="false">
      <c r="A418" s="2" t="n">
        <v>46104</v>
      </c>
      <c r="B418" s="3" t="s">
        <v>948</v>
      </c>
      <c r="C418" s="0" t="n">
        <v>197</v>
      </c>
      <c r="D418" s="0" t="n">
        <v>2</v>
      </c>
      <c r="E418" s="0" t="str">
        <f aca="false">INDEX(lot!$B$2:$B$1201,MATCH(B418,lot!$A$2:$A$1201,0))</f>
        <v>SUP-A</v>
      </c>
      <c r="F418" s="3" t="n">
        <f aca="false">YEAR(A418)*100+MONTH(A418)</f>
        <v>202603</v>
      </c>
    </row>
    <row r="419" customFormat="false" ht="15" hidden="false" customHeight="false" outlineLevel="0" collapsed="false">
      <c r="A419" s="2" t="n">
        <v>46104</v>
      </c>
      <c r="B419" s="3" t="s">
        <v>1038</v>
      </c>
      <c r="C419" s="0" t="n">
        <v>131</v>
      </c>
      <c r="D419" s="0" t="n">
        <v>2</v>
      </c>
      <c r="E419" s="0" t="str">
        <f aca="false">INDEX(lot!$B$2:$B$1201,MATCH(B419,lot!$A$2:$A$1201,0))</f>
        <v>SUP-E</v>
      </c>
      <c r="F419" s="3" t="n">
        <f aca="false">YEAR(A419)*100+MONTH(A419)</f>
        <v>202603</v>
      </c>
    </row>
    <row r="420" customFormat="false" ht="15" hidden="false" customHeight="false" outlineLevel="0" collapsed="false">
      <c r="A420" s="2" t="n">
        <v>46104</v>
      </c>
      <c r="B420" s="3" t="s">
        <v>1112</v>
      </c>
      <c r="C420" s="0" t="n">
        <v>105</v>
      </c>
      <c r="D420" s="0" t="n">
        <v>1</v>
      </c>
      <c r="E420" s="0" t="str">
        <f aca="false">INDEX(lot!$B$2:$B$1201,MATCH(B420,lot!$A$2:$A$1201,0))</f>
        <v>SUP-E</v>
      </c>
      <c r="F420" s="3" t="n">
        <f aca="false">YEAR(A420)*100+MONTH(A420)</f>
        <v>202603</v>
      </c>
    </row>
    <row r="421" customFormat="false" ht="15" hidden="false" customHeight="false" outlineLevel="0" collapsed="false">
      <c r="A421" s="2" t="n">
        <v>46104</v>
      </c>
      <c r="B421" s="3" t="s">
        <v>1158</v>
      </c>
      <c r="C421" s="0" t="n">
        <v>245</v>
      </c>
      <c r="D421" s="0" t="n">
        <v>3</v>
      </c>
      <c r="E421" s="0" t="str">
        <f aca="false">INDEX(lot!$B$2:$B$1201,MATCH(B421,lot!$A$2:$A$1201,0))</f>
        <v>SUP-E</v>
      </c>
      <c r="F421" s="3" t="n">
        <f aca="false">YEAR(A421)*100+MONTH(A421)</f>
        <v>202603</v>
      </c>
    </row>
    <row r="422" customFormat="false" ht="15" hidden="false" customHeight="false" outlineLevel="0" collapsed="false">
      <c r="A422" s="2" t="n">
        <v>46104</v>
      </c>
      <c r="B422" s="3" t="s">
        <v>1169</v>
      </c>
      <c r="C422" s="0" t="n">
        <v>100</v>
      </c>
      <c r="D422" s="0" t="n">
        <v>1</v>
      </c>
      <c r="E422" s="0" t="str">
        <f aca="false">INDEX(lot!$B$2:$B$1201,MATCH(B422,lot!$A$2:$A$1201,0))</f>
        <v>SUP-E</v>
      </c>
      <c r="F422" s="3" t="n">
        <f aca="false">YEAR(A422)*100+MONTH(A422)</f>
        <v>202603</v>
      </c>
    </row>
    <row r="423" customFormat="false" ht="15" hidden="false" customHeight="false" outlineLevel="0" collapsed="false">
      <c r="A423" s="2" t="n">
        <v>46104</v>
      </c>
      <c r="B423" s="3" t="s">
        <v>1169</v>
      </c>
      <c r="C423" s="0" t="n">
        <v>236</v>
      </c>
      <c r="D423" s="0" t="n">
        <v>3</v>
      </c>
      <c r="E423" s="0" t="str">
        <f aca="false">INDEX(lot!$B$2:$B$1201,MATCH(B423,lot!$A$2:$A$1201,0))</f>
        <v>SUP-E</v>
      </c>
      <c r="F423" s="3" t="n">
        <f aca="false">YEAR(A423)*100+MONTH(A423)</f>
        <v>202603</v>
      </c>
    </row>
    <row r="424" customFormat="false" ht="15" hidden="false" customHeight="false" outlineLevel="0" collapsed="false">
      <c r="A424" s="2" t="n">
        <v>46105</v>
      </c>
      <c r="B424" s="3" t="s">
        <v>116</v>
      </c>
      <c r="C424" s="0" t="n">
        <v>134</v>
      </c>
      <c r="D424" s="0" t="n">
        <v>1</v>
      </c>
      <c r="E424" s="0" t="str">
        <f aca="false">INDEX(lot!$B$2:$B$1201,MATCH(B424,lot!$A$2:$A$1201,0))</f>
        <v>SUP-D</v>
      </c>
      <c r="F424" s="3" t="n">
        <f aca="false">YEAR(A424)*100+MONTH(A424)</f>
        <v>202603</v>
      </c>
    </row>
    <row r="425" customFormat="false" ht="15" hidden="false" customHeight="false" outlineLevel="0" collapsed="false">
      <c r="A425" s="2" t="n">
        <v>46105</v>
      </c>
      <c r="B425" s="3" t="s">
        <v>146</v>
      </c>
      <c r="C425" s="0" t="n">
        <v>139</v>
      </c>
      <c r="D425" s="0" t="n">
        <v>0</v>
      </c>
      <c r="E425" s="0" t="str">
        <f aca="false">INDEX(lot!$B$2:$B$1201,MATCH(B425,lot!$A$2:$A$1201,0))</f>
        <v>SUP-E</v>
      </c>
      <c r="F425" s="3" t="n">
        <f aca="false">YEAR(A425)*100+MONTH(A425)</f>
        <v>202603</v>
      </c>
    </row>
    <row r="426" customFormat="false" ht="15" hidden="false" customHeight="false" outlineLevel="0" collapsed="false">
      <c r="A426" s="2" t="n">
        <v>46105</v>
      </c>
      <c r="B426" s="3" t="s">
        <v>154</v>
      </c>
      <c r="C426" s="0" t="n">
        <v>103</v>
      </c>
      <c r="D426" s="0" t="n">
        <v>0</v>
      </c>
      <c r="E426" s="0" t="str">
        <f aca="false">INDEX(lot!$B$2:$B$1201,MATCH(B426,lot!$A$2:$A$1201,0))</f>
        <v>SUP-A</v>
      </c>
      <c r="F426" s="3" t="n">
        <f aca="false">YEAR(A426)*100+MONTH(A426)</f>
        <v>202603</v>
      </c>
    </row>
    <row r="427" customFormat="false" ht="15" hidden="false" customHeight="false" outlineLevel="0" collapsed="false">
      <c r="A427" s="2" t="n">
        <v>46105</v>
      </c>
      <c r="B427" s="3" t="s">
        <v>154</v>
      </c>
      <c r="C427" s="0" t="n">
        <v>227</v>
      </c>
      <c r="D427" s="0" t="n">
        <v>1</v>
      </c>
      <c r="E427" s="0" t="str">
        <f aca="false">INDEX(lot!$B$2:$B$1201,MATCH(B427,lot!$A$2:$A$1201,0))</f>
        <v>SUP-A</v>
      </c>
      <c r="F427" s="3" t="n">
        <f aca="false">YEAR(A427)*100+MONTH(A427)</f>
        <v>202603</v>
      </c>
    </row>
    <row r="428" customFormat="false" ht="15" hidden="false" customHeight="false" outlineLevel="0" collapsed="false">
      <c r="A428" s="2" t="n">
        <v>46105</v>
      </c>
      <c r="B428" s="3" t="s">
        <v>255</v>
      </c>
      <c r="C428" s="0" t="n">
        <v>220</v>
      </c>
      <c r="D428" s="0" t="n">
        <v>3</v>
      </c>
      <c r="E428" s="0" t="str">
        <f aca="false">INDEX(lot!$B$2:$B$1201,MATCH(B428,lot!$A$2:$A$1201,0))</f>
        <v>SUP-A</v>
      </c>
      <c r="F428" s="3" t="n">
        <f aca="false">YEAR(A428)*100+MONTH(A428)</f>
        <v>202603</v>
      </c>
    </row>
    <row r="429" customFormat="false" ht="15" hidden="false" customHeight="false" outlineLevel="0" collapsed="false">
      <c r="A429" s="2" t="n">
        <v>46105</v>
      </c>
      <c r="B429" s="3" t="s">
        <v>255</v>
      </c>
      <c r="C429" s="0" t="n">
        <v>192</v>
      </c>
      <c r="D429" s="0" t="n">
        <v>1</v>
      </c>
      <c r="E429" s="0" t="str">
        <f aca="false">INDEX(lot!$B$2:$B$1201,MATCH(B429,lot!$A$2:$A$1201,0))</f>
        <v>SUP-A</v>
      </c>
      <c r="F429" s="3" t="n">
        <f aca="false">YEAR(A429)*100+MONTH(A429)</f>
        <v>202603</v>
      </c>
    </row>
    <row r="430" customFormat="false" ht="15" hidden="false" customHeight="false" outlineLevel="0" collapsed="false">
      <c r="A430" s="2" t="n">
        <v>46105</v>
      </c>
      <c r="B430" s="3" t="s">
        <v>279</v>
      </c>
      <c r="C430" s="0" t="n">
        <v>239</v>
      </c>
      <c r="D430" s="0" t="n">
        <v>2</v>
      </c>
      <c r="E430" s="0" t="str">
        <f aca="false">INDEX(lot!$B$2:$B$1201,MATCH(B430,lot!$A$2:$A$1201,0))</f>
        <v>SUP-A</v>
      </c>
      <c r="F430" s="3" t="n">
        <f aca="false">YEAR(A430)*100+MONTH(A430)</f>
        <v>202603</v>
      </c>
    </row>
    <row r="431" customFormat="false" ht="15" hidden="false" customHeight="false" outlineLevel="0" collapsed="false">
      <c r="A431" s="2" t="n">
        <v>46105</v>
      </c>
      <c r="B431" s="3" t="s">
        <v>279</v>
      </c>
      <c r="C431" s="0" t="n">
        <v>178</v>
      </c>
      <c r="D431" s="0" t="n">
        <v>1</v>
      </c>
      <c r="E431" s="0" t="str">
        <f aca="false">INDEX(lot!$B$2:$B$1201,MATCH(B431,lot!$A$2:$A$1201,0))</f>
        <v>SUP-A</v>
      </c>
      <c r="F431" s="3" t="n">
        <f aca="false">YEAR(A431)*100+MONTH(A431)</f>
        <v>202603</v>
      </c>
    </row>
    <row r="432" customFormat="false" ht="15" hidden="false" customHeight="false" outlineLevel="0" collapsed="false">
      <c r="A432" s="2" t="n">
        <v>46105</v>
      </c>
      <c r="B432" s="3" t="s">
        <v>397</v>
      </c>
      <c r="C432" s="0" t="n">
        <v>144</v>
      </c>
      <c r="D432" s="0" t="n">
        <v>7</v>
      </c>
      <c r="E432" s="0" t="str">
        <f aca="false">INDEX(lot!$B$2:$B$1201,MATCH(B432,lot!$A$2:$A$1201,0))</f>
        <v>SUP-B</v>
      </c>
      <c r="F432" s="3" t="n">
        <f aca="false">YEAR(A432)*100+MONTH(A432)</f>
        <v>202603</v>
      </c>
    </row>
    <row r="433" customFormat="false" ht="15" hidden="false" customHeight="false" outlineLevel="0" collapsed="false">
      <c r="A433" s="2" t="n">
        <v>46105</v>
      </c>
      <c r="B433" s="3" t="s">
        <v>397</v>
      </c>
      <c r="C433" s="0" t="n">
        <v>80</v>
      </c>
      <c r="D433" s="0" t="n">
        <v>6</v>
      </c>
      <c r="E433" s="0" t="str">
        <f aca="false">INDEX(lot!$B$2:$B$1201,MATCH(B433,lot!$A$2:$A$1201,0))</f>
        <v>SUP-B</v>
      </c>
      <c r="F433" s="3" t="n">
        <f aca="false">YEAR(A433)*100+MONTH(A433)</f>
        <v>202603</v>
      </c>
    </row>
    <row r="434" customFormat="false" ht="15" hidden="false" customHeight="false" outlineLevel="0" collapsed="false">
      <c r="A434" s="2" t="n">
        <v>46105</v>
      </c>
      <c r="B434" s="3" t="s">
        <v>409</v>
      </c>
      <c r="C434" s="0" t="n">
        <v>101</v>
      </c>
      <c r="D434" s="0" t="n">
        <v>0</v>
      </c>
      <c r="E434" s="0" t="str">
        <f aca="false">INDEX(lot!$B$2:$B$1201,MATCH(B434,lot!$A$2:$A$1201,0))</f>
        <v>SUP-A</v>
      </c>
      <c r="F434" s="3" t="n">
        <f aca="false">YEAR(A434)*100+MONTH(A434)</f>
        <v>202603</v>
      </c>
    </row>
    <row r="435" customFormat="false" ht="15" hidden="false" customHeight="false" outlineLevel="0" collapsed="false">
      <c r="A435" s="2" t="n">
        <v>46105</v>
      </c>
      <c r="B435" s="3" t="s">
        <v>512</v>
      </c>
      <c r="C435" s="0" t="n">
        <v>127</v>
      </c>
      <c r="D435" s="0" t="n">
        <v>4</v>
      </c>
      <c r="E435" s="0" t="str">
        <f aca="false">INDEX(lot!$B$2:$B$1201,MATCH(B435,lot!$A$2:$A$1201,0))</f>
        <v>SUP-C</v>
      </c>
      <c r="F435" s="3" t="n">
        <f aca="false">YEAR(A435)*100+MONTH(A435)</f>
        <v>202603</v>
      </c>
    </row>
    <row r="436" customFormat="false" ht="15" hidden="false" customHeight="false" outlineLevel="0" collapsed="false">
      <c r="A436" s="2" t="n">
        <v>46105</v>
      </c>
      <c r="B436" s="3" t="s">
        <v>526</v>
      </c>
      <c r="C436" s="0" t="n">
        <v>110</v>
      </c>
      <c r="D436" s="0" t="n">
        <v>1</v>
      </c>
      <c r="E436" s="0" t="str">
        <f aca="false">INDEX(lot!$B$2:$B$1201,MATCH(B436,lot!$A$2:$A$1201,0))</f>
        <v>SUP-C</v>
      </c>
      <c r="F436" s="3" t="n">
        <f aca="false">YEAR(A436)*100+MONTH(A436)</f>
        <v>202603</v>
      </c>
    </row>
    <row r="437" customFormat="false" ht="15" hidden="false" customHeight="false" outlineLevel="0" collapsed="false">
      <c r="A437" s="2" t="n">
        <v>46105</v>
      </c>
      <c r="B437" s="3" t="s">
        <v>526</v>
      </c>
      <c r="C437" s="0" t="n">
        <v>171</v>
      </c>
      <c r="D437" s="0" t="n">
        <v>5</v>
      </c>
      <c r="E437" s="0" t="str">
        <f aca="false">INDEX(lot!$B$2:$B$1201,MATCH(B437,lot!$A$2:$A$1201,0))</f>
        <v>SUP-C</v>
      </c>
      <c r="F437" s="3" t="n">
        <f aca="false">YEAR(A437)*100+MONTH(A437)</f>
        <v>202603</v>
      </c>
    </row>
    <row r="438" customFormat="false" ht="15" hidden="false" customHeight="false" outlineLevel="0" collapsed="false">
      <c r="A438" s="2" t="n">
        <v>46105</v>
      </c>
      <c r="B438" s="3" t="s">
        <v>539</v>
      </c>
      <c r="C438" s="0" t="n">
        <v>218</v>
      </c>
      <c r="D438" s="0" t="n">
        <v>3</v>
      </c>
      <c r="E438" s="0" t="str">
        <f aca="false">INDEX(lot!$B$2:$B$1201,MATCH(B438,lot!$A$2:$A$1201,0))</f>
        <v>SUP-E</v>
      </c>
      <c r="F438" s="3" t="n">
        <f aca="false">YEAR(A438)*100+MONTH(A438)</f>
        <v>202603</v>
      </c>
    </row>
    <row r="439" customFormat="false" ht="15" hidden="false" customHeight="false" outlineLevel="0" collapsed="false">
      <c r="A439" s="2" t="n">
        <v>46105</v>
      </c>
      <c r="B439" s="3" t="s">
        <v>539</v>
      </c>
      <c r="C439" s="0" t="n">
        <v>192</v>
      </c>
      <c r="D439" s="0" t="n">
        <v>2</v>
      </c>
      <c r="E439" s="0" t="str">
        <f aca="false">INDEX(lot!$B$2:$B$1201,MATCH(B439,lot!$A$2:$A$1201,0))</f>
        <v>SUP-E</v>
      </c>
      <c r="F439" s="3" t="n">
        <f aca="false">YEAR(A439)*100+MONTH(A439)</f>
        <v>202603</v>
      </c>
    </row>
    <row r="440" customFormat="false" ht="15" hidden="false" customHeight="false" outlineLevel="0" collapsed="false">
      <c r="A440" s="2" t="n">
        <v>46105</v>
      </c>
      <c r="B440" s="3" t="s">
        <v>696</v>
      </c>
      <c r="C440" s="0" t="n">
        <v>217</v>
      </c>
      <c r="D440" s="0" t="n">
        <v>3</v>
      </c>
      <c r="E440" s="0" t="str">
        <f aca="false">INDEX(lot!$B$2:$B$1201,MATCH(B440,lot!$A$2:$A$1201,0))</f>
        <v>SUP-D</v>
      </c>
      <c r="F440" s="3" t="n">
        <f aca="false">YEAR(A440)*100+MONTH(A440)</f>
        <v>202603</v>
      </c>
    </row>
    <row r="441" customFormat="false" ht="15" hidden="false" customHeight="false" outlineLevel="0" collapsed="false">
      <c r="A441" s="2" t="n">
        <v>46105</v>
      </c>
      <c r="B441" s="3" t="s">
        <v>790</v>
      </c>
      <c r="C441" s="0" t="n">
        <v>251</v>
      </c>
      <c r="D441" s="0" t="n">
        <v>10</v>
      </c>
      <c r="E441" s="0" t="str">
        <f aca="false">INDEX(lot!$B$2:$B$1201,MATCH(B441,lot!$A$2:$A$1201,0))</f>
        <v>SUP-C</v>
      </c>
      <c r="F441" s="3" t="n">
        <f aca="false">YEAR(A441)*100+MONTH(A441)</f>
        <v>202603</v>
      </c>
    </row>
    <row r="442" customFormat="false" ht="15" hidden="false" customHeight="false" outlineLevel="0" collapsed="false">
      <c r="A442" s="2" t="n">
        <v>46105</v>
      </c>
      <c r="B442" s="3" t="s">
        <v>807</v>
      </c>
      <c r="C442" s="0" t="n">
        <v>175</v>
      </c>
      <c r="D442" s="0" t="n">
        <v>16</v>
      </c>
      <c r="E442" s="0" t="str">
        <f aca="false">INDEX(lot!$B$2:$B$1201,MATCH(B442,lot!$A$2:$A$1201,0))</f>
        <v>SUP-A</v>
      </c>
      <c r="F442" s="3" t="n">
        <f aca="false">YEAR(A442)*100+MONTH(A442)</f>
        <v>202603</v>
      </c>
    </row>
    <row r="443" customFormat="false" ht="15" hidden="false" customHeight="false" outlineLevel="0" collapsed="false">
      <c r="A443" s="2" t="n">
        <v>46105</v>
      </c>
      <c r="B443" s="3" t="s">
        <v>807</v>
      </c>
      <c r="C443" s="0" t="n">
        <v>201</v>
      </c>
      <c r="D443" s="0" t="n">
        <v>12</v>
      </c>
      <c r="E443" s="0" t="str">
        <f aca="false">INDEX(lot!$B$2:$B$1201,MATCH(B443,lot!$A$2:$A$1201,0))</f>
        <v>SUP-A</v>
      </c>
      <c r="F443" s="3" t="n">
        <f aca="false">YEAR(A443)*100+MONTH(A443)</f>
        <v>202603</v>
      </c>
    </row>
    <row r="444" customFormat="false" ht="15" hidden="false" customHeight="false" outlineLevel="0" collapsed="false">
      <c r="A444" s="2" t="n">
        <v>46105</v>
      </c>
      <c r="B444" s="3" t="s">
        <v>901</v>
      </c>
      <c r="C444" s="0" t="n">
        <v>134</v>
      </c>
      <c r="D444" s="0" t="n">
        <v>1</v>
      </c>
      <c r="E444" s="0" t="str">
        <f aca="false">INDEX(lot!$B$2:$B$1201,MATCH(B444,lot!$A$2:$A$1201,0))</f>
        <v>SUP-A</v>
      </c>
      <c r="F444" s="3" t="n">
        <f aca="false">YEAR(A444)*100+MONTH(A444)</f>
        <v>202603</v>
      </c>
    </row>
    <row r="445" customFormat="false" ht="15" hidden="false" customHeight="false" outlineLevel="0" collapsed="false">
      <c r="A445" s="2" t="n">
        <v>46105</v>
      </c>
      <c r="B445" s="3" t="s">
        <v>909</v>
      </c>
      <c r="C445" s="0" t="n">
        <v>228</v>
      </c>
      <c r="D445" s="0" t="n">
        <v>2</v>
      </c>
      <c r="E445" s="0" t="str">
        <f aca="false">INDEX(lot!$B$2:$B$1201,MATCH(B445,lot!$A$2:$A$1201,0))</f>
        <v>SUP-D</v>
      </c>
      <c r="F445" s="3" t="n">
        <f aca="false">YEAR(A445)*100+MONTH(A445)</f>
        <v>202603</v>
      </c>
    </row>
    <row r="446" customFormat="false" ht="15" hidden="false" customHeight="false" outlineLevel="0" collapsed="false">
      <c r="A446" s="2" t="n">
        <v>46105</v>
      </c>
      <c r="B446" s="3" t="s">
        <v>932</v>
      </c>
      <c r="C446" s="0" t="n">
        <v>58</v>
      </c>
      <c r="D446" s="0" t="n">
        <v>9</v>
      </c>
      <c r="E446" s="0" t="str">
        <f aca="false">INDEX(lot!$B$2:$B$1201,MATCH(B446,lot!$A$2:$A$1201,0))</f>
        <v>SUP-C</v>
      </c>
      <c r="F446" s="3" t="n">
        <f aca="false">YEAR(A446)*100+MONTH(A446)</f>
        <v>202603</v>
      </c>
    </row>
    <row r="447" customFormat="false" ht="15" hidden="false" customHeight="false" outlineLevel="0" collapsed="false">
      <c r="A447" s="2" t="n">
        <v>46105</v>
      </c>
      <c r="B447" s="3" t="s">
        <v>1038</v>
      </c>
      <c r="C447" s="0" t="n">
        <v>148</v>
      </c>
      <c r="D447" s="0" t="n">
        <v>2</v>
      </c>
      <c r="E447" s="0" t="str">
        <f aca="false">INDEX(lot!$B$2:$B$1201,MATCH(B447,lot!$A$2:$A$1201,0))</f>
        <v>SUP-E</v>
      </c>
      <c r="F447" s="3" t="n">
        <f aca="false">YEAR(A447)*100+MONTH(A447)</f>
        <v>202603</v>
      </c>
    </row>
    <row r="448" customFormat="false" ht="15" hidden="false" customHeight="false" outlineLevel="0" collapsed="false">
      <c r="A448" s="2" t="n">
        <v>46105</v>
      </c>
      <c r="B448" s="3" t="s">
        <v>1108</v>
      </c>
      <c r="C448" s="0" t="n">
        <v>160</v>
      </c>
      <c r="D448" s="0" t="n">
        <v>1</v>
      </c>
      <c r="E448" s="0" t="str">
        <f aca="false">INDEX(lot!$B$2:$B$1201,MATCH(B448,lot!$A$2:$A$1201,0))</f>
        <v>SUP-A</v>
      </c>
      <c r="F448" s="3" t="n">
        <f aca="false">YEAR(A448)*100+MONTH(A448)</f>
        <v>202603</v>
      </c>
    </row>
    <row r="449" customFormat="false" ht="15" hidden="false" customHeight="false" outlineLevel="0" collapsed="false">
      <c r="A449" s="2" t="n">
        <v>46105</v>
      </c>
      <c r="B449" s="3" t="s">
        <v>1108</v>
      </c>
      <c r="C449" s="0" t="n">
        <v>228</v>
      </c>
      <c r="D449" s="0" t="n">
        <v>4</v>
      </c>
      <c r="E449" s="0" t="str">
        <f aca="false">INDEX(lot!$B$2:$B$1201,MATCH(B449,lot!$A$2:$A$1201,0))</f>
        <v>SUP-A</v>
      </c>
      <c r="F449" s="3" t="n">
        <f aca="false">YEAR(A449)*100+MONTH(A449)</f>
        <v>202603</v>
      </c>
    </row>
    <row r="450" customFormat="false" ht="15" hidden="false" customHeight="false" outlineLevel="0" collapsed="false">
      <c r="A450" s="2" t="n">
        <v>46105</v>
      </c>
      <c r="B450" s="3" t="s">
        <v>1112</v>
      </c>
      <c r="C450" s="0" t="n">
        <v>231</v>
      </c>
      <c r="D450" s="0" t="n">
        <v>4</v>
      </c>
      <c r="E450" s="0" t="str">
        <f aca="false">INDEX(lot!$B$2:$B$1201,MATCH(B450,lot!$A$2:$A$1201,0))</f>
        <v>SUP-E</v>
      </c>
      <c r="F450" s="3" t="n">
        <f aca="false">YEAR(A450)*100+MONTH(A450)</f>
        <v>202603</v>
      </c>
    </row>
    <row r="451" customFormat="false" ht="15" hidden="false" customHeight="false" outlineLevel="0" collapsed="false">
      <c r="A451" s="2" t="n">
        <v>46105</v>
      </c>
      <c r="B451" s="3" t="s">
        <v>1112</v>
      </c>
      <c r="C451" s="0" t="n">
        <v>174</v>
      </c>
      <c r="D451" s="0" t="n">
        <v>2</v>
      </c>
      <c r="E451" s="0" t="str">
        <f aca="false">INDEX(lot!$B$2:$B$1201,MATCH(B451,lot!$A$2:$A$1201,0))</f>
        <v>SUP-E</v>
      </c>
      <c r="F451" s="3" t="n">
        <f aca="false">YEAR(A451)*100+MONTH(A451)</f>
        <v>202603</v>
      </c>
    </row>
    <row r="452" customFormat="false" ht="15" hidden="false" customHeight="false" outlineLevel="0" collapsed="false">
      <c r="A452" s="2" t="n">
        <v>46106</v>
      </c>
      <c r="B452" s="3" t="s">
        <v>41</v>
      </c>
      <c r="C452" s="0" t="n">
        <v>108</v>
      </c>
      <c r="D452" s="0" t="n">
        <v>1</v>
      </c>
      <c r="E452" s="0" t="str">
        <f aca="false">INDEX(lot!$B$2:$B$1201,MATCH(B452,lot!$A$2:$A$1201,0))</f>
        <v>SUP-A</v>
      </c>
      <c r="F452" s="3" t="n">
        <f aca="false">YEAR(A452)*100+MONTH(A452)</f>
        <v>202603</v>
      </c>
    </row>
    <row r="453" customFormat="false" ht="15" hidden="false" customHeight="false" outlineLevel="0" collapsed="false">
      <c r="A453" s="2" t="n">
        <v>46106</v>
      </c>
      <c r="B453" s="3" t="s">
        <v>41</v>
      </c>
      <c r="C453" s="0" t="n">
        <v>240</v>
      </c>
      <c r="D453" s="0" t="n">
        <v>4</v>
      </c>
      <c r="E453" s="0" t="str">
        <f aca="false">INDEX(lot!$B$2:$B$1201,MATCH(B453,lot!$A$2:$A$1201,0))</f>
        <v>SUP-A</v>
      </c>
      <c r="F453" s="3" t="n">
        <f aca="false">YEAR(A453)*100+MONTH(A453)</f>
        <v>202603</v>
      </c>
    </row>
    <row r="454" customFormat="false" ht="15" hidden="false" customHeight="false" outlineLevel="0" collapsed="false">
      <c r="A454" s="2" t="n">
        <v>46106</v>
      </c>
      <c r="B454" s="3" t="s">
        <v>225</v>
      </c>
      <c r="C454" s="0" t="n">
        <v>84</v>
      </c>
      <c r="D454" s="0" t="n">
        <v>1</v>
      </c>
      <c r="E454" s="0" t="str">
        <f aca="false">INDEX(lot!$B$2:$B$1201,MATCH(B454,lot!$A$2:$A$1201,0))</f>
        <v>SUP-E</v>
      </c>
      <c r="F454" s="3" t="n">
        <f aca="false">YEAR(A454)*100+MONTH(A454)</f>
        <v>202603</v>
      </c>
    </row>
    <row r="455" customFormat="false" ht="15" hidden="false" customHeight="false" outlineLevel="0" collapsed="false">
      <c r="A455" s="2" t="n">
        <v>46106</v>
      </c>
      <c r="B455" s="3" t="s">
        <v>225</v>
      </c>
      <c r="C455" s="0" t="n">
        <v>92</v>
      </c>
      <c r="D455" s="0" t="n">
        <v>1</v>
      </c>
      <c r="E455" s="0" t="str">
        <f aca="false">INDEX(lot!$B$2:$B$1201,MATCH(B455,lot!$A$2:$A$1201,0))</f>
        <v>SUP-E</v>
      </c>
      <c r="F455" s="3" t="n">
        <f aca="false">YEAR(A455)*100+MONTH(A455)</f>
        <v>202603</v>
      </c>
    </row>
    <row r="456" customFormat="false" ht="15" hidden="false" customHeight="false" outlineLevel="0" collapsed="false">
      <c r="A456" s="2" t="n">
        <v>46106</v>
      </c>
      <c r="B456" s="3" t="s">
        <v>243</v>
      </c>
      <c r="C456" s="0" t="n">
        <v>95</v>
      </c>
      <c r="D456" s="0" t="n">
        <v>1</v>
      </c>
      <c r="E456" s="0" t="str">
        <f aca="false">INDEX(lot!$B$2:$B$1201,MATCH(B456,lot!$A$2:$A$1201,0))</f>
        <v>SUP-A</v>
      </c>
      <c r="F456" s="3" t="n">
        <f aca="false">YEAR(A456)*100+MONTH(A456)</f>
        <v>202603</v>
      </c>
    </row>
    <row r="457" customFormat="false" ht="15" hidden="false" customHeight="false" outlineLevel="0" collapsed="false">
      <c r="A457" s="2" t="n">
        <v>46106</v>
      </c>
      <c r="B457" s="3" t="s">
        <v>243</v>
      </c>
      <c r="C457" s="0" t="n">
        <v>218</v>
      </c>
      <c r="D457" s="0" t="n">
        <v>1</v>
      </c>
      <c r="E457" s="0" t="str">
        <f aca="false">INDEX(lot!$B$2:$B$1201,MATCH(B457,lot!$A$2:$A$1201,0))</f>
        <v>SUP-A</v>
      </c>
      <c r="F457" s="3" t="n">
        <f aca="false">YEAR(A457)*100+MONTH(A457)</f>
        <v>202603</v>
      </c>
    </row>
    <row r="458" customFormat="false" ht="15" hidden="false" customHeight="false" outlineLevel="0" collapsed="false">
      <c r="A458" s="2" t="n">
        <v>46106</v>
      </c>
      <c r="B458" s="3" t="s">
        <v>255</v>
      </c>
      <c r="C458" s="0" t="n">
        <v>169</v>
      </c>
      <c r="D458" s="0" t="n">
        <v>1</v>
      </c>
      <c r="E458" s="0" t="str">
        <f aca="false">INDEX(lot!$B$2:$B$1201,MATCH(B458,lot!$A$2:$A$1201,0))</f>
        <v>SUP-A</v>
      </c>
      <c r="F458" s="3" t="n">
        <f aca="false">YEAR(A458)*100+MONTH(A458)</f>
        <v>202603</v>
      </c>
    </row>
    <row r="459" customFormat="false" ht="15" hidden="false" customHeight="false" outlineLevel="0" collapsed="false">
      <c r="A459" s="2" t="n">
        <v>46106</v>
      </c>
      <c r="B459" s="3" t="s">
        <v>255</v>
      </c>
      <c r="C459" s="0" t="n">
        <v>229</v>
      </c>
      <c r="D459" s="0" t="n">
        <v>0</v>
      </c>
      <c r="E459" s="0" t="str">
        <f aca="false">INDEX(lot!$B$2:$B$1201,MATCH(B459,lot!$A$2:$A$1201,0))</f>
        <v>SUP-A</v>
      </c>
      <c r="F459" s="3" t="n">
        <f aca="false">YEAR(A459)*100+MONTH(A459)</f>
        <v>202603</v>
      </c>
    </row>
    <row r="460" customFormat="false" ht="15" hidden="false" customHeight="false" outlineLevel="0" collapsed="false">
      <c r="A460" s="2" t="n">
        <v>46106</v>
      </c>
      <c r="B460" s="3" t="s">
        <v>352</v>
      </c>
      <c r="C460" s="0" t="n">
        <v>121</v>
      </c>
      <c r="D460" s="0" t="n">
        <v>4</v>
      </c>
      <c r="E460" s="0" t="str">
        <f aca="false">INDEX(lot!$B$2:$B$1201,MATCH(B460,lot!$A$2:$A$1201,0))</f>
        <v>SUP-C</v>
      </c>
      <c r="F460" s="3" t="n">
        <f aca="false">YEAR(A460)*100+MONTH(A460)</f>
        <v>202603</v>
      </c>
    </row>
    <row r="461" customFormat="false" ht="15" hidden="false" customHeight="false" outlineLevel="0" collapsed="false">
      <c r="A461" s="2" t="n">
        <v>46106</v>
      </c>
      <c r="B461" s="3" t="s">
        <v>352</v>
      </c>
      <c r="C461" s="0" t="n">
        <v>243</v>
      </c>
      <c r="D461" s="0" t="n">
        <v>10</v>
      </c>
      <c r="E461" s="0" t="str">
        <f aca="false">INDEX(lot!$B$2:$B$1201,MATCH(B461,lot!$A$2:$A$1201,0))</f>
        <v>SUP-C</v>
      </c>
      <c r="F461" s="3" t="n">
        <f aca="false">YEAR(A461)*100+MONTH(A461)</f>
        <v>202603</v>
      </c>
    </row>
    <row r="462" customFormat="false" ht="15" hidden="false" customHeight="false" outlineLevel="0" collapsed="false">
      <c r="A462" s="2" t="n">
        <v>46106</v>
      </c>
      <c r="B462" s="3" t="s">
        <v>357</v>
      </c>
      <c r="C462" s="0" t="n">
        <v>234</v>
      </c>
      <c r="D462" s="0" t="n">
        <v>1</v>
      </c>
      <c r="E462" s="0" t="str">
        <f aca="false">INDEX(lot!$B$2:$B$1201,MATCH(B462,lot!$A$2:$A$1201,0))</f>
        <v>SUP-A</v>
      </c>
      <c r="F462" s="3" t="n">
        <f aca="false">YEAR(A462)*100+MONTH(A462)</f>
        <v>202603</v>
      </c>
    </row>
    <row r="463" customFormat="false" ht="15" hidden="false" customHeight="false" outlineLevel="0" collapsed="false">
      <c r="A463" s="2" t="n">
        <v>46106</v>
      </c>
      <c r="B463" s="3" t="s">
        <v>363</v>
      </c>
      <c r="C463" s="0" t="n">
        <v>191</v>
      </c>
      <c r="D463" s="0" t="n">
        <v>10</v>
      </c>
      <c r="E463" s="0" t="str">
        <f aca="false">INDEX(lot!$B$2:$B$1201,MATCH(B463,lot!$A$2:$A$1201,0))</f>
        <v>SUP-A</v>
      </c>
      <c r="F463" s="3" t="n">
        <f aca="false">YEAR(A463)*100+MONTH(A463)</f>
        <v>202603</v>
      </c>
    </row>
    <row r="464" customFormat="false" ht="15" hidden="false" customHeight="false" outlineLevel="0" collapsed="false">
      <c r="A464" s="2" t="n">
        <v>46106</v>
      </c>
      <c r="B464" s="3" t="s">
        <v>363</v>
      </c>
      <c r="C464" s="0" t="n">
        <v>94</v>
      </c>
      <c r="D464" s="0" t="n">
        <v>7</v>
      </c>
      <c r="E464" s="0" t="str">
        <f aca="false">INDEX(lot!$B$2:$B$1201,MATCH(B464,lot!$A$2:$A$1201,0))</f>
        <v>SUP-A</v>
      </c>
      <c r="F464" s="3" t="n">
        <f aca="false">YEAR(A464)*100+MONTH(A464)</f>
        <v>202603</v>
      </c>
    </row>
    <row r="465" customFormat="false" ht="15" hidden="false" customHeight="false" outlineLevel="0" collapsed="false">
      <c r="A465" s="2" t="n">
        <v>46106</v>
      </c>
      <c r="B465" s="3" t="s">
        <v>418</v>
      </c>
      <c r="C465" s="0" t="n">
        <v>205</v>
      </c>
      <c r="D465" s="0" t="n">
        <v>4</v>
      </c>
      <c r="E465" s="0" t="str">
        <f aca="false">INDEX(lot!$B$2:$B$1201,MATCH(B465,lot!$A$2:$A$1201,0))</f>
        <v>SUP-C</v>
      </c>
      <c r="F465" s="3" t="n">
        <f aca="false">YEAR(A465)*100+MONTH(A465)</f>
        <v>202603</v>
      </c>
    </row>
    <row r="466" customFormat="false" ht="15" hidden="false" customHeight="false" outlineLevel="0" collapsed="false">
      <c r="A466" s="2" t="n">
        <v>46106</v>
      </c>
      <c r="B466" s="3" t="s">
        <v>418</v>
      </c>
      <c r="C466" s="0" t="n">
        <v>155</v>
      </c>
      <c r="D466" s="0" t="n">
        <v>6</v>
      </c>
      <c r="E466" s="0" t="str">
        <f aca="false">INDEX(lot!$B$2:$B$1201,MATCH(B466,lot!$A$2:$A$1201,0))</f>
        <v>SUP-C</v>
      </c>
      <c r="F466" s="3" t="n">
        <f aca="false">YEAR(A466)*100+MONTH(A466)</f>
        <v>202603</v>
      </c>
    </row>
    <row r="467" customFormat="false" ht="15" hidden="false" customHeight="false" outlineLevel="0" collapsed="false">
      <c r="A467" s="2" t="n">
        <v>46106</v>
      </c>
      <c r="B467" s="3" t="s">
        <v>526</v>
      </c>
      <c r="C467" s="0" t="n">
        <v>168</v>
      </c>
      <c r="D467" s="0" t="n">
        <v>3</v>
      </c>
      <c r="E467" s="0" t="str">
        <f aca="false">INDEX(lot!$B$2:$B$1201,MATCH(B467,lot!$A$2:$A$1201,0))</f>
        <v>SUP-C</v>
      </c>
      <c r="F467" s="3" t="n">
        <f aca="false">YEAR(A467)*100+MONTH(A467)</f>
        <v>202603</v>
      </c>
    </row>
    <row r="468" customFormat="false" ht="15" hidden="false" customHeight="false" outlineLevel="0" collapsed="false">
      <c r="A468" s="2" t="n">
        <v>46106</v>
      </c>
      <c r="B468" s="3" t="s">
        <v>717</v>
      </c>
      <c r="C468" s="0" t="n">
        <v>106</v>
      </c>
      <c r="D468" s="0" t="n">
        <v>0</v>
      </c>
      <c r="E468" s="0" t="str">
        <f aca="false">INDEX(lot!$B$2:$B$1201,MATCH(B468,lot!$A$2:$A$1201,0))</f>
        <v>SUP-A</v>
      </c>
      <c r="F468" s="3" t="n">
        <f aca="false">YEAR(A468)*100+MONTH(A468)</f>
        <v>202603</v>
      </c>
    </row>
    <row r="469" customFormat="false" ht="15" hidden="false" customHeight="false" outlineLevel="0" collapsed="false">
      <c r="A469" s="2" t="n">
        <v>46106</v>
      </c>
      <c r="B469" s="3" t="s">
        <v>777</v>
      </c>
      <c r="C469" s="0" t="n">
        <v>82</v>
      </c>
      <c r="D469" s="0" t="n">
        <v>2</v>
      </c>
      <c r="E469" s="0" t="str">
        <f aca="false">INDEX(lot!$B$2:$B$1201,MATCH(B469,lot!$A$2:$A$1201,0))</f>
        <v>SUP-E</v>
      </c>
      <c r="F469" s="3" t="n">
        <f aca="false">YEAR(A469)*100+MONTH(A469)</f>
        <v>202603</v>
      </c>
    </row>
    <row r="470" customFormat="false" ht="15" hidden="false" customHeight="false" outlineLevel="0" collapsed="false">
      <c r="A470" s="2" t="n">
        <v>46106</v>
      </c>
      <c r="B470" s="3" t="s">
        <v>777</v>
      </c>
      <c r="C470" s="0" t="n">
        <v>148</v>
      </c>
      <c r="D470" s="0" t="n">
        <v>4</v>
      </c>
      <c r="E470" s="0" t="str">
        <f aca="false">INDEX(lot!$B$2:$B$1201,MATCH(B470,lot!$A$2:$A$1201,0))</f>
        <v>SUP-E</v>
      </c>
      <c r="F470" s="3" t="n">
        <f aca="false">YEAR(A470)*100+MONTH(A470)</f>
        <v>202603</v>
      </c>
    </row>
    <row r="471" customFormat="false" ht="15" hidden="false" customHeight="false" outlineLevel="0" collapsed="false">
      <c r="A471" s="2" t="n">
        <v>46106</v>
      </c>
      <c r="B471" s="3" t="s">
        <v>858</v>
      </c>
      <c r="C471" s="0" t="n">
        <v>165</v>
      </c>
      <c r="D471" s="0" t="n">
        <v>3</v>
      </c>
      <c r="E471" s="0" t="str">
        <f aca="false">INDEX(lot!$B$2:$B$1201,MATCH(B471,lot!$A$2:$A$1201,0))</f>
        <v>SUP-C</v>
      </c>
      <c r="F471" s="3" t="n">
        <f aca="false">YEAR(A471)*100+MONTH(A471)</f>
        <v>202603</v>
      </c>
    </row>
    <row r="472" customFormat="false" ht="15" hidden="false" customHeight="false" outlineLevel="0" collapsed="false">
      <c r="A472" s="2" t="n">
        <v>46106</v>
      </c>
      <c r="B472" s="3" t="s">
        <v>901</v>
      </c>
      <c r="C472" s="0" t="n">
        <v>196</v>
      </c>
      <c r="D472" s="0" t="n">
        <v>3</v>
      </c>
      <c r="E472" s="0" t="str">
        <f aca="false">INDEX(lot!$B$2:$B$1201,MATCH(B472,lot!$A$2:$A$1201,0))</f>
        <v>SUP-A</v>
      </c>
      <c r="F472" s="3" t="n">
        <f aca="false">YEAR(A472)*100+MONTH(A472)</f>
        <v>202603</v>
      </c>
    </row>
    <row r="473" customFormat="false" ht="15" hidden="false" customHeight="false" outlineLevel="0" collapsed="false">
      <c r="A473" s="2" t="n">
        <v>46106</v>
      </c>
      <c r="B473" s="3" t="s">
        <v>996</v>
      </c>
      <c r="C473" s="0" t="n">
        <v>152</v>
      </c>
      <c r="D473" s="0" t="n">
        <v>4</v>
      </c>
      <c r="E473" s="0" t="str">
        <f aca="false">INDEX(lot!$B$2:$B$1201,MATCH(B473,lot!$A$2:$A$1201,0))</f>
        <v>SUP-C</v>
      </c>
      <c r="F473" s="3" t="n">
        <f aca="false">YEAR(A473)*100+MONTH(A473)</f>
        <v>202603</v>
      </c>
    </row>
    <row r="474" customFormat="false" ht="15" hidden="false" customHeight="false" outlineLevel="0" collapsed="false">
      <c r="A474" s="2" t="n">
        <v>46106</v>
      </c>
      <c r="B474" s="3" t="s">
        <v>1090</v>
      </c>
      <c r="C474" s="0" t="n">
        <v>80</v>
      </c>
      <c r="D474" s="0" t="n">
        <v>2</v>
      </c>
      <c r="E474" s="0" t="str">
        <f aca="false">INDEX(lot!$B$2:$B$1201,MATCH(B474,lot!$A$2:$A$1201,0))</f>
        <v>SUP-C</v>
      </c>
      <c r="F474" s="3" t="n">
        <f aca="false">YEAR(A474)*100+MONTH(A474)</f>
        <v>202603</v>
      </c>
    </row>
    <row r="475" customFormat="false" ht="15" hidden="false" customHeight="false" outlineLevel="0" collapsed="false">
      <c r="A475" s="2" t="n">
        <v>46106</v>
      </c>
      <c r="B475" s="3" t="s">
        <v>1108</v>
      </c>
      <c r="C475" s="0" t="n">
        <v>186</v>
      </c>
      <c r="D475" s="0" t="n">
        <v>2</v>
      </c>
      <c r="E475" s="0" t="str">
        <f aca="false">INDEX(lot!$B$2:$B$1201,MATCH(B475,lot!$A$2:$A$1201,0))</f>
        <v>SUP-A</v>
      </c>
      <c r="F475" s="3" t="n">
        <f aca="false">YEAR(A475)*100+MONTH(A475)</f>
        <v>202603</v>
      </c>
    </row>
    <row r="476" customFormat="false" ht="15" hidden="false" customHeight="false" outlineLevel="0" collapsed="false">
      <c r="A476" s="2" t="n">
        <v>46106</v>
      </c>
      <c r="B476" s="3" t="s">
        <v>1108</v>
      </c>
      <c r="C476" s="0" t="n">
        <v>105</v>
      </c>
      <c r="D476" s="0" t="n">
        <v>0</v>
      </c>
      <c r="E476" s="0" t="str">
        <f aca="false">INDEX(lot!$B$2:$B$1201,MATCH(B476,lot!$A$2:$A$1201,0))</f>
        <v>SUP-A</v>
      </c>
      <c r="F476" s="3" t="n">
        <f aca="false">YEAR(A476)*100+MONTH(A476)</f>
        <v>202603</v>
      </c>
    </row>
    <row r="477" customFormat="false" ht="15" hidden="false" customHeight="false" outlineLevel="0" collapsed="false">
      <c r="A477" s="2" t="n">
        <v>46106</v>
      </c>
      <c r="B477" s="3" t="s">
        <v>1133</v>
      </c>
      <c r="C477" s="0" t="n">
        <v>171</v>
      </c>
      <c r="D477" s="0" t="n">
        <v>1</v>
      </c>
      <c r="E477" s="0" t="str">
        <f aca="false">INDEX(lot!$B$2:$B$1201,MATCH(B477,lot!$A$2:$A$1201,0))</f>
        <v>SUP-D</v>
      </c>
      <c r="F477" s="3" t="n">
        <f aca="false">YEAR(A477)*100+MONTH(A477)</f>
        <v>202603</v>
      </c>
    </row>
    <row r="478" customFormat="false" ht="15" hidden="false" customHeight="false" outlineLevel="0" collapsed="false">
      <c r="A478" s="2" t="n">
        <v>46106</v>
      </c>
      <c r="B478" s="3" t="s">
        <v>1168</v>
      </c>
      <c r="C478" s="0" t="n">
        <v>112</v>
      </c>
      <c r="D478" s="0" t="n">
        <v>1</v>
      </c>
      <c r="E478" s="0" t="str">
        <f aca="false">INDEX(lot!$B$2:$B$1201,MATCH(B478,lot!$A$2:$A$1201,0))</f>
        <v>SUP-E</v>
      </c>
      <c r="F478" s="3" t="n">
        <f aca="false">YEAR(A478)*100+MONTH(A478)</f>
        <v>202603</v>
      </c>
    </row>
    <row r="479" customFormat="false" ht="15" hidden="false" customHeight="false" outlineLevel="0" collapsed="false">
      <c r="A479" s="2" t="n">
        <v>46106</v>
      </c>
      <c r="B479" s="3" t="s">
        <v>1168</v>
      </c>
      <c r="C479" s="0" t="n">
        <v>250</v>
      </c>
      <c r="D479" s="0" t="n">
        <v>2</v>
      </c>
      <c r="E479" s="0" t="str">
        <f aca="false">INDEX(lot!$B$2:$B$1201,MATCH(B479,lot!$A$2:$A$1201,0))</f>
        <v>SUP-E</v>
      </c>
      <c r="F479" s="3" t="n">
        <f aca="false">YEAR(A479)*100+MONTH(A479)</f>
        <v>202603</v>
      </c>
    </row>
    <row r="480" customFormat="false" ht="15" hidden="false" customHeight="false" outlineLevel="0" collapsed="false">
      <c r="A480" s="2" t="n">
        <v>46107</v>
      </c>
      <c r="B480" s="3" t="s">
        <v>13</v>
      </c>
      <c r="C480" s="0" t="n">
        <v>74</v>
      </c>
      <c r="D480" s="0" t="n">
        <v>1</v>
      </c>
      <c r="E480" s="0" t="str">
        <f aca="false">INDEX(lot!$B$2:$B$1201,MATCH(B480,lot!$A$2:$A$1201,0))</f>
        <v>SUP-D</v>
      </c>
      <c r="F480" s="3" t="n">
        <f aca="false">YEAR(A480)*100+MONTH(A480)</f>
        <v>202603</v>
      </c>
    </row>
    <row r="481" customFormat="false" ht="15" hidden="false" customHeight="false" outlineLevel="0" collapsed="false">
      <c r="A481" s="2" t="n">
        <v>46107</v>
      </c>
      <c r="B481" s="3" t="s">
        <v>13</v>
      </c>
      <c r="C481" s="0" t="n">
        <v>64</v>
      </c>
      <c r="D481" s="0" t="n">
        <v>0</v>
      </c>
      <c r="E481" s="0" t="str">
        <f aca="false">INDEX(lot!$B$2:$B$1201,MATCH(B481,lot!$A$2:$A$1201,0))</f>
        <v>SUP-D</v>
      </c>
      <c r="F481" s="3" t="n">
        <f aca="false">YEAR(A481)*100+MONTH(A481)</f>
        <v>202603</v>
      </c>
    </row>
    <row r="482" customFormat="false" ht="15" hidden="false" customHeight="false" outlineLevel="0" collapsed="false">
      <c r="A482" s="2" t="n">
        <v>46107</v>
      </c>
      <c r="B482" s="3" t="s">
        <v>22</v>
      </c>
      <c r="C482" s="0" t="n">
        <v>161</v>
      </c>
      <c r="D482" s="0" t="n">
        <v>2</v>
      </c>
      <c r="E482" s="0" t="str">
        <f aca="false">INDEX(lot!$B$2:$B$1201,MATCH(B482,lot!$A$2:$A$1201,0))</f>
        <v>SUP-D</v>
      </c>
      <c r="F482" s="3" t="n">
        <f aca="false">YEAR(A482)*100+MONTH(A482)</f>
        <v>202603</v>
      </c>
    </row>
    <row r="483" customFormat="false" ht="15" hidden="false" customHeight="false" outlineLevel="0" collapsed="false">
      <c r="A483" s="2" t="n">
        <v>46107</v>
      </c>
      <c r="B483" s="3" t="s">
        <v>38</v>
      </c>
      <c r="C483" s="0" t="n">
        <v>126</v>
      </c>
      <c r="D483" s="0" t="n">
        <v>1</v>
      </c>
      <c r="E483" s="0" t="str">
        <f aca="false">INDEX(lot!$B$2:$B$1201,MATCH(B483,lot!$A$2:$A$1201,0))</f>
        <v>SUP-C</v>
      </c>
      <c r="F483" s="3" t="n">
        <f aca="false">YEAR(A483)*100+MONTH(A483)</f>
        <v>202603</v>
      </c>
    </row>
    <row r="484" customFormat="false" ht="15" hidden="false" customHeight="false" outlineLevel="0" collapsed="false">
      <c r="A484" s="2" t="n">
        <v>46107</v>
      </c>
      <c r="B484" s="3" t="s">
        <v>41</v>
      </c>
      <c r="C484" s="0" t="n">
        <v>30</v>
      </c>
      <c r="D484" s="0" t="n">
        <v>0</v>
      </c>
      <c r="E484" s="0" t="str">
        <f aca="false">INDEX(lot!$B$2:$B$1201,MATCH(B484,lot!$A$2:$A$1201,0))</f>
        <v>SUP-A</v>
      </c>
      <c r="F484" s="3" t="n">
        <f aca="false">YEAR(A484)*100+MONTH(A484)</f>
        <v>202603</v>
      </c>
    </row>
    <row r="485" customFormat="false" ht="15" hidden="false" customHeight="false" outlineLevel="0" collapsed="false">
      <c r="A485" s="2" t="n">
        <v>46107</v>
      </c>
      <c r="B485" s="3" t="s">
        <v>58</v>
      </c>
      <c r="C485" s="0" t="n">
        <v>192</v>
      </c>
      <c r="D485" s="0" t="n">
        <v>5</v>
      </c>
      <c r="E485" s="0" t="str">
        <f aca="false">INDEX(lot!$B$2:$B$1201,MATCH(B485,lot!$A$2:$A$1201,0))</f>
        <v>SUP-E</v>
      </c>
      <c r="F485" s="3" t="n">
        <f aca="false">YEAR(A485)*100+MONTH(A485)</f>
        <v>202603</v>
      </c>
    </row>
    <row r="486" customFormat="false" ht="15" hidden="false" customHeight="false" outlineLevel="0" collapsed="false">
      <c r="A486" s="2" t="n">
        <v>46107</v>
      </c>
      <c r="B486" s="3" t="s">
        <v>58</v>
      </c>
      <c r="C486" s="0" t="n">
        <v>162</v>
      </c>
      <c r="D486" s="0" t="n">
        <v>2</v>
      </c>
      <c r="E486" s="0" t="str">
        <f aca="false">INDEX(lot!$B$2:$B$1201,MATCH(B486,lot!$A$2:$A$1201,0))</f>
        <v>SUP-E</v>
      </c>
      <c r="F486" s="3" t="n">
        <f aca="false">YEAR(A486)*100+MONTH(A486)</f>
        <v>202603</v>
      </c>
    </row>
    <row r="487" customFormat="false" ht="15" hidden="false" customHeight="false" outlineLevel="0" collapsed="false">
      <c r="A487" s="2" t="n">
        <v>46107</v>
      </c>
      <c r="B487" s="3" t="s">
        <v>225</v>
      </c>
      <c r="C487" s="0" t="n">
        <v>252</v>
      </c>
      <c r="D487" s="0" t="n">
        <v>3</v>
      </c>
      <c r="E487" s="0" t="str">
        <f aca="false">INDEX(lot!$B$2:$B$1201,MATCH(B487,lot!$A$2:$A$1201,0))</f>
        <v>SUP-E</v>
      </c>
      <c r="F487" s="3" t="n">
        <f aca="false">YEAR(A487)*100+MONTH(A487)</f>
        <v>202603</v>
      </c>
    </row>
    <row r="488" customFormat="false" ht="15" hidden="false" customHeight="false" outlineLevel="0" collapsed="false">
      <c r="A488" s="2" t="n">
        <v>46107</v>
      </c>
      <c r="B488" s="3" t="s">
        <v>243</v>
      </c>
      <c r="C488" s="0" t="n">
        <v>100</v>
      </c>
      <c r="D488" s="0" t="n">
        <v>1</v>
      </c>
      <c r="E488" s="0" t="str">
        <f aca="false">INDEX(lot!$B$2:$B$1201,MATCH(B488,lot!$A$2:$A$1201,0))</f>
        <v>SUP-A</v>
      </c>
      <c r="F488" s="3" t="n">
        <f aca="false">YEAR(A488)*100+MONTH(A488)</f>
        <v>202603</v>
      </c>
    </row>
    <row r="489" customFormat="false" ht="15" hidden="false" customHeight="false" outlineLevel="0" collapsed="false">
      <c r="A489" s="2" t="n">
        <v>46107</v>
      </c>
      <c r="B489" s="3" t="s">
        <v>243</v>
      </c>
      <c r="C489" s="0" t="n">
        <v>190</v>
      </c>
      <c r="D489" s="0" t="n">
        <v>1</v>
      </c>
      <c r="E489" s="0" t="str">
        <f aca="false">INDEX(lot!$B$2:$B$1201,MATCH(B489,lot!$A$2:$A$1201,0))</f>
        <v>SUP-A</v>
      </c>
      <c r="F489" s="3" t="n">
        <f aca="false">YEAR(A489)*100+MONTH(A489)</f>
        <v>202603</v>
      </c>
    </row>
    <row r="490" customFormat="false" ht="15" hidden="false" customHeight="false" outlineLevel="0" collapsed="false">
      <c r="A490" s="2" t="n">
        <v>46107</v>
      </c>
      <c r="B490" s="3" t="s">
        <v>301</v>
      </c>
      <c r="C490" s="0" t="n">
        <v>244</v>
      </c>
      <c r="D490" s="0" t="n">
        <v>2</v>
      </c>
      <c r="E490" s="0" t="str">
        <f aca="false">INDEX(lot!$B$2:$B$1201,MATCH(B490,lot!$A$2:$A$1201,0))</f>
        <v>SUP-D</v>
      </c>
      <c r="F490" s="3" t="n">
        <f aca="false">YEAR(A490)*100+MONTH(A490)</f>
        <v>202603</v>
      </c>
    </row>
    <row r="491" customFormat="false" ht="15" hidden="false" customHeight="false" outlineLevel="0" collapsed="false">
      <c r="A491" s="2" t="n">
        <v>46107</v>
      </c>
      <c r="B491" s="3" t="s">
        <v>301</v>
      </c>
      <c r="C491" s="0" t="n">
        <v>183</v>
      </c>
      <c r="D491" s="0" t="n">
        <v>1</v>
      </c>
      <c r="E491" s="0" t="str">
        <f aca="false">INDEX(lot!$B$2:$B$1201,MATCH(B491,lot!$A$2:$A$1201,0))</f>
        <v>SUP-D</v>
      </c>
      <c r="F491" s="3" t="n">
        <f aca="false">YEAR(A491)*100+MONTH(A491)</f>
        <v>202603</v>
      </c>
    </row>
    <row r="492" customFormat="false" ht="15" hidden="false" customHeight="false" outlineLevel="0" collapsed="false">
      <c r="A492" s="2" t="n">
        <v>46107</v>
      </c>
      <c r="B492" s="3" t="s">
        <v>363</v>
      </c>
      <c r="C492" s="0" t="n">
        <v>135</v>
      </c>
      <c r="D492" s="0" t="n">
        <v>9</v>
      </c>
      <c r="E492" s="0" t="str">
        <f aca="false">INDEX(lot!$B$2:$B$1201,MATCH(B492,lot!$A$2:$A$1201,0))</f>
        <v>SUP-A</v>
      </c>
      <c r="F492" s="3" t="n">
        <f aca="false">YEAR(A492)*100+MONTH(A492)</f>
        <v>202603</v>
      </c>
    </row>
    <row r="493" customFormat="false" ht="15" hidden="false" customHeight="false" outlineLevel="0" collapsed="false">
      <c r="A493" s="2" t="n">
        <v>46107</v>
      </c>
      <c r="B493" s="3" t="s">
        <v>418</v>
      </c>
      <c r="C493" s="0" t="n">
        <v>168</v>
      </c>
      <c r="D493" s="0" t="n">
        <v>3</v>
      </c>
      <c r="E493" s="0" t="str">
        <f aca="false">INDEX(lot!$B$2:$B$1201,MATCH(B493,lot!$A$2:$A$1201,0))</f>
        <v>SUP-C</v>
      </c>
      <c r="F493" s="3" t="n">
        <f aca="false">YEAR(A493)*100+MONTH(A493)</f>
        <v>202603</v>
      </c>
    </row>
    <row r="494" customFormat="false" ht="15" hidden="false" customHeight="false" outlineLevel="0" collapsed="false">
      <c r="A494" s="2" t="n">
        <v>46107</v>
      </c>
      <c r="B494" s="3" t="s">
        <v>420</v>
      </c>
      <c r="C494" s="0" t="n">
        <v>238</v>
      </c>
      <c r="D494" s="0" t="n">
        <v>5</v>
      </c>
      <c r="E494" s="0" t="str">
        <f aca="false">INDEX(lot!$B$2:$B$1201,MATCH(B494,lot!$A$2:$A$1201,0))</f>
        <v>SUP-C</v>
      </c>
      <c r="F494" s="3" t="n">
        <f aca="false">YEAR(A494)*100+MONTH(A494)</f>
        <v>202603</v>
      </c>
    </row>
    <row r="495" customFormat="false" ht="15" hidden="false" customHeight="false" outlineLevel="0" collapsed="false">
      <c r="A495" s="2" t="n">
        <v>46107</v>
      </c>
      <c r="B495" s="3" t="s">
        <v>420</v>
      </c>
      <c r="C495" s="0" t="n">
        <v>114</v>
      </c>
      <c r="D495" s="0" t="n">
        <v>5</v>
      </c>
      <c r="E495" s="0" t="str">
        <f aca="false">INDEX(lot!$B$2:$B$1201,MATCH(B495,lot!$A$2:$A$1201,0))</f>
        <v>SUP-C</v>
      </c>
      <c r="F495" s="3" t="n">
        <f aca="false">YEAR(A495)*100+MONTH(A495)</f>
        <v>202603</v>
      </c>
    </row>
    <row r="496" customFormat="false" ht="15" hidden="false" customHeight="false" outlineLevel="0" collapsed="false">
      <c r="A496" s="2" t="n">
        <v>46107</v>
      </c>
      <c r="B496" s="3" t="s">
        <v>422</v>
      </c>
      <c r="C496" s="0" t="n">
        <v>141</v>
      </c>
      <c r="D496" s="0" t="n">
        <v>3</v>
      </c>
      <c r="E496" s="0" t="str">
        <f aca="false">INDEX(lot!$B$2:$B$1201,MATCH(B496,lot!$A$2:$A$1201,0))</f>
        <v>SUP-C</v>
      </c>
      <c r="F496" s="3" t="n">
        <f aca="false">YEAR(A496)*100+MONTH(A496)</f>
        <v>202603</v>
      </c>
    </row>
    <row r="497" customFormat="false" ht="15" hidden="false" customHeight="false" outlineLevel="0" collapsed="false">
      <c r="A497" s="2" t="n">
        <v>46107</v>
      </c>
      <c r="B497" s="3" t="s">
        <v>440</v>
      </c>
      <c r="C497" s="0" t="n">
        <v>79</v>
      </c>
      <c r="D497" s="0" t="n">
        <v>7</v>
      </c>
      <c r="E497" s="0" t="str">
        <f aca="false">INDEX(lot!$B$2:$B$1201,MATCH(B497,lot!$A$2:$A$1201,0))</f>
        <v>SUP-A</v>
      </c>
      <c r="F497" s="3" t="n">
        <f aca="false">YEAR(A497)*100+MONTH(A497)</f>
        <v>202603</v>
      </c>
    </row>
    <row r="498" customFormat="false" ht="15" hidden="false" customHeight="false" outlineLevel="0" collapsed="false">
      <c r="A498" s="2" t="n">
        <v>46107</v>
      </c>
      <c r="B498" s="3" t="s">
        <v>440</v>
      </c>
      <c r="C498" s="0" t="n">
        <v>202</v>
      </c>
      <c r="D498" s="0" t="n">
        <v>5</v>
      </c>
      <c r="E498" s="0" t="str">
        <f aca="false">INDEX(lot!$B$2:$B$1201,MATCH(B498,lot!$A$2:$A$1201,0))</f>
        <v>SUP-A</v>
      </c>
      <c r="F498" s="3" t="n">
        <f aca="false">YEAR(A498)*100+MONTH(A498)</f>
        <v>202603</v>
      </c>
    </row>
    <row r="499" customFormat="false" ht="15" hidden="false" customHeight="false" outlineLevel="0" collapsed="false">
      <c r="A499" s="2" t="n">
        <v>46107</v>
      </c>
      <c r="B499" s="3" t="s">
        <v>717</v>
      </c>
      <c r="C499" s="0" t="n">
        <v>239</v>
      </c>
      <c r="D499" s="0" t="n">
        <v>4</v>
      </c>
      <c r="E499" s="0" t="str">
        <f aca="false">INDEX(lot!$B$2:$B$1201,MATCH(B499,lot!$A$2:$A$1201,0))</f>
        <v>SUP-A</v>
      </c>
      <c r="F499" s="3" t="n">
        <f aca="false">YEAR(A499)*100+MONTH(A499)</f>
        <v>202603</v>
      </c>
    </row>
    <row r="500" customFormat="false" ht="15" hidden="false" customHeight="false" outlineLevel="0" collapsed="false">
      <c r="A500" s="2" t="n">
        <v>46107</v>
      </c>
      <c r="B500" s="3" t="s">
        <v>717</v>
      </c>
      <c r="C500" s="0" t="n">
        <v>189</v>
      </c>
      <c r="D500" s="0" t="n">
        <v>2</v>
      </c>
      <c r="E500" s="0" t="str">
        <f aca="false">INDEX(lot!$B$2:$B$1201,MATCH(B500,lot!$A$2:$A$1201,0))</f>
        <v>SUP-A</v>
      </c>
      <c r="F500" s="3" t="n">
        <f aca="false">YEAR(A500)*100+MONTH(A500)</f>
        <v>202603</v>
      </c>
    </row>
    <row r="501" customFormat="false" ht="15" hidden="false" customHeight="false" outlineLevel="0" collapsed="false">
      <c r="A501" s="2" t="n">
        <v>46107</v>
      </c>
      <c r="B501" s="3" t="s">
        <v>777</v>
      </c>
      <c r="C501" s="0" t="n">
        <v>235</v>
      </c>
      <c r="D501" s="0" t="n">
        <v>10</v>
      </c>
      <c r="E501" s="0" t="str">
        <f aca="false">INDEX(lot!$B$2:$B$1201,MATCH(B501,lot!$A$2:$A$1201,0))</f>
        <v>SUP-E</v>
      </c>
      <c r="F501" s="3" t="n">
        <f aca="false">YEAR(A501)*100+MONTH(A501)</f>
        <v>202603</v>
      </c>
    </row>
    <row r="502" customFormat="false" ht="15" hidden="false" customHeight="false" outlineLevel="0" collapsed="false">
      <c r="A502" s="2" t="n">
        <v>46107</v>
      </c>
      <c r="B502" s="3" t="s">
        <v>777</v>
      </c>
      <c r="C502" s="0" t="n">
        <v>126</v>
      </c>
      <c r="D502" s="0" t="n">
        <v>8</v>
      </c>
      <c r="E502" s="0" t="str">
        <f aca="false">INDEX(lot!$B$2:$B$1201,MATCH(B502,lot!$A$2:$A$1201,0))</f>
        <v>SUP-E</v>
      </c>
      <c r="F502" s="3" t="n">
        <f aca="false">YEAR(A502)*100+MONTH(A502)</f>
        <v>202603</v>
      </c>
    </row>
    <row r="503" customFormat="false" ht="15" hidden="false" customHeight="false" outlineLevel="0" collapsed="false">
      <c r="A503" s="2" t="n">
        <v>46107</v>
      </c>
      <c r="B503" s="3" t="s">
        <v>858</v>
      </c>
      <c r="C503" s="0" t="n">
        <v>234</v>
      </c>
      <c r="D503" s="0" t="n">
        <v>11</v>
      </c>
      <c r="E503" s="0" t="str">
        <f aca="false">INDEX(lot!$B$2:$B$1201,MATCH(B503,lot!$A$2:$A$1201,0))</f>
        <v>SUP-C</v>
      </c>
      <c r="F503" s="3" t="n">
        <f aca="false">YEAR(A503)*100+MONTH(A503)</f>
        <v>202603</v>
      </c>
    </row>
    <row r="504" customFormat="false" ht="15" hidden="false" customHeight="false" outlineLevel="0" collapsed="false">
      <c r="A504" s="2" t="n">
        <v>46107</v>
      </c>
      <c r="B504" s="3" t="s">
        <v>858</v>
      </c>
      <c r="C504" s="0" t="n">
        <v>125</v>
      </c>
      <c r="D504" s="0" t="n">
        <v>2</v>
      </c>
      <c r="E504" s="0" t="str">
        <f aca="false">INDEX(lot!$B$2:$B$1201,MATCH(B504,lot!$A$2:$A$1201,0))</f>
        <v>SUP-C</v>
      </c>
      <c r="F504" s="3" t="n">
        <f aca="false">YEAR(A504)*100+MONTH(A504)</f>
        <v>202603</v>
      </c>
    </row>
    <row r="505" customFormat="false" ht="15" hidden="false" customHeight="false" outlineLevel="0" collapsed="false">
      <c r="A505" s="2" t="n">
        <v>46107</v>
      </c>
      <c r="B505" s="3" t="s">
        <v>993</v>
      </c>
      <c r="C505" s="0" t="n">
        <v>160</v>
      </c>
      <c r="D505" s="0" t="n">
        <v>1</v>
      </c>
      <c r="E505" s="0" t="str">
        <f aca="false">INDEX(lot!$B$2:$B$1201,MATCH(B505,lot!$A$2:$A$1201,0))</f>
        <v>SUP-A</v>
      </c>
      <c r="F505" s="3" t="n">
        <f aca="false">YEAR(A505)*100+MONTH(A505)</f>
        <v>202603</v>
      </c>
    </row>
    <row r="506" customFormat="false" ht="15" hidden="false" customHeight="false" outlineLevel="0" collapsed="false">
      <c r="A506" s="2" t="n">
        <v>46107</v>
      </c>
      <c r="B506" s="3" t="s">
        <v>993</v>
      </c>
      <c r="C506" s="0" t="n">
        <v>233</v>
      </c>
      <c r="D506" s="0" t="n">
        <v>3</v>
      </c>
      <c r="E506" s="0" t="str">
        <f aca="false">INDEX(lot!$B$2:$B$1201,MATCH(B506,lot!$A$2:$A$1201,0))</f>
        <v>SUP-A</v>
      </c>
      <c r="F506" s="3" t="n">
        <f aca="false">YEAR(A506)*100+MONTH(A506)</f>
        <v>202603</v>
      </c>
    </row>
    <row r="507" customFormat="false" ht="15" hidden="false" customHeight="false" outlineLevel="0" collapsed="false">
      <c r="A507" s="2" t="n">
        <v>46107</v>
      </c>
      <c r="B507" s="3" t="s">
        <v>999</v>
      </c>
      <c r="C507" s="0" t="n">
        <v>116</v>
      </c>
      <c r="D507" s="0" t="n">
        <v>0</v>
      </c>
      <c r="E507" s="0" t="str">
        <f aca="false">INDEX(lot!$B$2:$B$1201,MATCH(B507,lot!$A$2:$A$1201,0))</f>
        <v>SUP-E</v>
      </c>
      <c r="F507" s="3" t="n">
        <f aca="false">YEAR(A507)*100+MONTH(A507)</f>
        <v>202603</v>
      </c>
    </row>
    <row r="508" customFormat="false" ht="15" hidden="false" customHeight="false" outlineLevel="0" collapsed="false">
      <c r="A508" s="2" t="n">
        <v>46107</v>
      </c>
      <c r="B508" s="3" t="s">
        <v>999</v>
      </c>
      <c r="C508" s="0" t="n">
        <v>183</v>
      </c>
      <c r="D508" s="0" t="n">
        <v>1</v>
      </c>
      <c r="E508" s="0" t="str">
        <f aca="false">INDEX(lot!$B$2:$B$1201,MATCH(B508,lot!$A$2:$A$1201,0))</f>
        <v>SUP-E</v>
      </c>
      <c r="F508" s="3" t="n">
        <f aca="false">YEAR(A508)*100+MONTH(A508)</f>
        <v>202603</v>
      </c>
    </row>
    <row r="509" customFormat="false" ht="15" hidden="false" customHeight="false" outlineLevel="0" collapsed="false">
      <c r="A509" s="2" t="n">
        <v>46107</v>
      </c>
      <c r="B509" s="3" t="s">
        <v>1000</v>
      </c>
      <c r="C509" s="0" t="n">
        <v>165</v>
      </c>
      <c r="D509" s="0" t="n">
        <v>2</v>
      </c>
      <c r="E509" s="0" t="str">
        <f aca="false">INDEX(lot!$B$2:$B$1201,MATCH(B509,lot!$A$2:$A$1201,0))</f>
        <v>SUP-E</v>
      </c>
      <c r="F509" s="3" t="n">
        <f aca="false">YEAR(A509)*100+MONTH(A509)</f>
        <v>202603</v>
      </c>
    </row>
    <row r="510" customFormat="false" ht="15" hidden="false" customHeight="false" outlineLevel="0" collapsed="false">
      <c r="A510" s="2" t="n">
        <v>46107</v>
      </c>
      <c r="B510" s="3" t="s">
        <v>1000</v>
      </c>
      <c r="C510" s="0" t="n">
        <v>213</v>
      </c>
      <c r="D510" s="0" t="n">
        <v>1</v>
      </c>
      <c r="E510" s="0" t="str">
        <f aca="false">INDEX(lot!$B$2:$B$1201,MATCH(B510,lot!$A$2:$A$1201,0))</f>
        <v>SUP-E</v>
      </c>
      <c r="F510" s="3" t="n">
        <f aca="false">YEAR(A510)*100+MONTH(A510)</f>
        <v>202603</v>
      </c>
    </row>
    <row r="511" customFormat="false" ht="15" hidden="false" customHeight="false" outlineLevel="0" collapsed="false">
      <c r="A511" s="2" t="n">
        <v>46107</v>
      </c>
      <c r="B511" s="3" t="s">
        <v>1090</v>
      </c>
      <c r="C511" s="0" t="n">
        <v>70</v>
      </c>
      <c r="D511" s="0" t="n">
        <v>2</v>
      </c>
      <c r="E511" s="0" t="str">
        <f aca="false">INDEX(lot!$B$2:$B$1201,MATCH(B511,lot!$A$2:$A$1201,0))</f>
        <v>SUP-C</v>
      </c>
      <c r="F511" s="3" t="n">
        <f aca="false">YEAR(A511)*100+MONTH(A511)</f>
        <v>202603</v>
      </c>
    </row>
    <row r="512" customFormat="false" ht="15" hidden="false" customHeight="false" outlineLevel="0" collapsed="false">
      <c r="A512" s="2" t="n">
        <v>46107</v>
      </c>
      <c r="B512" s="3" t="s">
        <v>1098</v>
      </c>
      <c r="C512" s="0" t="n">
        <v>74</v>
      </c>
      <c r="D512" s="0" t="n">
        <v>1</v>
      </c>
      <c r="E512" s="0" t="str">
        <f aca="false">INDEX(lot!$B$2:$B$1201,MATCH(B512,lot!$A$2:$A$1201,0))</f>
        <v>SUP-D</v>
      </c>
      <c r="F512" s="3" t="n">
        <f aca="false">YEAR(A512)*100+MONTH(A512)</f>
        <v>202603</v>
      </c>
    </row>
    <row r="513" customFormat="false" ht="15" hidden="false" customHeight="false" outlineLevel="0" collapsed="false">
      <c r="A513" s="2" t="n">
        <v>46107</v>
      </c>
      <c r="B513" s="3" t="s">
        <v>1098</v>
      </c>
      <c r="C513" s="0" t="n">
        <v>163</v>
      </c>
      <c r="D513" s="0" t="n">
        <v>2</v>
      </c>
      <c r="E513" s="0" t="str">
        <f aca="false">INDEX(lot!$B$2:$B$1201,MATCH(B513,lot!$A$2:$A$1201,0))</f>
        <v>SUP-D</v>
      </c>
      <c r="F513" s="3" t="n">
        <f aca="false">YEAR(A513)*100+MONTH(A513)</f>
        <v>202603</v>
      </c>
    </row>
    <row r="514" customFormat="false" ht="15" hidden="false" customHeight="false" outlineLevel="0" collapsed="false">
      <c r="A514" s="2" t="n">
        <v>46107</v>
      </c>
      <c r="B514" s="3" t="s">
        <v>1108</v>
      </c>
      <c r="C514" s="0" t="n">
        <v>94</v>
      </c>
      <c r="D514" s="0" t="n">
        <v>1</v>
      </c>
      <c r="E514" s="0" t="str">
        <f aca="false">INDEX(lot!$B$2:$B$1201,MATCH(B514,lot!$A$2:$A$1201,0))</f>
        <v>SUP-A</v>
      </c>
      <c r="F514" s="3" t="n">
        <f aca="false">YEAR(A514)*100+MONTH(A514)</f>
        <v>202603</v>
      </c>
    </row>
    <row r="515" customFormat="false" ht="15" hidden="false" customHeight="false" outlineLevel="0" collapsed="false">
      <c r="A515" s="2" t="n">
        <v>46107</v>
      </c>
      <c r="B515" s="3" t="s">
        <v>1108</v>
      </c>
      <c r="C515" s="0" t="n">
        <v>154</v>
      </c>
      <c r="D515" s="0" t="n">
        <v>1</v>
      </c>
      <c r="E515" s="0" t="str">
        <f aca="false">INDEX(lot!$B$2:$B$1201,MATCH(B515,lot!$A$2:$A$1201,0))</f>
        <v>SUP-A</v>
      </c>
      <c r="F515" s="3" t="n">
        <f aca="false">YEAR(A515)*100+MONTH(A515)</f>
        <v>202603</v>
      </c>
    </row>
    <row r="516" customFormat="false" ht="15" hidden="false" customHeight="false" outlineLevel="0" collapsed="false">
      <c r="A516" s="2" t="n">
        <v>46107</v>
      </c>
      <c r="B516" s="3" t="s">
        <v>1109</v>
      </c>
      <c r="C516" s="0" t="n">
        <v>233</v>
      </c>
      <c r="D516" s="0" t="n">
        <v>2</v>
      </c>
      <c r="E516" s="0" t="str">
        <f aca="false">INDEX(lot!$B$2:$B$1201,MATCH(B516,lot!$A$2:$A$1201,0))</f>
        <v>SUP-A</v>
      </c>
      <c r="F516" s="3" t="n">
        <f aca="false">YEAR(A516)*100+MONTH(A516)</f>
        <v>202603</v>
      </c>
    </row>
    <row r="517" customFormat="false" ht="15" hidden="false" customHeight="false" outlineLevel="0" collapsed="false">
      <c r="A517" s="2" t="n">
        <v>46107</v>
      </c>
      <c r="B517" s="3" t="s">
        <v>1114</v>
      </c>
      <c r="C517" s="0" t="n">
        <v>92</v>
      </c>
      <c r="D517" s="0" t="n">
        <v>0</v>
      </c>
      <c r="E517" s="0" t="str">
        <f aca="false">INDEX(lot!$B$2:$B$1201,MATCH(B517,lot!$A$2:$A$1201,0))</f>
        <v>SUP-E</v>
      </c>
      <c r="F517" s="3" t="n">
        <f aca="false">YEAR(A517)*100+MONTH(A517)</f>
        <v>202603</v>
      </c>
    </row>
    <row r="518" customFormat="false" ht="15" hidden="false" customHeight="false" outlineLevel="0" collapsed="false">
      <c r="A518" s="2" t="n">
        <v>46107</v>
      </c>
      <c r="B518" s="3" t="s">
        <v>1114</v>
      </c>
      <c r="C518" s="0" t="n">
        <v>89</v>
      </c>
      <c r="D518" s="0" t="n">
        <v>0</v>
      </c>
      <c r="E518" s="0" t="str">
        <f aca="false">INDEX(lot!$B$2:$B$1201,MATCH(B518,lot!$A$2:$A$1201,0))</f>
        <v>SUP-E</v>
      </c>
      <c r="F518" s="3" t="n">
        <f aca="false">YEAR(A518)*100+MONTH(A518)</f>
        <v>202603</v>
      </c>
    </row>
    <row r="519" customFormat="false" ht="15" hidden="false" customHeight="false" outlineLevel="0" collapsed="false">
      <c r="A519" s="2" t="n">
        <v>46107</v>
      </c>
      <c r="B519" s="3" t="s">
        <v>1131</v>
      </c>
      <c r="C519" s="0" t="n">
        <v>132</v>
      </c>
      <c r="D519" s="0" t="n">
        <v>1</v>
      </c>
      <c r="E519" s="0" t="str">
        <f aca="false">INDEX(lot!$B$2:$B$1201,MATCH(B519,lot!$A$2:$A$1201,0))</f>
        <v>SUP-E</v>
      </c>
      <c r="F519" s="3" t="n">
        <f aca="false">YEAR(A519)*100+MONTH(A519)</f>
        <v>202603</v>
      </c>
    </row>
    <row r="520" customFormat="false" ht="15" hidden="false" customHeight="false" outlineLevel="0" collapsed="false">
      <c r="A520" s="2" t="n">
        <v>46107</v>
      </c>
      <c r="B520" s="3" t="s">
        <v>1156</v>
      </c>
      <c r="C520" s="0" t="n">
        <v>153</v>
      </c>
      <c r="D520" s="0" t="n">
        <v>0</v>
      </c>
      <c r="E520" s="0" t="str">
        <f aca="false">INDEX(lot!$B$2:$B$1201,MATCH(B520,lot!$A$2:$A$1201,0))</f>
        <v>SUP-A</v>
      </c>
      <c r="F520" s="3" t="n">
        <f aca="false">YEAR(A520)*100+MONTH(A520)</f>
        <v>202603</v>
      </c>
    </row>
    <row r="521" customFormat="false" ht="15" hidden="false" customHeight="false" outlineLevel="0" collapsed="false">
      <c r="A521" s="2" t="n">
        <v>46107</v>
      </c>
      <c r="B521" s="3" t="s">
        <v>1168</v>
      </c>
      <c r="C521" s="0" t="n">
        <v>70</v>
      </c>
      <c r="D521" s="0" t="n">
        <v>1</v>
      </c>
      <c r="E521" s="0" t="str">
        <f aca="false">INDEX(lot!$B$2:$B$1201,MATCH(B521,lot!$A$2:$A$1201,0))</f>
        <v>SUP-E</v>
      </c>
      <c r="F521" s="3" t="n">
        <f aca="false">YEAR(A521)*100+MONTH(A521)</f>
        <v>202603</v>
      </c>
    </row>
    <row r="522" customFormat="false" ht="15" hidden="false" customHeight="false" outlineLevel="0" collapsed="false">
      <c r="A522" s="2" t="n">
        <v>46108</v>
      </c>
      <c r="B522" s="3" t="s">
        <v>22</v>
      </c>
      <c r="C522" s="0" t="n">
        <v>90</v>
      </c>
      <c r="D522" s="0" t="n">
        <v>2</v>
      </c>
      <c r="E522" s="0" t="str">
        <f aca="false">INDEX(lot!$B$2:$B$1201,MATCH(B522,lot!$A$2:$A$1201,0))</f>
        <v>SUP-D</v>
      </c>
      <c r="F522" s="3" t="n">
        <f aca="false">YEAR(A522)*100+MONTH(A522)</f>
        <v>202603</v>
      </c>
    </row>
    <row r="523" customFormat="false" ht="15" hidden="false" customHeight="false" outlineLevel="0" collapsed="false">
      <c r="A523" s="2" t="n">
        <v>46108</v>
      </c>
      <c r="B523" s="3" t="s">
        <v>22</v>
      </c>
      <c r="C523" s="0" t="n">
        <v>113</v>
      </c>
      <c r="D523" s="0" t="n">
        <v>1</v>
      </c>
      <c r="E523" s="0" t="str">
        <f aca="false">INDEX(lot!$B$2:$B$1201,MATCH(B523,lot!$A$2:$A$1201,0))</f>
        <v>SUP-D</v>
      </c>
      <c r="F523" s="3" t="n">
        <f aca="false">YEAR(A523)*100+MONTH(A523)</f>
        <v>202603</v>
      </c>
    </row>
    <row r="524" customFormat="false" ht="15" hidden="false" customHeight="false" outlineLevel="0" collapsed="false">
      <c r="A524" s="2" t="n">
        <v>46108</v>
      </c>
      <c r="B524" s="3" t="s">
        <v>38</v>
      </c>
      <c r="C524" s="0" t="n">
        <v>100</v>
      </c>
      <c r="D524" s="0" t="n">
        <v>2</v>
      </c>
      <c r="E524" s="0" t="str">
        <f aca="false">INDEX(lot!$B$2:$B$1201,MATCH(B524,lot!$A$2:$A$1201,0))</f>
        <v>SUP-C</v>
      </c>
      <c r="F524" s="3" t="n">
        <f aca="false">YEAR(A524)*100+MONTH(A524)</f>
        <v>202603</v>
      </c>
    </row>
    <row r="525" customFormat="false" ht="15" hidden="false" customHeight="false" outlineLevel="0" collapsed="false">
      <c r="A525" s="2" t="n">
        <v>46108</v>
      </c>
      <c r="B525" s="3" t="s">
        <v>38</v>
      </c>
      <c r="C525" s="0" t="n">
        <v>149</v>
      </c>
      <c r="D525" s="0" t="n">
        <v>5</v>
      </c>
      <c r="E525" s="0" t="str">
        <f aca="false">INDEX(lot!$B$2:$B$1201,MATCH(B525,lot!$A$2:$A$1201,0))</f>
        <v>SUP-C</v>
      </c>
      <c r="F525" s="3" t="n">
        <f aca="false">YEAR(A525)*100+MONTH(A525)</f>
        <v>202603</v>
      </c>
    </row>
    <row r="526" customFormat="false" ht="15" hidden="false" customHeight="false" outlineLevel="0" collapsed="false">
      <c r="A526" s="2" t="n">
        <v>46108</v>
      </c>
      <c r="B526" s="3" t="s">
        <v>58</v>
      </c>
      <c r="C526" s="0" t="n">
        <v>250</v>
      </c>
      <c r="D526" s="0" t="n">
        <v>1</v>
      </c>
      <c r="E526" s="0" t="str">
        <f aca="false">INDEX(lot!$B$2:$B$1201,MATCH(B526,lot!$A$2:$A$1201,0))</f>
        <v>SUP-E</v>
      </c>
      <c r="F526" s="3" t="n">
        <f aca="false">YEAR(A526)*100+MONTH(A526)</f>
        <v>202603</v>
      </c>
    </row>
    <row r="527" customFormat="false" ht="15" hidden="false" customHeight="false" outlineLevel="0" collapsed="false">
      <c r="A527" s="2" t="n">
        <v>46108</v>
      </c>
      <c r="B527" s="3" t="s">
        <v>58</v>
      </c>
      <c r="C527" s="0" t="n">
        <v>139</v>
      </c>
      <c r="D527" s="0" t="n">
        <v>0</v>
      </c>
      <c r="E527" s="0" t="str">
        <f aca="false">INDEX(lot!$B$2:$B$1201,MATCH(B527,lot!$A$2:$A$1201,0))</f>
        <v>SUP-E</v>
      </c>
      <c r="F527" s="3" t="n">
        <f aca="false">YEAR(A527)*100+MONTH(A527)</f>
        <v>202603</v>
      </c>
    </row>
    <row r="528" customFormat="false" ht="15" hidden="false" customHeight="false" outlineLevel="0" collapsed="false">
      <c r="A528" s="2" t="n">
        <v>46108</v>
      </c>
      <c r="B528" s="3" t="s">
        <v>82</v>
      </c>
      <c r="C528" s="0" t="n">
        <v>200</v>
      </c>
      <c r="D528" s="0" t="n">
        <v>1</v>
      </c>
      <c r="E528" s="0" t="str">
        <f aca="false">INDEX(lot!$B$2:$B$1201,MATCH(B528,lot!$A$2:$A$1201,0))</f>
        <v>SUP-E</v>
      </c>
      <c r="F528" s="3" t="n">
        <f aca="false">YEAR(A528)*100+MONTH(A528)</f>
        <v>202603</v>
      </c>
    </row>
    <row r="529" customFormat="false" ht="15" hidden="false" customHeight="false" outlineLevel="0" collapsed="false">
      <c r="A529" s="2" t="n">
        <v>46108</v>
      </c>
      <c r="B529" s="3" t="s">
        <v>185</v>
      </c>
      <c r="C529" s="0" t="n">
        <v>133</v>
      </c>
      <c r="D529" s="0" t="n">
        <v>1</v>
      </c>
      <c r="E529" s="0" t="str">
        <f aca="false">INDEX(lot!$B$2:$B$1201,MATCH(B529,lot!$A$2:$A$1201,0))</f>
        <v>SUP-D</v>
      </c>
      <c r="F529" s="3" t="n">
        <f aca="false">YEAR(A529)*100+MONTH(A529)</f>
        <v>202603</v>
      </c>
    </row>
    <row r="530" customFormat="false" ht="15" hidden="false" customHeight="false" outlineLevel="0" collapsed="false">
      <c r="A530" s="2" t="n">
        <v>46108</v>
      </c>
      <c r="B530" s="3" t="s">
        <v>185</v>
      </c>
      <c r="C530" s="0" t="n">
        <v>162</v>
      </c>
      <c r="D530" s="0" t="n">
        <v>0</v>
      </c>
      <c r="E530" s="0" t="str">
        <f aca="false">INDEX(lot!$B$2:$B$1201,MATCH(B530,lot!$A$2:$A$1201,0))</f>
        <v>SUP-D</v>
      </c>
      <c r="F530" s="3" t="n">
        <f aca="false">YEAR(A530)*100+MONTH(A530)</f>
        <v>202603</v>
      </c>
    </row>
    <row r="531" customFormat="false" ht="15" hidden="false" customHeight="false" outlineLevel="0" collapsed="false">
      <c r="A531" s="2" t="n">
        <v>46108</v>
      </c>
      <c r="B531" s="3" t="s">
        <v>225</v>
      </c>
      <c r="C531" s="0" t="n">
        <v>118</v>
      </c>
      <c r="D531" s="0" t="n">
        <v>2</v>
      </c>
      <c r="E531" s="0" t="str">
        <f aca="false">INDEX(lot!$B$2:$B$1201,MATCH(B531,lot!$A$2:$A$1201,0))</f>
        <v>SUP-E</v>
      </c>
      <c r="F531" s="3" t="n">
        <f aca="false">YEAR(A531)*100+MONTH(A531)</f>
        <v>202603</v>
      </c>
    </row>
    <row r="532" customFormat="false" ht="15" hidden="false" customHeight="false" outlineLevel="0" collapsed="false">
      <c r="A532" s="2" t="n">
        <v>46108</v>
      </c>
      <c r="B532" s="3" t="s">
        <v>289</v>
      </c>
      <c r="C532" s="0" t="n">
        <v>239</v>
      </c>
      <c r="D532" s="0" t="n">
        <v>4</v>
      </c>
      <c r="E532" s="0" t="str">
        <f aca="false">INDEX(lot!$B$2:$B$1201,MATCH(B532,lot!$A$2:$A$1201,0))</f>
        <v>SUP-A</v>
      </c>
      <c r="F532" s="3" t="n">
        <f aca="false">YEAR(A532)*100+MONTH(A532)</f>
        <v>202603</v>
      </c>
    </row>
    <row r="533" customFormat="false" ht="15" hidden="false" customHeight="false" outlineLevel="0" collapsed="false">
      <c r="A533" s="2" t="n">
        <v>46108</v>
      </c>
      <c r="B533" s="3" t="s">
        <v>289</v>
      </c>
      <c r="C533" s="0" t="n">
        <v>232</v>
      </c>
      <c r="D533" s="0" t="n">
        <v>3</v>
      </c>
      <c r="E533" s="0" t="str">
        <f aca="false">INDEX(lot!$B$2:$B$1201,MATCH(B533,lot!$A$2:$A$1201,0))</f>
        <v>SUP-A</v>
      </c>
      <c r="F533" s="3" t="n">
        <f aca="false">YEAR(A533)*100+MONTH(A533)</f>
        <v>202603</v>
      </c>
    </row>
    <row r="534" customFormat="false" ht="15" hidden="false" customHeight="false" outlineLevel="0" collapsed="false">
      <c r="A534" s="2" t="n">
        <v>46108</v>
      </c>
      <c r="B534" s="3" t="s">
        <v>418</v>
      </c>
      <c r="C534" s="0" t="n">
        <v>167</v>
      </c>
      <c r="D534" s="0" t="n">
        <v>3</v>
      </c>
      <c r="E534" s="0" t="str">
        <f aca="false">INDEX(lot!$B$2:$B$1201,MATCH(B534,lot!$A$2:$A$1201,0))</f>
        <v>SUP-C</v>
      </c>
      <c r="F534" s="3" t="n">
        <f aca="false">YEAR(A534)*100+MONTH(A534)</f>
        <v>202603</v>
      </c>
    </row>
    <row r="535" customFormat="false" ht="15" hidden="false" customHeight="false" outlineLevel="0" collapsed="false">
      <c r="A535" s="2" t="n">
        <v>46108</v>
      </c>
      <c r="B535" s="3" t="s">
        <v>422</v>
      </c>
      <c r="C535" s="0" t="n">
        <v>100</v>
      </c>
      <c r="D535" s="0" t="n">
        <v>3</v>
      </c>
      <c r="E535" s="0" t="str">
        <f aca="false">INDEX(lot!$B$2:$B$1201,MATCH(B535,lot!$A$2:$A$1201,0))</f>
        <v>SUP-C</v>
      </c>
      <c r="F535" s="3" t="n">
        <f aca="false">YEAR(A535)*100+MONTH(A535)</f>
        <v>202603</v>
      </c>
    </row>
    <row r="536" customFormat="false" ht="15" hidden="false" customHeight="false" outlineLevel="0" collapsed="false">
      <c r="A536" s="2" t="n">
        <v>46108</v>
      </c>
      <c r="B536" s="3" t="s">
        <v>422</v>
      </c>
      <c r="C536" s="0" t="n">
        <v>149</v>
      </c>
      <c r="D536" s="0" t="n">
        <v>6</v>
      </c>
      <c r="E536" s="0" t="str">
        <f aca="false">INDEX(lot!$B$2:$B$1201,MATCH(B536,lot!$A$2:$A$1201,0))</f>
        <v>SUP-C</v>
      </c>
      <c r="F536" s="3" t="n">
        <f aca="false">YEAR(A536)*100+MONTH(A536)</f>
        <v>202603</v>
      </c>
    </row>
    <row r="537" customFormat="false" ht="15" hidden="false" customHeight="false" outlineLevel="0" collapsed="false">
      <c r="A537" s="2" t="n">
        <v>46108</v>
      </c>
      <c r="B537" s="3" t="s">
        <v>440</v>
      </c>
      <c r="C537" s="0" t="n">
        <v>89</v>
      </c>
      <c r="D537" s="0" t="n">
        <v>9</v>
      </c>
      <c r="E537" s="0" t="str">
        <f aca="false">INDEX(lot!$B$2:$B$1201,MATCH(B537,lot!$A$2:$A$1201,0))</f>
        <v>SUP-A</v>
      </c>
      <c r="F537" s="3" t="n">
        <f aca="false">YEAR(A537)*100+MONTH(A537)</f>
        <v>202603</v>
      </c>
    </row>
    <row r="538" customFormat="false" ht="15" hidden="false" customHeight="false" outlineLevel="0" collapsed="false">
      <c r="A538" s="2" t="n">
        <v>46108</v>
      </c>
      <c r="B538" s="3" t="s">
        <v>440</v>
      </c>
      <c r="C538" s="0" t="n">
        <v>84</v>
      </c>
      <c r="D538" s="0" t="n">
        <v>5</v>
      </c>
      <c r="E538" s="0" t="str">
        <f aca="false">INDEX(lot!$B$2:$B$1201,MATCH(B538,lot!$A$2:$A$1201,0))</f>
        <v>SUP-A</v>
      </c>
      <c r="F538" s="3" t="n">
        <f aca="false">YEAR(A538)*100+MONTH(A538)</f>
        <v>202603</v>
      </c>
    </row>
    <row r="539" customFormat="false" ht="15" hidden="false" customHeight="false" outlineLevel="0" collapsed="false">
      <c r="A539" s="2" t="n">
        <v>46108</v>
      </c>
      <c r="B539" s="3" t="s">
        <v>592</v>
      </c>
      <c r="C539" s="0" t="n">
        <v>210</v>
      </c>
      <c r="D539" s="0" t="n">
        <v>1</v>
      </c>
      <c r="E539" s="0" t="str">
        <f aca="false">INDEX(lot!$B$2:$B$1201,MATCH(B539,lot!$A$2:$A$1201,0))</f>
        <v>SUP-E</v>
      </c>
      <c r="F539" s="3" t="n">
        <f aca="false">YEAR(A539)*100+MONTH(A539)</f>
        <v>202603</v>
      </c>
    </row>
    <row r="540" customFormat="false" ht="15" hidden="false" customHeight="false" outlineLevel="0" collapsed="false">
      <c r="A540" s="2" t="n">
        <v>46108</v>
      </c>
      <c r="B540" s="3" t="s">
        <v>592</v>
      </c>
      <c r="C540" s="0" t="n">
        <v>131</v>
      </c>
      <c r="D540" s="0" t="n">
        <v>2</v>
      </c>
      <c r="E540" s="0" t="str">
        <f aca="false">INDEX(lot!$B$2:$B$1201,MATCH(B540,lot!$A$2:$A$1201,0))</f>
        <v>SUP-E</v>
      </c>
      <c r="F540" s="3" t="n">
        <f aca="false">YEAR(A540)*100+MONTH(A540)</f>
        <v>202603</v>
      </c>
    </row>
    <row r="541" customFormat="false" ht="15" hidden="false" customHeight="false" outlineLevel="0" collapsed="false">
      <c r="A541" s="2" t="n">
        <v>46108</v>
      </c>
      <c r="B541" s="3" t="s">
        <v>636</v>
      </c>
      <c r="C541" s="0" t="n">
        <v>212</v>
      </c>
      <c r="D541" s="0" t="n">
        <v>8</v>
      </c>
      <c r="E541" s="0" t="str">
        <f aca="false">INDEX(lot!$B$2:$B$1201,MATCH(B541,lot!$A$2:$A$1201,0))</f>
        <v>SUP-A</v>
      </c>
      <c r="F541" s="3" t="n">
        <f aca="false">YEAR(A541)*100+MONTH(A541)</f>
        <v>202603</v>
      </c>
    </row>
    <row r="542" customFormat="false" ht="15" hidden="false" customHeight="false" outlineLevel="0" collapsed="false">
      <c r="A542" s="2" t="n">
        <v>46108</v>
      </c>
      <c r="B542" s="3" t="s">
        <v>636</v>
      </c>
      <c r="C542" s="0" t="n">
        <v>154</v>
      </c>
      <c r="D542" s="0" t="n">
        <v>11</v>
      </c>
      <c r="E542" s="0" t="str">
        <f aca="false">INDEX(lot!$B$2:$B$1201,MATCH(B542,lot!$A$2:$A$1201,0))</f>
        <v>SUP-A</v>
      </c>
      <c r="F542" s="3" t="n">
        <f aca="false">YEAR(A542)*100+MONTH(A542)</f>
        <v>202603</v>
      </c>
    </row>
    <row r="543" customFormat="false" ht="15" hidden="false" customHeight="false" outlineLevel="0" collapsed="false">
      <c r="A543" s="2" t="n">
        <v>46108</v>
      </c>
      <c r="B543" s="3" t="s">
        <v>717</v>
      </c>
      <c r="C543" s="0" t="n">
        <v>176</v>
      </c>
      <c r="D543" s="0" t="n">
        <v>2</v>
      </c>
      <c r="E543" s="0" t="str">
        <f aca="false">INDEX(lot!$B$2:$B$1201,MATCH(B543,lot!$A$2:$A$1201,0))</f>
        <v>SUP-A</v>
      </c>
      <c r="F543" s="3" t="n">
        <f aca="false">YEAR(A543)*100+MONTH(A543)</f>
        <v>202603</v>
      </c>
    </row>
    <row r="544" customFormat="false" ht="15" hidden="false" customHeight="false" outlineLevel="0" collapsed="false">
      <c r="A544" s="2" t="n">
        <v>46108</v>
      </c>
      <c r="B544" s="3" t="s">
        <v>772</v>
      </c>
      <c r="C544" s="0" t="n">
        <v>171</v>
      </c>
      <c r="D544" s="0" t="n">
        <v>2</v>
      </c>
      <c r="E544" s="0" t="str">
        <f aca="false">INDEX(lot!$B$2:$B$1201,MATCH(B544,lot!$A$2:$A$1201,0))</f>
        <v>SUP-A</v>
      </c>
      <c r="F544" s="3" t="n">
        <f aca="false">YEAR(A544)*100+MONTH(A544)</f>
        <v>202603</v>
      </c>
    </row>
    <row r="545" customFormat="false" ht="15" hidden="false" customHeight="false" outlineLevel="0" collapsed="false">
      <c r="A545" s="2" t="n">
        <v>46108</v>
      </c>
      <c r="B545" s="3" t="s">
        <v>878</v>
      </c>
      <c r="C545" s="0" t="n">
        <v>121</v>
      </c>
      <c r="D545" s="0" t="n">
        <v>3</v>
      </c>
      <c r="E545" s="0" t="str">
        <f aca="false">INDEX(lot!$B$2:$B$1201,MATCH(B545,lot!$A$2:$A$1201,0))</f>
        <v>SUP-D</v>
      </c>
      <c r="F545" s="3" t="n">
        <f aca="false">YEAR(A545)*100+MONTH(A545)</f>
        <v>202603</v>
      </c>
    </row>
    <row r="546" customFormat="false" ht="15" hidden="false" customHeight="false" outlineLevel="0" collapsed="false">
      <c r="A546" s="2" t="n">
        <v>46108</v>
      </c>
      <c r="B546" s="3" t="s">
        <v>945</v>
      </c>
      <c r="C546" s="0" t="n">
        <v>130</v>
      </c>
      <c r="D546" s="0" t="n">
        <v>0</v>
      </c>
      <c r="E546" s="0" t="str">
        <f aca="false">INDEX(lot!$B$2:$B$1201,MATCH(B546,lot!$A$2:$A$1201,0))</f>
        <v>SUP-D</v>
      </c>
      <c r="F546" s="3" t="n">
        <f aca="false">YEAR(A546)*100+MONTH(A546)</f>
        <v>202603</v>
      </c>
    </row>
    <row r="547" customFormat="false" ht="15" hidden="false" customHeight="false" outlineLevel="0" collapsed="false">
      <c r="A547" s="2" t="n">
        <v>46108</v>
      </c>
      <c r="B547" s="3" t="s">
        <v>945</v>
      </c>
      <c r="C547" s="0" t="n">
        <v>193</v>
      </c>
      <c r="D547" s="0" t="n">
        <v>1</v>
      </c>
      <c r="E547" s="0" t="str">
        <f aca="false">INDEX(lot!$B$2:$B$1201,MATCH(B547,lot!$A$2:$A$1201,0))</f>
        <v>SUP-D</v>
      </c>
      <c r="F547" s="3" t="n">
        <f aca="false">YEAR(A547)*100+MONTH(A547)</f>
        <v>202603</v>
      </c>
    </row>
    <row r="548" customFormat="false" ht="15" hidden="false" customHeight="false" outlineLevel="0" collapsed="false">
      <c r="A548" s="2" t="n">
        <v>46108</v>
      </c>
      <c r="B548" s="3" t="s">
        <v>993</v>
      </c>
      <c r="C548" s="0" t="n">
        <v>179</v>
      </c>
      <c r="D548" s="0" t="n">
        <v>2</v>
      </c>
      <c r="E548" s="0" t="str">
        <f aca="false">INDEX(lot!$B$2:$B$1201,MATCH(B548,lot!$A$2:$A$1201,0))</f>
        <v>SUP-A</v>
      </c>
      <c r="F548" s="3" t="n">
        <f aca="false">YEAR(A548)*100+MONTH(A548)</f>
        <v>202603</v>
      </c>
    </row>
    <row r="549" customFormat="false" ht="15" hidden="false" customHeight="false" outlineLevel="0" collapsed="false">
      <c r="A549" s="2" t="n">
        <v>46108</v>
      </c>
      <c r="B549" s="3" t="s">
        <v>993</v>
      </c>
      <c r="C549" s="0" t="n">
        <v>151</v>
      </c>
      <c r="D549" s="0" t="n">
        <v>2</v>
      </c>
      <c r="E549" s="0" t="str">
        <f aca="false">INDEX(lot!$B$2:$B$1201,MATCH(B549,lot!$A$2:$A$1201,0))</f>
        <v>SUP-A</v>
      </c>
      <c r="F549" s="3" t="n">
        <f aca="false">YEAR(A549)*100+MONTH(A549)</f>
        <v>202603</v>
      </c>
    </row>
    <row r="550" customFormat="false" ht="15" hidden="false" customHeight="false" outlineLevel="0" collapsed="false">
      <c r="A550" s="2" t="n">
        <v>46108</v>
      </c>
      <c r="B550" s="3" t="s">
        <v>1034</v>
      </c>
      <c r="C550" s="0" t="n">
        <v>163</v>
      </c>
      <c r="D550" s="0" t="n">
        <v>2</v>
      </c>
      <c r="E550" s="0" t="str">
        <f aca="false">INDEX(lot!$B$2:$B$1201,MATCH(B550,lot!$A$2:$A$1201,0))</f>
        <v>SUP-D</v>
      </c>
      <c r="F550" s="3" t="n">
        <f aca="false">YEAR(A550)*100+MONTH(A550)</f>
        <v>202603</v>
      </c>
    </row>
    <row r="551" customFormat="false" ht="15" hidden="false" customHeight="false" outlineLevel="0" collapsed="false">
      <c r="A551" s="2" t="n">
        <v>46108</v>
      </c>
      <c r="B551" s="3" t="s">
        <v>1037</v>
      </c>
      <c r="C551" s="0" t="n">
        <v>155</v>
      </c>
      <c r="D551" s="0" t="n">
        <v>0</v>
      </c>
      <c r="E551" s="0" t="str">
        <f aca="false">INDEX(lot!$B$2:$B$1201,MATCH(B551,lot!$A$2:$A$1201,0))</f>
        <v>SUP-A</v>
      </c>
      <c r="F551" s="3" t="n">
        <f aca="false">YEAR(A551)*100+MONTH(A551)</f>
        <v>202603</v>
      </c>
    </row>
    <row r="552" customFormat="false" ht="15" hidden="false" customHeight="false" outlineLevel="0" collapsed="false">
      <c r="A552" s="2" t="n">
        <v>46108</v>
      </c>
      <c r="B552" s="3" t="s">
        <v>1098</v>
      </c>
      <c r="C552" s="0" t="n">
        <v>102</v>
      </c>
      <c r="D552" s="0" t="n">
        <v>1</v>
      </c>
      <c r="E552" s="0" t="str">
        <f aca="false">INDEX(lot!$B$2:$B$1201,MATCH(B552,lot!$A$2:$A$1201,0))</f>
        <v>SUP-D</v>
      </c>
      <c r="F552" s="3" t="n">
        <f aca="false">YEAR(A552)*100+MONTH(A552)</f>
        <v>202603</v>
      </c>
    </row>
    <row r="553" customFormat="false" ht="15" hidden="false" customHeight="false" outlineLevel="0" collapsed="false">
      <c r="A553" s="2" t="n">
        <v>46108</v>
      </c>
      <c r="B553" s="3" t="s">
        <v>1098</v>
      </c>
      <c r="C553" s="0" t="n">
        <v>239</v>
      </c>
      <c r="D553" s="0" t="n">
        <v>1</v>
      </c>
      <c r="E553" s="0" t="str">
        <f aca="false">INDEX(lot!$B$2:$B$1201,MATCH(B553,lot!$A$2:$A$1201,0))</f>
        <v>SUP-D</v>
      </c>
      <c r="F553" s="3" t="n">
        <f aca="false">YEAR(A553)*100+MONTH(A553)</f>
        <v>202603</v>
      </c>
    </row>
    <row r="554" customFormat="false" ht="15" hidden="false" customHeight="false" outlineLevel="0" collapsed="false">
      <c r="A554" s="2" t="n">
        <v>46108</v>
      </c>
      <c r="B554" s="3" t="s">
        <v>1109</v>
      </c>
      <c r="C554" s="0" t="n">
        <v>64</v>
      </c>
      <c r="D554" s="0" t="n">
        <v>0</v>
      </c>
      <c r="E554" s="0" t="str">
        <f aca="false">INDEX(lot!$B$2:$B$1201,MATCH(B554,lot!$A$2:$A$1201,0))</f>
        <v>SUP-A</v>
      </c>
      <c r="F554" s="3" t="n">
        <f aca="false">YEAR(A554)*100+MONTH(A554)</f>
        <v>202603</v>
      </c>
    </row>
    <row r="555" customFormat="false" ht="15" hidden="false" customHeight="false" outlineLevel="0" collapsed="false">
      <c r="A555" s="2" t="n">
        <v>46108</v>
      </c>
      <c r="B555" s="3" t="s">
        <v>1109</v>
      </c>
      <c r="C555" s="0" t="n">
        <v>127</v>
      </c>
      <c r="D555" s="0" t="n">
        <v>0</v>
      </c>
      <c r="E555" s="0" t="str">
        <f aca="false">INDEX(lot!$B$2:$B$1201,MATCH(B555,lot!$A$2:$A$1201,0))</f>
        <v>SUP-A</v>
      </c>
      <c r="F555" s="3" t="n">
        <f aca="false">YEAR(A555)*100+MONTH(A555)</f>
        <v>202603</v>
      </c>
    </row>
    <row r="556" customFormat="false" ht="15" hidden="false" customHeight="false" outlineLevel="0" collapsed="false">
      <c r="A556" s="2" t="n">
        <v>46108</v>
      </c>
      <c r="B556" s="3" t="s">
        <v>1114</v>
      </c>
      <c r="C556" s="0" t="n">
        <v>101</v>
      </c>
      <c r="D556" s="0" t="n">
        <v>0</v>
      </c>
      <c r="E556" s="0" t="str">
        <f aca="false">INDEX(lot!$B$2:$B$1201,MATCH(B556,lot!$A$2:$A$1201,0))</f>
        <v>SUP-E</v>
      </c>
      <c r="F556" s="3" t="n">
        <f aca="false">YEAR(A556)*100+MONTH(A556)</f>
        <v>202603</v>
      </c>
    </row>
    <row r="557" customFormat="false" ht="15" hidden="false" customHeight="false" outlineLevel="0" collapsed="false">
      <c r="A557" s="2" t="n">
        <v>46108</v>
      </c>
      <c r="B557" s="3" t="s">
        <v>1114</v>
      </c>
      <c r="C557" s="0" t="n">
        <v>145</v>
      </c>
      <c r="D557" s="0" t="n">
        <v>2</v>
      </c>
      <c r="E557" s="0" t="str">
        <f aca="false">INDEX(lot!$B$2:$B$1201,MATCH(B557,lot!$A$2:$A$1201,0))</f>
        <v>SUP-E</v>
      </c>
      <c r="F557" s="3" t="n">
        <f aca="false">YEAR(A557)*100+MONTH(A557)</f>
        <v>202603</v>
      </c>
    </row>
    <row r="558" customFormat="false" ht="15" hidden="false" customHeight="false" outlineLevel="0" collapsed="false">
      <c r="A558" s="2" t="n">
        <v>46108</v>
      </c>
      <c r="B558" s="3" t="s">
        <v>1131</v>
      </c>
      <c r="C558" s="0" t="n">
        <v>108</v>
      </c>
      <c r="D558" s="0" t="n">
        <v>1</v>
      </c>
      <c r="E558" s="0" t="str">
        <f aca="false">INDEX(lot!$B$2:$B$1201,MATCH(B558,lot!$A$2:$A$1201,0))</f>
        <v>SUP-E</v>
      </c>
      <c r="F558" s="3" t="n">
        <f aca="false">YEAR(A558)*100+MONTH(A558)</f>
        <v>202603</v>
      </c>
    </row>
    <row r="559" customFormat="false" ht="15" hidden="false" customHeight="false" outlineLevel="0" collapsed="false">
      <c r="A559" s="2" t="n">
        <v>46108</v>
      </c>
      <c r="B559" s="3" t="s">
        <v>1131</v>
      </c>
      <c r="C559" s="0" t="n">
        <v>172</v>
      </c>
      <c r="D559" s="0" t="n">
        <v>0</v>
      </c>
      <c r="E559" s="0" t="str">
        <f aca="false">INDEX(lot!$B$2:$B$1201,MATCH(B559,lot!$A$2:$A$1201,0))</f>
        <v>SUP-E</v>
      </c>
      <c r="F559" s="3" t="n">
        <f aca="false">YEAR(A559)*100+MONTH(A559)</f>
        <v>202603</v>
      </c>
    </row>
    <row r="560" customFormat="false" ht="15" hidden="false" customHeight="false" outlineLevel="0" collapsed="false">
      <c r="A560" s="2" t="n">
        <v>46108</v>
      </c>
      <c r="B560" s="3" t="s">
        <v>1156</v>
      </c>
      <c r="C560" s="0" t="n">
        <v>97</v>
      </c>
      <c r="D560" s="0" t="n">
        <v>0</v>
      </c>
      <c r="E560" s="0" t="str">
        <f aca="false">INDEX(lot!$B$2:$B$1201,MATCH(B560,lot!$A$2:$A$1201,0))</f>
        <v>SUP-A</v>
      </c>
      <c r="F560" s="3" t="n">
        <f aca="false">YEAR(A560)*100+MONTH(A560)</f>
        <v>202603</v>
      </c>
    </row>
    <row r="561" customFormat="false" ht="15" hidden="false" customHeight="false" outlineLevel="0" collapsed="false">
      <c r="A561" s="2" t="n">
        <v>46108</v>
      </c>
      <c r="B561" s="3" t="s">
        <v>1162</v>
      </c>
      <c r="C561" s="0" t="n">
        <v>179</v>
      </c>
      <c r="D561" s="0" t="n">
        <v>4</v>
      </c>
      <c r="E561" s="0" t="str">
        <f aca="false">INDEX(lot!$B$2:$B$1201,MATCH(B561,lot!$A$2:$A$1201,0))</f>
        <v>SUP-A</v>
      </c>
      <c r="F561" s="3" t="n">
        <f aca="false">YEAR(A561)*100+MONTH(A561)</f>
        <v>202603</v>
      </c>
    </row>
    <row r="562" customFormat="false" ht="15" hidden="false" customHeight="false" outlineLevel="0" collapsed="false">
      <c r="A562" s="2" t="n">
        <v>46108</v>
      </c>
      <c r="B562" s="3" t="s">
        <v>1162</v>
      </c>
      <c r="C562" s="0" t="n">
        <v>113</v>
      </c>
      <c r="D562" s="0" t="n">
        <v>2</v>
      </c>
      <c r="E562" s="0" t="str">
        <f aca="false">INDEX(lot!$B$2:$B$1201,MATCH(B562,lot!$A$2:$A$1201,0))</f>
        <v>SUP-A</v>
      </c>
      <c r="F562" s="3" t="n">
        <f aca="false">YEAR(A562)*100+MONTH(A562)</f>
        <v>202603</v>
      </c>
    </row>
    <row r="563" customFormat="false" ht="15" hidden="false" customHeight="false" outlineLevel="0" collapsed="false">
      <c r="A563" s="2" t="n">
        <v>46108</v>
      </c>
      <c r="B563" s="3" t="s">
        <v>1168</v>
      </c>
      <c r="C563" s="0" t="n">
        <v>112</v>
      </c>
      <c r="D563" s="0" t="n">
        <v>0</v>
      </c>
      <c r="E563" s="0" t="str">
        <f aca="false">INDEX(lot!$B$2:$B$1201,MATCH(B563,lot!$A$2:$A$1201,0))</f>
        <v>SUP-E</v>
      </c>
      <c r="F563" s="3" t="n">
        <f aca="false">YEAR(A563)*100+MONTH(A563)</f>
        <v>202603</v>
      </c>
    </row>
    <row r="564" customFormat="false" ht="15" hidden="false" customHeight="false" outlineLevel="0" collapsed="false">
      <c r="A564" s="2" t="n">
        <v>46108</v>
      </c>
      <c r="B564" s="3" t="s">
        <v>1197</v>
      </c>
      <c r="C564" s="0" t="n">
        <v>178</v>
      </c>
      <c r="D564" s="0" t="n">
        <v>5</v>
      </c>
      <c r="E564" s="0" t="str">
        <f aca="false">INDEX(lot!$B$2:$B$1201,MATCH(B564,lot!$A$2:$A$1201,0))</f>
        <v>SUP-C</v>
      </c>
      <c r="F564" s="3" t="n">
        <f aca="false">YEAR(A564)*100+MONTH(A564)</f>
        <v>202603</v>
      </c>
    </row>
    <row r="565" customFormat="false" ht="15" hidden="false" customHeight="false" outlineLevel="0" collapsed="false">
      <c r="A565" s="2" t="n">
        <v>46108</v>
      </c>
      <c r="B565" s="3" t="s">
        <v>1197</v>
      </c>
      <c r="C565" s="0" t="n">
        <v>202</v>
      </c>
      <c r="D565" s="0" t="n">
        <v>7</v>
      </c>
      <c r="E565" s="0" t="str">
        <f aca="false">INDEX(lot!$B$2:$B$1201,MATCH(B565,lot!$A$2:$A$1201,0))</f>
        <v>SUP-C</v>
      </c>
      <c r="F565" s="3" t="n">
        <f aca="false">YEAR(A565)*100+MONTH(A565)</f>
        <v>202603</v>
      </c>
    </row>
    <row r="566" customFormat="false" ht="15" hidden="false" customHeight="false" outlineLevel="0" collapsed="false">
      <c r="A566" s="2" t="n">
        <v>46111</v>
      </c>
      <c r="B566" s="3" t="s">
        <v>22</v>
      </c>
      <c r="C566" s="0" t="n">
        <v>121</v>
      </c>
      <c r="D566" s="0" t="n">
        <v>0</v>
      </c>
      <c r="E566" s="0" t="str">
        <f aca="false">INDEX(lot!$B$2:$B$1201,MATCH(B566,lot!$A$2:$A$1201,0))</f>
        <v>SUP-D</v>
      </c>
      <c r="F566" s="3" t="n">
        <f aca="false">YEAR(A566)*100+MONTH(A566)</f>
        <v>202603</v>
      </c>
    </row>
    <row r="567" customFormat="false" ht="15" hidden="false" customHeight="false" outlineLevel="0" collapsed="false">
      <c r="A567" s="2" t="n">
        <v>46111</v>
      </c>
      <c r="B567" s="3" t="s">
        <v>70</v>
      </c>
      <c r="C567" s="0" t="n">
        <v>108</v>
      </c>
      <c r="D567" s="0" t="n">
        <v>1</v>
      </c>
      <c r="E567" s="0" t="str">
        <f aca="false">INDEX(lot!$B$2:$B$1201,MATCH(B567,lot!$A$2:$A$1201,0))</f>
        <v>SUP-E</v>
      </c>
      <c r="F567" s="3" t="n">
        <f aca="false">YEAR(A567)*100+MONTH(A567)</f>
        <v>202603</v>
      </c>
    </row>
    <row r="568" customFormat="false" ht="15" hidden="false" customHeight="false" outlineLevel="0" collapsed="false">
      <c r="A568" s="2" t="n">
        <v>46111</v>
      </c>
      <c r="B568" s="3" t="s">
        <v>70</v>
      </c>
      <c r="C568" s="0" t="n">
        <v>74</v>
      </c>
      <c r="D568" s="0" t="n">
        <v>0</v>
      </c>
      <c r="E568" s="0" t="str">
        <f aca="false">INDEX(lot!$B$2:$B$1201,MATCH(B568,lot!$A$2:$A$1201,0))</f>
        <v>SUP-E</v>
      </c>
      <c r="F568" s="3" t="n">
        <f aca="false">YEAR(A568)*100+MONTH(A568)</f>
        <v>202603</v>
      </c>
    </row>
    <row r="569" customFormat="false" ht="15" hidden="false" customHeight="false" outlineLevel="0" collapsed="false">
      <c r="A569" s="2" t="n">
        <v>46111</v>
      </c>
      <c r="B569" s="3" t="s">
        <v>177</v>
      </c>
      <c r="C569" s="0" t="n">
        <v>168</v>
      </c>
      <c r="D569" s="0" t="n">
        <v>2</v>
      </c>
      <c r="E569" s="0" t="str">
        <f aca="false">INDEX(lot!$B$2:$B$1201,MATCH(B569,lot!$A$2:$A$1201,0))</f>
        <v>SUP-E</v>
      </c>
      <c r="F569" s="3" t="n">
        <f aca="false">YEAR(A569)*100+MONTH(A569)</f>
        <v>202603</v>
      </c>
    </row>
    <row r="570" customFormat="false" ht="15" hidden="false" customHeight="false" outlineLevel="0" collapsed="false">
      <c r="A570" s="2" t="n">
        <v>46111</v>
      </c>
      <c r="B570" s="3" t="s">
        <v>177</v>
      </c>
      <c r="C570" s="0" t="n">
        <v>114</v>
      </c>
      <c r="D570" s="0" t="n">
        <v>2</v>
      </c>
      <c r="E570" s="0" t="str">
        <f aca="false">INDEX(lot!$B$2:$B$1201,MATCH(B570,lot!$A$2:$A$1201,0))</f>
        <v>SUP-E</v>
      </c>
      <c r="F570" s="3" t="n">
        <f aca="false">YEAR(A570)*100+MONTH(A570)</f>
        <v>202603</v>
      </c>
    </row>
    <row r="571" customFormat="false" ht="15" hidden="false" customHeight="false" outlineLevel="0" collapsed="false">
      <c r="A571" s="2" t="n">
        <v>46111</v>
      </c>
      <c r="B571" s="3" t="s">
        <v>185</v>
      </c>
      <c r="C571" s="0" t="n">
        <v>81</v>
      </c>
      <c r="D571" s="0" t="n">
        <v>0</v>
      </c>
      <c r="E571" s="0" t="str">
        <f aca="false">INDEX(lot!$B$2:$B$1201,MATCH(B571,lot!$A$2:$A$1201,0))</f>
        <v>SUP-D</v>
      </c>
      <c r="F571" s="3" t="n">
        <f aca="false">YEAR(A571)*100+MONTH(A571)</f>
        <v>202603</v>
      </c>
    </row>
    <row r="572" customFormat="false" ht="15" hidden="false" customHeight="false" outlineLevel="0" collapsed="false">
      <c r="A572" s="2" t="n">
        <v>46111</v>
      </c>
      <c r="B572" s="3" t="s">
        <v>185</v>
      </c>
      <c r="C572" s="0" t="n">
        <v>185</v>
      </c>
      <c r="D572" s="0" t="n">
        <v>0</v>
      </c>
      <c r="E572" s="0" t="str">
        <f aca="false">INDEX(lot!$B$2:$B$1201,MATCH(B572,lot!$A$2:$A$1201,0))</f>
        <v>SUP-D</v>
      </c>
      <c r="F572" s="3" t="n">
        <f aca="false">YEAR(A572)*100+MONTH(A572)</f>
        <v>202603</v>
      </c>
    </row>
    <row r="573" customFormat="false" ht="15" hidden="false" customHeight="false" outlineLevel="0" collapsed="false">
      <c r="A573" s="2" t="n">
        <v>46111</v>
      </c>
      <c r="B573" s="3" t="s">
        <v>274</v>
      </c>
      <c r="C573" s="0" t="n">
        <v>114</v>
      </c>
      <c r="D573" s="0" t="n">
        <v>0</v>
      </c>
      <c r="E573" s="0" t="str">
        <f aca="false">INDEX(lot!$B$2:$B$1201,MATCH(B573,lot!$A$2:$A$1201,0))</f>
        <v>SUP-D</v>
      </c>
      <c r="F573" s="3" t="n">
        <f aca="false">YEAR(A573)*100+MONTH(A573)</f>
        <v>202603</v>
      </c>
    </row>
    <row r="574" customFormat="false" ht="15" hidden="false" customHeight="false" outlineLevel="0" collapsed="false">
      <c r="A574" s="2" t="n">
        <v>46111</v>
      </c>
      <c r="B574" s="3" t="s">
        <v>289</v>
      </c>
      <c r="C574" s="0" t="n">
        <v>32</v>
      </c>
      <c r="D574" s="0" t="n">
        <v>0</v>
      </c>
      <c r="E574" s="0" t="str">
        <f aca="false">INDEX(lot!$B$2:$B$1201,MATCH(B574,lot!$A$2:$A$1201,0))</f>
        <v>SUP-A</v>
      </c>
      <c r="F574" s="3" t="n">
        <f aca="false">YEAR(A574)*100+MONTH(A574)</f>
        <v>202603</v>
      </c>
    </row>
    <row r="575" customFormat="false" ht="15" hidden="false" customHeight="false" outlineLevel="0" collapsed="false">
      <c r="A575" s="2" t="n">
        <v>46111</v>
      </c>
      <c r="B575" s="3" t="s">
        <v>348</v>
      </c>
      <c r="C575" s="0" t="n">
        <v>187</v>
      </c>
      <c r="D575" s="0" t="n">
        <v>2</v>
      </c>
      <c r="E575" s="0" t="str">
        <f aca="false">INDEX(lot!$B$2:$B$1201,MATCH(B575,lot!$A$2:$A$1201,0))</f>
        <v>SUP-D</v>
      </c>
      <c r="F575" s="3" t="n">
        <f aca="false">YEAR(A575)*100+MONTH(A575)</f>
        <v>202603</v>
      </c>
    </row>
    <row r="576" customFormat="false" ht="15" hidden="false" customHeight="false" outlineLevel="0" collapsed="false">
      <c r="A576" s="2" t="n">
        <v>46111</v>
      </c>
      <c r="B576" s="3" t="s">
        <v>378</v>
      </c>
      <c r="C576" s="0" t="n">
        <v>121</v>
      </c>
      <c r="D576" s="0" t="n">
        <v>1</v>
      </c>
      <c r="E576" s="0" t="str">
        <f aca="false">INDEX(lot!$B$2:$B$1201,MATCH(B576,lot!$A$2:$A$1201,0))</f>
        <v>SUP-E</v>
      </c>
      <c r="F576" s="3" t="n">
        <f aca="false">YEAR(A576)*100+MONTH(A576)</f>
        <v>202603</v>
      </c>
    </row>
    <row r="577" customFormat="false" ht="15" hidden="false" customHeight="false" outlineLevel="0" collapsed="false">
      <c r="A577" s="2" t="n">
        <v>46111</v>
      </c>
      <c r="B577" s="3" t="s">
        <v>378</v>
      </c>
      <c r="C577" s="0" t="n">
        <v>151</v>
      </c>
      <c r="D577" s="0" t="n">
        <v>2</v>
      </c>
      <c r="E577" s="0" t="str">
        <f aca="false">INDEX(lot!$B$2:$B$1201,MATCH(B577,lot!$A$2:$A$1201,0))</f>
        <v>SUP-E</v>
      </c>
      <c r="F577" s="3" t="n">
        <f aca="false">YEAR(A577)*100+MONTH(A577)</f>
        <v>202603</v>
      </c>
    </row>
    <row r="578" customFormat="false" ht="15" hidden="false" customHeight="false" outlineLevel="0" collapsed="false">
      <c r="A578" s="2" t="n">
        <v>46111</v>
      </c>
      <c r="B578" s="3" t="s">
        <v>483</v>
      </c>
      <c r="C578" s="0" t="n">
        <v>217</v>
      </c>
      <c r="D578" s="0" t="n">
        <v>2</v>
      </c>
      <c r="E578" s="0" t="str">
        <f aca="false">INDEX(lot!$B$2:$B$1201,MATCH(B578,lot!$A$2:$A$1201,0))</f>
        <v>SUP-A</v>
      </c>
      <c r="F578" s="3" t="n">
        <f aca="false">YEAR(A578)*100+MONTH(A578)</f>
        <v>202603</v>
      </c>
    </row>
    <row r="579" customFormat="false" ht="15" hidden="false" customHeight="false" outlineLevel="0" collapsed="false">
      <c r="A579" s="2" t="n">
        <v>46111</v>
      </c>
      <c r="B579" s="3" t="s">
        <v>588</v>
      </c>
      <c r="C579" s="0" t="n">
        <v>157</v>
      </c>
      <c r="D579" s="0" t="n">
        <v>3</v>
      </c>
      <c r="E579" s="0" t="str">
        <f aca="false">INDEX(lot!$B$2:$B$1201,MATCH(B579,lot!$A$2:$A$1201,0))</f>
        <v>SUP-C</v>
      </c>
      <c r="F579" s="3" t="n">
        <f aca="false">YEAR(A579)*100+MONTH(A579)</f>
        <v>202603</v>
      </c>
    </row>
    <row r="580" customFormat="false" ht="15" hidden="false" customHeight="false" outlineLevel="0" collapsed="false">
      <c r="A580" s="2" t="n">
        <v>46111</v>
      </c>
      <c r="B580" s="3" t="s">
        <v>613</v>
      </c>
      <c r="C580" s="0" t="n">
        <v>178</v>
      </c>
      <c r="D580" s="0" t="n">
        <v>2</v>
      </c>
      <c r="E580" s="0" t="str">
        <f aca="false">INDEX(lot!$B$2:$B$1201,MATCH(B580,lot!$A$2:$A$1201,0))</f>
        <v>SUP-A</v>
      </c>
      <c r="F580" s="3" t="n">
        <f aca="false">YEAR(A580)*100+MONTH(A580)</f>
        <v>202603</v>
      </c>
    </row>
    <row r="581" customFormat="false" ht="15" hidden="false" customHeight="false" outlineLevel="0" collapsed="false">
      <c r="A581" s="2" t="n">
        <v>46111</v>
      </c>
      <c r="B581" s="3" t="s">
        <v>617</v>
      </c>
      <c r="C581" s="0" t="n">
        <v>98</v>
      </c>
      <c r="D581" s="0" t="n">
        <v>1</v>
      </c>
      <c r="E581" s="0" t="str">
        <f aca="false">INDEX(lot!$B$2:$B$1201,MATCH(B581,lot!$A$2:$A$1201,0))</f>
        <v>SUP-D</v>
      </c>
      <c r="F581" s="3" t="n">
        <f aca="false">YEAR(A581)*100+MONTH(A581)</f>
        <v>202603</v>
      </c>
    </row>
    <row r="582" customFormat="false" ht="15" hidden="false" customHeight="false" outlineLevel="0" collapsed="false">
      <c r="A582" s="2" t="n">
        <v>46111</v>
      </c>
      <c r="B582" s="3" t="s">
        <v>636</v>
      </c>
      <c r="C582" s="0" t="n">
        <v>169</v>
      </c>
      <c r="D582" s="0" t="n">
        <v>6</v>
      </c>
      <c r="E582" s="0" t="str">
        <f aca="false">INDEX(lot!$B$2:$B$1201,MATCH(B582,lot!$A$2:$A$1201,0))</f>
        <v>SUP-A</v>
      </c>
      <c r="F582" s="3" t="n">
        <f aca="false">YEAR(A582)*100+MONTH(A582)</f>
        <v>202603</v>
      </c>
    </row>
    <row r="583" customFormat="false" ht="15" hidden="false" customHeight="false" outlineLevel="0" collapsed="false">
      <c r="A583" s="2" t="n">
        <v>46111</v>
      </c>
      <c r="B583" s="3" t="s">
        <v>735</v>
      </c>
      <c r="C583" s="0" t="n">
        <v>64</v>
      </c>
      <c r="D583" s="0" t="n">
        <v>1</v>
      </c>
      <c r="E583" s="0" t="str">
        <f aca="false">INDEX(lot!$B$2:$B$1201,MATCH(B583,lot!$A$2:$A$1201,0))</f>
        <v>SUP-D</v>
      </c>
      <c r="F583" s="3" t="n">
        <f aca="false">YEAR(A583)*100+MONTH(A583)</f>
        <v>202603</v>
      </c>
    </row>
    <row r="584" customFormat="false" ht="15" hidden="false" customHeight="false" outlineLevel="0" collapsed="false">
      <c r="A584" s="2" t="n">
        <v>46111</v>
      </c>
      <c r="B584" s="3" t="s">
        <v>772</v>
      </c>
      <c r="C584" s="0" t="n">
        <v>149</v>
      </c>
      <c r="D584" s="0" t="n">
        <v>2</v>
      </c>
      <c r="E584" s="0" t="str">
        <f aca="false">INDEX(lot!$B$2:$B$1201,MATCH(B584,lot!$A$2:$A$1201,0))</f>
        <v>SUP-A</v>
      </c>
      <c r="F584" s="3" t="n">
        <f aca="false">YEAR(A584)*100+MONTH(A584)</f>
        <v>202603</v>
      </c>
    </row>
    <row r="585" customFormat="false" ht="15" hidden="false" customHeight="false" outlineLevel="0" collapsed="false">
      <c r="A585" s="2" t="n">
        <v>46111</v>
      </c>
      <c r="B585" s="3" t="s">
        <v>845</v>
      </c>
      <c r="C585" s="0" t="n">
        <v>147</v>
      </c>
      <c r="D585" s="0" t="n">
        <v>3</v>
      </c>
      <c r="E585" s="0" t="str">
        <f aca="false">INDEX(lot!$B$2:$B$1201,MATCH(B585,lot!$A$2:$A$1201,0))</f>
        <v>SUP-C</v>
      </c>
      <c r="F585" s="3" t="n">
        <f aca="false">YEAR(A585)*100+MONTH(A585)</f>
        <v>202603</v>
      </c>
    </row>
    <row r="586" customFormat="false" ht="15" hidden="false" customHeight="false" outlineLevel="0" collapsed="false">
      <c r="A586" s="2" t="n">
        <v>46111</v>
      </c>
      <c r="B586" s="3" t="s">
        <v>845</v>
      </c>
      <c r="C586" s="0" t="n">
        <v>245</v>
      </c>
      <c r="D586" s="0" t="n">
        <v>5</v>
      </c>
      <c r="E586" s="0" t="str">
        <f aca="false">INDEX(lot!$B$2:$B$1201,MATCH(B586,lot!$A$2:$A$1201,0))</f>
        <v>SUP-C</v>
      </c>
      <c r="F586" s="3" t="n">
        <f aca="false">YEAR(A586)*100+MONTH(A586)</f>
        <v>202603</v>
      </c>
    </row>
    <row r="587" customFormat="false" ht="15" hidden="false" customHeight="false" outlineLevel="0" collapsed="false">
      <c r="A587" s="2" t="n">
        <v>46111</v>
      </c>
      <c r="B587" s="3" t="s">
        <v>878</v>
      </c>
      <c r="C587" s="0" t="n">
        <v>238</v>
      </c>
      <c r="D587" s="0" t="n">
        <v>1</v>
      </c>
      <c r="E587" s="0" t="str">
        <f aca="false">INDEX(lot!$B$2:$B$1201,MATCH(B587,lot!$A$2:$A$1201,0))</f>
        <v>SUP-D</v>
      </c>
      <c r="F587" s="3" t="n">
        <f aca="false">YEAR(A587)*100+MONTH(A587)</f>
        <v>202603</v>
      </c>
    </row>
    <row r="588" customFormat="false" ht="15" hidden="false" customHeight="false" outlineLevel="0" collapsed="false">
      <c r="A588" s="2" t="n">
        <v>46111</v>
      </c>
      <c r="B588" s="3" t="s">
        <v>993</v>
      </c>
      <c r="C588" s="0" t="n">
        <v>153</v>
      </c>
      <c r="D588" s="0" t="n">
        <v>0</v>
      </c>
      <c r="E588" s="0" t="str">
        <f aca="false">INDEX(lot!$B$2:$B$1201,MATCH(B588,lot!$A$2:$A$1201,0))</f>
        <v>SUP-A</v>
      </c>
      <c r="F588" s="3" t="n">
        <f aca="false">YEAR(A588)*100+MONTH(A588)</f>
        <v>202603</v>
      </c>
    </row>
    <row r="589" customFormat="false" ht="15" hidden="false" customHeight="false" outlineLevel="0" collapsed="false">
      <c r="A589" s="2" t="n">
        <v>46111</v>
      </c>
      <c r="B589" s="3" t="s">
        <v>993</v>
      </c>
      <c r="C589" s="0" t="n">
        <v>74</v>
      </c>
      <c r="D589" s="0" t="n">
        <v>0</v>
      </c>
      <c r="E589" s="0" t="str">
        <f aca="false">INDEX(lot!$B$2:$B$1201,MATCH(B589,lot!$A$2:$A$1201,0))</f>
        <v>SUP-A</v>
      </c>
      <c r="F589" s="3" t="n">
        <f aca="false">YEAR(A589)*100+MONTH(A589)</f>
        <v>202603</v>
      </c>
    </row>
    <row r="590" customFormat="false" ht="15" hidden="false" customHeight="false" outlineLevel="0" collapsed="false">
      <c r="A590" s="2" t="n">
        <v>46111</v>
      </c>
      <c r="B590" s="3" t="s">
        <v>1098</v>
      </c>
      <c r="C590" s="0" t="n">
        <v>80</v>
      </c>
      <c r="D590" s="0" t="n">
        <v>1</v>
      </c>
      <c r="E590" s="0" t="str">
        <f aca="false">INDEX(lot!$B$2:$B$1201,MATCH(B590,lot!$A$2:$A$1201,0))</f>
        <v>SUP-D</v>
      </c>
      <c r="F590" s="3" t="n">
        <f aca="false">YEAR(A590)*100+MONTH(A590)</f>
        <v>202603</v>
      </c>
    </row>
    <row r="591" customFormat="false" ht="15" hidden="false" customHeight="false" outlineLevel="0" collapsed="false">
      <c r="A591" s="2" t="n">
        <v>46111</v>
      </c>
      <c r="B591" s="3" t="s">
        <v>1098</v>
      </c>
      <c r="C591" s="0" t="n">
        <v>174</v>
      </c>
      <c r="D591" s="0" t="n">
        <v>2</v>
      </c>
      <c r="E591" s="0" t="str">
        <f aca="false">INDEX(lot!$B$2:$B$1201,MATCH(B591,lot!$A$2:$A$1201,0))</f>
        <v>SUP-D</v>
      </c>
      <c r="F591" s="3" t="n">
        <f aca="false">YEAR(A591)*100+MONTH(A591)</f>
        <v>202603</v>
      </c>
    </row>
    <row r="592" customFormat="false" ht="15" hidden="false" customHeight="false" outlineLevel="0" collapsed="false">
      <c r="A592" s="2" t="n">
        <v>46111</v>
      </c>
      <c r="B592" s="3" t="s">
        <v>1114</v>
      </c>
      <c r="C592" s="0" t="n">
        <v>64</v>
      </c>
      <c r="D592" s="0" t="n">
        <v>0</v>
      </c>
      <c r="E592" s="0" t="str">
        <f aca="false">INDEX(lot!$B$2:$B$1201,MATCH(B592,lot!$A$2:$A$1201,0))</f>
        <v>SUP-E</v>
      </c>
      <c r="F592" s="3" t="n">
        <f aca="false">YEAR(A592)*100+MONTH(A592)</f>
        <v>202603</v>
      </c>
    </row>
    <row r="593" customFormat="false" ht="15" hidden="false" customHeight="false" outlineLevel="0" collapsed="false">
      <c r="A593" s="2" t="n">
        <v>46111</v>
      </c>
      <c r="B593" s="3" t="s">
        <v>1118</v>
      </c>
      <c r="C593" s="0" t="n">
        <v>166</v>
      </c>
      <c r="D593" s="0" t="n">
        <v>4</v>
      </c>
      <c r="E593" s="0" t="str">
        <f aca="false">INDEX(lot!$B$2:$B$1201,MATCH(B593,lot!$A$2:$A$1201,0))</f>
        <v>SUP-C</v>
      </c>
      <c r="F593" s="3" t="n">
        <f aca="false">YEAR(A593)*100+MONTH(A593)</f>
        <v>202603</v>
      </c>
    </row>
    <row r="594" customFormat="false" ht="15" hidden="false" customHeight="false" outlineLevel="0" collapsed="false">
      <c r="A594" s="2" t="n">
        <v>46111</v>
      </c>
      <c r="B594" s="3" t="s">
        <v>1118</v>
      </c>
      <c r="C594" s="0" t="n">
        <v>220</v>
      </c>
      <c r="D594" s="0" t="n">
        <v>4</v>
      </c>
      <c r="E594" s="0" t="str">
        <f aca="false">INDEX(lot!$B$2:$B$1201,MATCH(B594,lot!$A$2:$A$1201,0))</f>
        <v>SUP-C</v>
      </c>
      <c r="F594" s="3" t="n">
        <f aca="false">YEAR(A594)*100+MONTH(A594)</f>
        <v>202603</v>
      </c>
    </row>
    <row r="595" customFormat="false" ht="15" hidden="false" customHeight="false" outlineLevel="0" collapsed="false">
      <c r="A595" s="2" t="n">
        <v>46111</v>
      </c>
      <c r="B595" s="3" t="s">
        <v>1156</v>
      </c>
      <c r="C595" s="0" t="n">
        <v>121</v>
      </c>
      <c r="D595" s="0" t="n">
        <v>0</v>
      </c>
      <c r="E595" s="0" t="str">
        <f aca="false">INDEX(lot!$B$2:$B$1201,MATCH(B595,lot!$A$2:$A$1201,0))</f>
        <v>SUP-A</v>
      </c>
      <c r="F595" s="3" t="n">
        <f aca="false">YEAR(A595)*100+MONTH(A595)</f>
        <v>202603</v>
      </c>
    </row>
    <row r="596" customFormat="false" ht="15" hidden="false" customHeight="false" outlineLevel="0" collapsed="false">
      <c r="A596" s="2" t="n">
        <v>46111</v>
      </c>
      <c r="B596" s="3" t="s">
        <v>1184</v>
      </c>
      <c r="C596" s="0" t="n">
        <v>252</v>
      </c>
      <c r="D596" s="0" t="n">
        <v>5</v>
      </c>
      <c r="E596" s="0" t="str">
        <f aca="false">INDEX(lot!$B$2:$B$1201,MATCH(B596,lot!$A$2:$A$1201,0))</f>
        <v>SUP-C</v>
      </c>
      <c r="F596" s="3" t="n">
        <f aca="false">YEAR(A596)*100+MONTH(A596)</f>
        <v>202603</v>
      </c>
    </row>
    <row r="597" customFormat="false" ht="15" hidden="false" customHeight="false" outlineLevel="0" collapsed="false">
      <c r="A597" s="2" t="n">
        <v>46111</v>
      </c>
      <c r="B597" s="3" t="s">
        <v>1184</v>
      </c>
      <c r="C597" s="0" t="n">
        <v>78</v>
      </c>
      <c r="D597" s="0" t="n">
        <v>3</v>
      </c>
      <c r="E597" s="0" t="str">
        <f aca="false">INDEX(lot!$B$2:$B$1201,MATCH(B597,lot!$A$2:$A$1201,0))</f>
        <v>SUP-C</v>
      </c>
      <c r="F597" s="3" t="n">
        <f aca="false">YEAR(A597)*100+MONTH(A597)</f>
        <v>202603</v>
      </c>
    </row>
    <row r="598" customFormat="false" ht="15" hidden="false" customHeight="false" outlineLevel="0" collapsed="false">
      <c r="A598" s="2" t="n">
        <v>46111</v>
      </c>
      <c r="B598" s="3" t="s">
        <v>1196</v>
      </c>
      <c r="C598" s="0" t="n">
        <v>170</v>
      </c>
      <c r="D598" s="0" t="n">
        <v>1</v>
      </c>
      <c r="E598" s="0" t="str">
        <f aca="false">INDEX(lot!$B$2:$B$1201,MATCH(B598,lot!$A$2:$A$1201,0))</f>
        <v>SUP-E</v>
      </c>
      <c r="F598" s="3" t="n">
        <f aca="false">YEAR(A598)*100+MONTH(A598)</f>
        <v>202603</v>
      </c>
    </row>
    <row r="599" customFormat="false" ht="15" hidden="false" customHeight="false" outlineLevel="0" collapsed="false">
      <c r="A599" s="2" t="n">
        <v>46111</v>
      </c>
      <c r="B599" s="3" t="s">
        <v>1196</v>
      </c>
      <c r="C599" s="0" t="n">
        <v>149</v>
      </c>
      <c r="D599" s="0" t="n">
        <v>1</v>
      </c>
      <c r="E599" s="0" t="str">
        <f aca="false">INDEX(lot!$B$2:$B$1201,MATCH(B599,lot!$A$2:$A$1201,0))</f>
        <v>SUP-E</v>
      </c>
      <c r="F599" s="3" t="n">
        <f aca="false">YEAR(A599)*100+MONTH(A599)</f>
        <v>202603</v>
      </c>
    </row>
    <row r="600" customFormat="false" ht="15" hidden="false" customHeight="false" outlineLevel="0" collapsed="false">
      <c r="A600" s="2" t="n">
        <v>46111</v>
      </c>
      <c r="B600" s="3" t="s">
        <v>1197</v>
      </c>
      <c r="C600" s="0" t="n">
        <v>205</v>
      </c>
      <c r="D600" s="0" t="n">
        <v>5</v>
      </c>
      <c r="E600" s="0" t="str">
        <f aca="false">INDEX(lot!$B$2:$B$1201,MATCH(B600,lot!$A$2:$A$1201,0))</f>
        <v>SUP-C</v>
      </c>
      <c r="F600" s="3" t="n">
        <f aca="false">YEAR(A600)*100+MONTH(A600)</f>
        <v>202603</v>
      </c>
    </row>
    <row r="601" customFormat="false" ht="15" hidden="false" customHeight="false" outlineLevel="0" collapsed="false">
      <c r="A601" s="2" t="n">
        <v>46111</v>
      </c>
      <c r="B601" s="3" t="s">
        <v>1197</v>
      </c>
      <c r="C601" s="0" t="n">
        <v>182</v>
      </c>
      <c r="D601" s="0" t="n">
        <v>3</v>
      </c>
      <c r="E601" s="0" t="str">
        <f aca="false">INDEX(lot!$B$2:$B$1201,MATCH(B601,lot!$A$2:$A$1201,0))</f>
        <v>SUP-C</v>
      </c>
      <c r="F601" s="3" t="n">
        <f aca="false">YEAR(A601)*100+MONTH(A601)</f>
        <v>202603</v>
      </c>
    </row>
    <row r="602" customFormat="false" ht="15" hidden="false" customHeight="false" outlineLevel="0" collapsed="false">
      <c r="A602" s="2" t="n">
        <v>46111</v>
      </c>
      <c r="B602" s="3" t="s">
        <v>1200</v>
      </c>
      <c r="C602" s="0" t="n">
        <v>71</v>
      </c>
      <c r="D602" s="0" t="n">
        <v>3</v>
      </c>
      <c r="E602" s="0" t="str">
        <f aca="false">INDEX(lot!$B$2:$B$1201,MATCH(B602,lot!$A$2:$A$1201,0))</f>
        <v>SUP-C</v>
      </c>
      <c r="F602" s="3" t="n">
        <f aca="false">YEAR(A602)*100+MONTH(A602)</f>
        <v>202603</v>
      </c>
    </row>
    <row r="603" customFormat="false" ht="15" hidden="false" customHeight="false" outlineLevel="0" collapsed="false">
      <c r="A603" s="2" t="n">
        <v>46112</v>
      </c>
      <c r="B603" s="3" t="s">
        <v>54</v>
      </c>
      <c r="C603" s="0" t="n">
        <v>94</v>
      </c>
      <c r="D603" s="0" t="n">
        <v>0</v>
      </c>
      <c r="E603" s="0" t="str">
        <f aca="false">INDEX(lot!$B$2:$B$1201,MATCH(B603,lot!$A$2:$A$1201,0))</f>
        <v>SUP-D</v>
      </c>
      <c r="F603" s="3" t="n">
        <f aca="false">YEAR(A603)*100+MONTH(A603)</f>
        <v>202603</v>
      </c>
    </row>
    <row r="604" customFormat="false" ht="15" hidden="false" customHeight="false" outlineLevel="0" collapsed="false">
      <c r="A604" s="2" t="n">
        <v>46112</v>
      </c>
      <c r="B604" s="3" t="s">
        <v>54</v>
      </c>
      <c r="C604" s="0" t="n">
        <v>231</v>
      </c>
      <c r="D604" s="0" t="n">
        <v>1</v>
      </c>
      <c r="E604" s="0" t="str">
        <f aca="false">INDEX(lot!$B$2:$B$1201,MATCH(B604,lot!$A$2:$A$1201,0))</f>
        <v>SUP-D</v>
      </c>
      <c r="F604" s="3" t="n">
        <f aca="false">YEAR(A604)*100+MONTH(A604)</f>
        <v>202603</v>
      </c>
    </row>
    <row r="605" customFormat="false" ht="15" hidden="false" customHeight="false" outlineLevel="0" collapsed="false">
      <c r="A605" s="2" t="n">
        <v>46112</v>
      </c>
      <c r="B605" s="3" t="s">
        <v>70</v>
      </c>
      <c r="C605" s="0" t="n">
        <v>206</v>
      </c>
      <c r="D605" s="0" t="n">
        <v>0</v>
      </c>
      <c r="E605" s="0" t="str">
        <f aca="false">INDEX(lot!$B$2:$B$1201,MATCH(B605,lot!$A$2:$A$1201,0))</f>
        <v>SUP-E</v>
      </c>
      <c r="F605" s="3" t="n">
        <f aca="false">YEAR(A605)*100+MONTH(A605)</f>
        <v>202603</v>
      </c>
    </row>
    <row r="606" customFormat="false" ht="15" hidden="false" customHeight="false" outlineLevel="0" collapsed="false">
      <c r="A606" s="2" t="n">
        <v>46112</v>
      </c>
      <c r="B606" s="3" t="s">
        <v>98</v>
      </c>
      <c r="C606" s="0" t="n">
        <v>115</v>
      </c>
      <c r="D606" s="0" t="n">
        <v>0</v>
      </c>
      <c r="E606" s="0" t="str">
        <f aca="false">INDEX(lot!$B$2:$B$1201,MATCH(B606,lot!$A$2:$A$1201,0))</f>
        <v>SUP-E</v>
      </c>
      <c r="F606" s="3" t="n">
        <f aca="false">YEAR(A606)*100+MONTH(A606)</f>
        <v>202603</v>
      </c>
    </row>
    <row r="607" customFormat="false" ht="15" hidden="false" customHeight="false" outlineLevel="0" collapsed="false">
      <c r="A607" s="2" t="n">
        <v>46112</v>
      </c>
      <c r="B607" s="3" t="s">
        <v>98</v>
      </c>
      <c r="C607" s="0" t="n">
        <v>231</v>
      </c>
      <c r="D607" s="0" t="n">
        <v>3</v>
      </c>
      <c r="E607" s="0" t="str">
        <f aca="false">INDEX(lot!$B$2:$B$1201,MATCH(B607,lot!$A$2:$A$1201,0))</f>
        <v>SUP-E</v>
      </c>
      <c r="F607" s="3" t="n">
        <f aca="false">YEAR(A607)*100+MONTH(A607)</f>
        <v>202603</v>
      </c>
    </row>
    <row r="608" customFormat="false" ht="15" hidden="false" customHeight="false" outlineLevel="0" collapsed="false">
      <c r="A608" s="2" t="n">
        <v>46112</v>
      </c>
      <c r="B608" s="3" t="s">
        <v>126</v>
      </c>
      <c r="C608" s="0" t="n">
        <v>226</v>
      </c>
      <c r="D608" s="0" t="n">
        <v>1</v>
      </c>
      <c r="E608" s="0" t="str">
        <f aca="false">INDEX(lot!$B$2:$B$1201,MATCH(B608,lot!$A$2:$A$1201,0))</f>
        <v>SUP-E</v>
      </c>
      <c r="F608" s="3" t="n">
        <f aca="false">YEAR(A608)*100+MONTH(A608)</f>
        <v>202603</v>
      </c>
    </row>
    <row r="609" customFormat="false" ht="15" hidden="false" customHeight="false" outlineLevel="0" collapsed="false">
      <c r="A609" s="2" t="n">
        <v>46112</v>
      </c>
      <c r="B609" s="3" t="s">
        <v>177</v>
      </c>
      <c r="C609" s="0" t="n">
        <v>97</v>
      </c>
      <c r="D609" s="0" t="n">
        <v>1</v>
      </c>
      <c r="E609" s="0" t="str">
        <f aca="false">INDEX(lot!$B$2:$B$1201,MATCH(B609,lot!$A$2:$A$1201,0))</f>
        <v>SUP-E</v>
      </c>
      <c r="F609" s="3" t="n">
        <f aca="false">YEAR(A609)*100+MONTH(A609)</f>
        <v>202603</v>
      </c>
    </row>
    <row r="610" customFormat="false" ht="15" hidden="false" customHeight="false" outlineLevel="0" collapsed="false">
      <c r="A610" s="2" t="n">
        <v>46112</v>
      </c>
      <c r="B610" s="3" t="s">
        <v>177</v>
      </c>
      <c r="C610" s="0" t="n">
        <v>196</v>
      </c>
      <c r="D610" s="0" t="n">
        <v>1</v>
      </c>
      <c r="E610" s="0" t="str">
        <f aca="false">INDEX(lot!$B$2:$B$1201,MATCH(B610,lot!$A$2:$A$1201,0))</f>
        <v>SUP-E</v>
      </c>
      <c r="F610" s="3" t="n">
        <f aca="false">YEAR(A610)*100+MONTH(A610)</f>
        <v>202603</v>
      </c>
    </row>
    <row r="611" customFormat="false" ht="15" hidden="false" customHeight="false" outlineLevel="0" collapsed="false">
      <c r="A611" s="2" t="n">
        <v>46112</v>
      </c>
      <c r="B611" s="3" t="s">
        <v>274</v>
      </c>
      <c r="C611" s="0" t="n">
        <v>178</v>
      </c>
      <c r="D611" s="0" t="n">
        <v>3</v>
      </c>
      <c r="E611" s="0" t="str">
        <f aca="false">INDEX(lot!$B$2:$B$1201,MATCH(B611,lot!$A$2:$A$1201,0))</f>
        <v>SUP-D</v>
      </c>
      <c r="F611" s="3" t="n">
        <f aca="false">YEAR(A611)*100+MONTH(A611)</f>
        <v>202603</v>
      </c>
    </row>
    <row r="612" customFormat="false" ht="15" hidden="false" customHeight="false" outlineLevel="0" collapsed="false">
      <c r="A612" s="2" t="n">
        <v>46112</v>
      </c>
      <c r="B612" s="3" t="s">
        <v>311</v>
      </c>
      <c r="C612" s="0" t="n">
        <v>181</v>
      </c>
      <c r="D612" s="0" t="n">
        <v>2</v>
      </c>
      <c r="E612" s="0" t="str">
        <f aca="false">INDEX(lot!$B$2:$B$1201,MATCH(B612,lot!$A$2:$A$1201,0))</f>
        <v>SUP-D</v>
      </c>
      <c r="F612" s="3" t="n">
        <f aca="false">YEAR(A612)*100+MONTH(A612)</f>
        <v>202603</v>
      </c>
    </row>
    <row r="613" customFormat="false" ht="15" hidden="false" customHeight="false" outlineLevel="0" collapsed="false">
      <c r="A613" s="2" t="n">
        <v>46112</v>
      </c>
      <c r="B613" s="3" t="s">
        <v>311</v>
      </c>
      <c r="C613" s="0" t="n">
        <v>139</v>
      </c>
      <c r="D613" s="0" t="n">
        <v>1</v>
      </c>
      <c r="E613" s="0" t="str">
        <f aca="false">INDEX(lot!$B$2:$B$1201,MATCH(B613,lot!$A$2:$A$1201,0))</f>
        <v>SUP-D</v>
      </c>
      <c r="F613" s="3" t="n">
        <f aca="false">YEAR(A613)*100+MONTH(A613)</f>
        <v>202603</v>
      </c>
    </row>
    <row r="614" customFormat="false" ht="15" hidden="false" customHeight="false" outlineLevel="0" collapsed="false">
      <c r="A614" s="2" t="n">
        <v>46112</v>
      </c>
      <c r="B614" s="3" t="s">
        <v>378</v>
      </c>
      <c r="C614" s="0" t="n">
        <v>117</v>
      </c>
      <c r="D614" s="0" t="n">
        <v>0</v>
      </c>
      <c r="E614" s="0" t="str">
        <f aca="false">INDEX(lot!$B$2:$B$1201,MATCH(B614,lot!$A$2:$A$1201,0))</f>
        <v>SUP-E</v>
      </c>
      <c r="F614" s="3" t="n">
        <f aca="false">YEAR(A614)*100+MONTH(A614)</f>
        <v>202603</v>
      </c>
    </row>
    <row r="615" customFormat="false" ht="15" hidden="false" customHeight="false" outlineLevel="0" collapsed="false">
      <c r="A615" s="2" t="n">
        <v>46112</v>
      </c>
      <c r="B615" s="3" t="s">
        <v>378</v>
      </c>
      <c r="C615" s="0" t="n">
        <v>150</v>
      </c>
      <c r="D615" s="0" t="n">
        <v>1</v>
      </c>
      <c r="E615" s="0" t="str">
        <f aca="false">INDEX(lot!$B$2:$B$1201,MATCH(B615,lot!$A$2:$A$1201,0))</f>
        <v>SUP-E</v>
      </c>
      <c r="F615" s="3" t="n">
        <f aca="false">YEAR(A615)*100+MONTH(A615)</f>
        <v>202603</v>
      </c>
    </row>
    <row r="616" customFormat="false" ht="15" hidden="false" customHeight="false" outlineLevel="0" collapsed="false">
      <c r="A616" s="2" t="n">
        <v>46112</v>
      </c>
      <c r="B616" s="3" t="s">
        <v>476</v>
      </c>
      <c r="C616" s="0" t="n">
        <v>148</v>
      </c>
      <c r="D616" s="0" t="n">
        <v>5</v>
      </c>
      <c r="E616" s="0" t="str">
        <f aca="false">INDEX(lot!$B$2:$B$1201,MATCH(B616,lot!$A$2:$A$1201,0))</f>
        <v>SUP-C</v>
      </c>
      <c r="F616" s="3" t="n">
        <f aca="false">YEAR(A616)*100+MONTH(A616)</f>
        <v>202603</v>
      </c>
    </row>
    <row r="617" customFormat="false" ht="15" hidden="false" customHeight="false" outlineLevel="0" collapsed="false">
      <c r="A617" s="2" t="n">
        <v>46112</v>
      </c>
      <c r="B617" s="3" t="s">
        <v>489</v>
      </c>
      <c r="C617" s="0" t="n">
        <v>208</v>
      </c>
      <c r="D617" s="0" t="n">
        <v>2</v>
      </c>
      <c r="E617" s="0" t="str">
        <f aca="false">INDEX(lot!$B$2:$B$1201,MATCH(B617,lot!$A$2:$A$1201,0))</f>
        <v>SUP-E</v>
      </c>
      <c r="F617" s="3" t="n">
        <f aca="false">YEAR(A617)*100+MONTH(A617)</f>
        <v>202603</v>
      </c>
    </row>
    <row r="618" customFormat="false" ht="15" hidden="false" customHeight="false" outlineLevel="0" collapsed="false">
      <c r="A618" s="2" t="n">
        <v>46112</v>
      </c>
      <c r="B618" s="3" t="s">
        <v>489</v>
      </c>
      <c r="C618" s="0" t="n">
        <v>241</v>
      </c>
      <c r="D618" s="0" t="n">
        <v>4</v>
      </c>
      <c r="E618" s="0" t="str">
        <f aca="false">INDEX(lot!$B$2:$B$1201,MATCH(B618,lot!$A$2:$A$1201,0))</f>
        <v>SUP-E</v>
      </c>
      <c r="F618" s="3" t="n">
        <f aca="false">YEAR(A618)*100+MONTH(A618)</f>
        <v>202603</v>
      </c>
    </row>
    <row r="619" customFormat="false" ht="15" hidden="false" customHeight="false" outlineLevel="0" collapsed="false">
      <c r="A619" s="2" t="n">
        <v>46112</v>
      </c>
      <c r="B619" s="3" t="s">
        <v>578</v>
      </c>
      <c r="C619" s="0" t="n">
        <v>108</v>
      </c>
      <c r="D619" s="0" t="n">
        <v>1</v>
      </c>
      <c r="E619" s="0" t="str">
        <f aca="false">INDEX(lot!$B$2:$B$1201,MATCH(B619,lot!$A$2:$A$1201,0))</f>
        <v>SUP-E</v>
      </c>
      <c r="F619" s="3" t="n">
        <f aca="false">YEAR(A619)*100+MONTH(A619)</f>
        <v>202603</v>
      </c>
    </row>
    <row r="620" customFormat="false" ht="15" hidden="false" customHeight="false" outlineLevel="0" collapsed="false">
      <c r="A620" s="2" t="n">
        <v>46112</v>
      </c>
      <c r="B620" s="3" t="s">
        <v>578</v>
      </c>
      <c r="C620" s="0" t="n">
        <v>206</v>
      </c>
      <c r="D620" s="0" t="n">
        <v>2</v>
      </c>
      <c r="E620" s="0" t="str">
        <f aca="false">INDEX(lot!$B$2:$B$1201,MATCH(B620,lot!$A$2:$A$1201,0))</f>
        <v>SUP-E</v>
      </c>
      <c r="F620" s="3" t="n">
        <f aca="false">YEAR(A620)*100+MONTH(A620)</f>
        <v>202603</v>
      </c>
    </row>
    <row r="621" customFormat="false" ht="15" hidden="false" customHeight="false" outlineLevel="0" collapsed="false">
      <c r="A621" s="2" t="n">
        <v>46112</v>
      </c>
      <c r="B621" s="3" t="s">
        <v>588</v>
      </c>
      <c r="C621" s="0" t="n">
        <v>198</v>
      </c>
      <c r="D621" s="0" t="n">
        <v>7</v>
      </c>
      <c r="E621" s="0" t="str">
        <f aca="false">INDEX(lot!$B$2:$B$1201,MATCH(B621,lot!$A$2:$A$1201,0))</f>
        <v>SUP-C</v>
      </c>
      <c r="F621" s="3" t="n">
        <f aca="false">YEAR(A621)*100+MONTH(A621)</f>
        <v>202603</v>
      </c>
    </row>
    <row r="622" customFormat="false" ht="15" hidden="false" customHeight="false" outlineLevel="0" collapsed="false">
      <c r="A622" s="2" t="n">
        <v>46112</v>
      </c>
      <c r="B622" s="3" t="s">
        <v>588</v>
      </c>
      <c r="C622" s="0" t="n">
        <v>86</v>
      </c>
      <c r="D622" s="0" t="n">
        <v>3</v>
      </c>
      <c r="E622" s="0" t="str">
        <f aca="false">INDEX(lot!$B$2:$B$1201,MATCH(B622,lot!$A$2:$A$1201,0))</f>
        <v>SUP-C</v>
      </c>
      <c r="F622" s="3" t="n">
        <f aca="false">YEAR(A622)*100+MONTH(A622)</f>
        <v>202603</v>
      </c>
    </row>
    <row r="623" customFormat="false" ht="15" hidden="false" customHeight="false" outlineLevel="0" collapsed="false">
      <c r="A623" s="2" t="n">
        <v>46112</v>
      </c>
      <c r="B623" s="3" t="s">
        <v>602</v>
      </c>
      <c r="C623" s="0" t="n">
        <v>207</v>
      </c>
      <c r="D623" s="0" t="n">
        <v>6</v>
      </c>
      <c r="E623" s="0" t="str">
        <f aca="false">INDEX(lot!$B$2:$B$1201,MATCH(B623,lot!$A$2:$A$1201,0))</f>
        <v>SUP-C</v>
      </c>
      <c r="F623" s="3" t="n">
        <f aca="false">YEAR(A623)*100+MONTH(A623)</f>
        <v>202603</v>
      </c>
    </row>
    <row r="624" customFormat="false" ht="15" hidden="false" customHeight="false" outlineLevel="0" collapsed="false">
      <c r="A624" s="2" t="n">
        <v>46112</v>
      </c>
      <c r="B624" s="3" t="s">
        <v>636</v>
      </c>
      <c r="C624" s="0" t="n">
        <v>174</v>
      </c>
      <c r="D624" s="0" t="n">
        <v>11</v>
      </c>
      <c r="E624" s="0" t="str">
        <f aca="false">INDEX(lot!$B$2:$B$1201,MATCH(B624,lot!$A$2:$A$1201,0))</f>
        <v>SUP-A</v>
      </c>
      <c r="F624" s="3" t="n">
        <f aca="false">YEAR(A624)*100+MONTH(A624)</f>
        <v>202603</v>
      </c>
    </row>
    <row r="625" customFormat="false" ht="15" hidden="false" customHeight="false" outlineLevel="0" collapsed="false">
      <c r="A625" s="2" t="n">
        <v>46112</v>
      </c>
      <c r="B625" s="3" t="s">
        <v>711</v>
      </c>
      <c r="C625" s="0" t="n">
        <v>154</v>
      </c>
      <c r="D625" s="0" t="n">
        <v>2</v>
      </c>
      <c r="E625" s="0" t="str">
        <f aca="false">INDEX(lot!$B$2:$B$1201,MATCH(B625,lot!$A$2:$A$1201,0))</f>
        <v>SUP-E</v>
      </c>
      <c r="F625" s="3" t="n">
        <f aca="false">YEAR(A625)*100+MONTH(A625)</f>
        <v>202603</v>
      </c>
    </row>
    <row r="626" customFormat="false" ht="15" hidden="false" customHeight="false" outlineLevel="0" collapsed="false">
      <c r="A626" s="2" t="n">
        <v>46112</v>
      </c>
      <c r="B626" s="3" t="s">
        <v>735</v>
      </c>
      <c r="C626" s="0" t="n">
        <v>251</v>
      </c>
      <c r="D626" s="0" t="n">
        <v>1</v>
      </c>
      <c r="E626" s="0" t="str">
        <f aca="false">INDEX(lot!$B$2:$B$1201,MATCH(B626,lot!$A$2:$A$1201,0))</f>
        <v>SUP-D</v>
      </c>
      <c r="F626" s="3" t="n">
        <f aca="false">YEAR(A626)*100+MONTH(A626)</f>
        <v>202603</v>
      </c>
    </row>
    <row r="627" customFormat="false" ht="15" hidden="false" customHeight="false" outlineLevel="0" collapsed="false">
      <c r="A627" s="2" t="n">
        <v>46112</v>
      </c>
      <c r="B627" s="3" t="s">
        <v>772</v>
      </c>
      <c r="C627" s="0" t="n">
        <v>226</v>
      </c>
      <c r="D627" s="0" t="n">
        <v>0</v>
      </c>
      <c r="E627" s="0" t="str">
        <f aca="false">INDEX(lot!$B$2:$B$1201,MATCH(B627,lot!$A$2:$A$1201,0))</f>
        <v>SUP-A</v>
      </c>
      <c r="F627" s="3" t="n">
        <f aca="false">YEAR(A627)*100+MONTH(A627)</f>
        <v>202603</v>
      </c>
    </row>
    <row r="628" customFormat="false" ht="15" hidden="false" customHeight="false" outlineLevel="0" collapsed="false">
      <c r="A628" s="2" t="n">
        <v>46112</v>
      </c>
      <c r="B628" s="3" t="s">
        <v>772</v>
      </c>
      <c r="C628" s="0" t="n">
        <v>153</v>
      </c>
      <c r="D628" s="0" t="n">
        <v>1</v>
      </c>
      <c r="E628" s="0" t="str">
        <f aca="false">INDEX(lot!$B$2:$B$1201,MATCH(B628,lot!$A$2:$A$1201,0))</f>
        <v>SUP-A</v>
      </c>
      <c r="F628" s="3" t="n">
        <f aca="false">YEAR(A628)*100+MONTH(A628)</f>
        <v>202603</v>
      </c>
    </row>
    <row r="629" customFormat="false" ht="15" hidden="false" customHeight="false" outlineLevel="0" collapsed="false">
      <c r="A629" s="2" t="n">
        <v>46112</v>
      </c>
      <c r="B629" s="3" t="s">
        <v>845</v>
      </c>
      <c r="C629" s="0" t="n">
        <v>242</v>
      </c>
      <c r="D629" s="0" t="n">
        <v>6</v>
      </c>
      <c r="E629" s="0" t="str">
        <f aca="false">INDEX(lot!$B$2:$B$1201,MATCH(B629,lot!$A$2:$A$1201,0))</f>
        <v>SUP-C</v>
      </c>
      <c r="F629" s="3" t="n">
        <f aca="false">YEAR(A629)*100+MONTH(A629)</f>
        <v>202603</v>
      </c>
    </row>
    <row r="630" customFormat="false" ht="15" hidden="false" customHeight="false" outlineLevel="0" collapsed="false">
      <c r="A630" s="2" t="n">
        <v>46112</v>
      </c>
      <c r="B630" s="3" t="s">
        <v>878</v>
      </c>
      <c r="C630" s="0" t="n">
        <v>100</v>
      </c>
      <c r="D630" s="0" t="n">
        <v>0</v>
      </c>
      <c r="E630" s="0" t="str">
        <f aca="false">INDEX(lot!$B$2:$B$1201,MATCH(B630,lot!$A$2:$A$1201,0))</f>
        <v>SUP-D</v>
      </c>
      <c r="F630" s="3" t="n">
        <f aca="false">YEAR(A630)*100+MONTH(A630)</f>
        <v>202603</v>
      </c>
    </row>
    <row r="631" customFormat="false" ht="15" hidden="false" customHeight="false" outlineLevel="0" collapsed="false">
      <c r="A631" s="2" t="n">
        <v>46112</v>
      </c>
      <c r="B631" s="3" t="s">
        <v>878</v>
      </c>
      <c r="C631" s="0" t="n">
        <v>126</v>
      </c>
      <c r="D631" s="0" t="n">
        <v>1</v>
      </c>
      <c r="E631" s="0" t="str">
        <f aca="false">INDEX(lot!$B$2:$B$1201,MATCH(B631,lot!$A$2:$A$1201,0))</f>
        <v>SUP-D</v>
      </c>
      <c r="F631" s="3" t="n">
        <f aca="false">YEAR(A631)*100+MONTH(A631)</f>
        <v>202603</v>
      </c>
    </row>
    <row r="632" customFormat="false" ht="15" hidden="false" customHeight="false" outlineLevel="0" collapsed="false">
      <c r="A632" s="2" t="n">
        <v>46112</v>
      </c>
      <c r="B632" s="3" t="s">
        <v>984</v>
      </c>
      <c r="C632" s="0" t="n">
        <v>160</v>
      </c>
      <c r="D632" s="0" t="n">
        <v>2</v>
      </c>
      <c r="E632" s="0" t="str">
        <f aca="false">INDEX(lot!$B$2:$B$1201,MATCH(B632,lot!$A$2:$A$1201,0))</f>
        <v>SUP-D</v>
      </c>
      <c r="F632" s="3" t="n">
        <f aca="false">YEAR(A632)*100+MONTH(A632)</f>
        <v>202603</v>
      </c>
    </row>
    <row r="633" customFormat="false" ht="15" hidden="false" customHeight="false" outlineLevel="0" collapsed="false">
      <c r="A633" s="2" t="n">
        <v>46112</v>
      </c>
      <c r="B633" s="3" t="s">
        <v>984</v>
      </c>
      <c r="C633" s="0" t="n">
        <v>150</v>
      </c>
      <c r="D633" s="0" t="n">
        <v>2</v>
      </c>
      <c r="E633" s="0" t="str">
        <f aca="false">INDEX(lot!$B$2:$B$1201,MATCH(B633,lot!$A$2:$A$1201,0))</f>
        <v>SUP-D</v>
      </c>
      <c r="F633" s="3" t="n">
        <f aca="false">YEAR(A633)*100+MONTH(A633)</f>
        <v>202603</v>
      </c>
    </row>
    <row r="634" customFormat="false" ht="15" hidden="false" customHeight="false" outlineLevel="0" collapsed="false">
      <c r="A634" s="2" t="n">
        <v>46112</v>
      </c>
      <c r="B634" s="3" t="s">
        <v>1089</v>
      </c>
      <c r="C634" s="0" t="n">
        <v>88</v>
      </c>
      <c r="D634" s="0" t="n">
        <v>1</v>
      </c>
      <c r="E634" s="0" t="str">
        <f aca="false">INDEX(lot!$B$2:$B$1201,MATCH(B634,lot!$A$2:$A$1201,0))</f>
        <v>SUP-C</v>
      </c>
      <c r="F634" s="3" t="n">
        <f aca="false">YEAR(A634)*100+MONTH(A634)</f>
        <v>202603</v>
      </c>
    </row>
    <row r="635" customFormat="false" ht="15" hidden="false" customHeight="false" outlineLevel="0" collapsed="false">
      <c r="A635" s="2" t="n">
        <v>46112</v>
      </c>
      <c r="B635" s="3" t="s">
        <v>1120</v>
      </c>
      <c r="C635" s="0" t="n">
        <v>153</v>
      </c>
      <c r="D635" s="0" t="n">
        <v>0</v>
      </c>
      <c r="E635" s="0" t="str">
        <f aca="false">INDEX(lot!$B$2:$B$1201,MATCH(B635,lot!$A$2:$A$1201,0))</f>
        <v>SUP-A</v>
      </c>
      <c r="F635" s="3" t="n">
        <f aca="false">YEAR(A635)*100+MONTH(A635)</f>
        <v>202603</v>
      </c>
    </row>
    <row r="636" customFormat="false" ht="15" hidden="false" customHeight="false" outlineLevel="0" collapsed="false">
      <c r="A636" s="2" t="n">
        <v>46112</v>
      </c>
      <c r="B636" s="3" t="s">
        <v>1197</v>
      </c>
      <c r="C636" s="0" t="n">
        <v>143</v>
      </c>
      <c r="D636" s="0" t="n">
        <v>6</v>
      </c>
      <c r="E636" s="0" t="str">
        <f aca="false">INDEX(lot!$B$2:$B$1201,MATCH(B636,lot!$A$2:$A$1201,0))</f>
        <v>SUP-C</v>
      </c>
      <c r="F636" s="3" t="n">
        <f aca="false">YEAR(A636)*100+MONTH(A636)</f>
        <v>202603</v>
      </c>
    </row>
    <row r="637" customFormat="false" ht="15" hidden="false" customHeight="false" outlineLevel="0" collapsed="false">
      <c r="A637" s="2" t="n">
        <v>46112</v>
      </c>
      <c r="B637" s="3" t="s">
        <v>1197</v>
      </c>
      <c r="C637" s="0" t="n">
        <v>79</v>
      </c>
      <c r="D637" s="0" t="n">
        <v>2</v>
      </c>
      <c r="E637" s="0" t="str">
        <f aca="false">INDEX(lot!$B$2:$B$1201,MATCH(B637,lot!$A$2:$A$1201,0))</f>
        <v>SUP-C</v>
      </c>
      <c r="F637" s="3" t="n">
        <f aca="false">YEAR(A637)*100+MONTH(A637)</f>
        <v>202603</v>
      </c>
    </row>
    <row r="638" customFormat="false" ht="15" hidden="false" customHeight="false" outlineLevel="0" collapsed="false">
      <c r="A638" s="2" t="n">
        <v>46112</v>
      </c>
      <c r="B638" s="3" t="s">
        <v>1210</v>
      </c>
      <c r="C638" s="0" t="n">
        <v>178</v>
      </c>
      <c r="D638" s="0" t="n">
        <v>0</v>
      </c>
      <c r="E638" s="0" t="str">
        <f aca="false">INDEX(lot!$B$2:$B$1201,MATCH(B638,lot!$A$2:$A$1201,0))</f>
        <v>SUP-E</v>
      </c>
      <c r="F638" s="3" t="n">
        <f aca="false">YEAR(A638)*100+MONTH(A638)</f>
        <v>202603</v>
      </c>
    </row>
    <row r="639" customFormat="false" ht="15" hidden="false" customHeight="false" outlineLevel="0" collapsed="false">
      <c r="A639" s="2" t="n">
        <v>46113</v>
      </c>
      <c r="B639" s="3" t="s">
        <v>94</v>
      </c>
      <c r="C639" s="0" t="n">
        <v>90</v>
      </c>
      <c r="D639" s="0" t="n">
        <v>1</v>
      </c>
      <c r="E639" s="0" t="str">
        <f aca="false">INDEX(lot!$B$2:$B$1201,MATCH(B639,lot!$A$2:$A$1201,0))</f>
        <v>SUP-E</v>
      </c>
      <c r="F639" s="3" t="n">
        <f aca="false">YEAR(A639)*100+MONTH(A639)</f>
        <v>202604</v>
      </c>
    </row>
    <row r="640" customFormat="false" ht="15" hidden="false" customHeight="false" outlineLevel="0" collapsed="false">
      <c r="A640" s="2" t="n">
        <v>46113</v>
      </c>
      <c r="B640" s="3" t="s">
        <v>94</v>
      </c>
      <c r="C640" s="0" t="n">
        <v>82</v>
      </c>
      <c r="D640" s="0" t="n">
        <v>1</v>
      </c>
      <c r="E640" s="0" t="str">
        <f aca="false">INDEX(lot!$B$2:$B$1201,MATCH(B640,lot!$A$2:$A$1201,0))</f>
        <v>SUP-E</v>
      </c>
      <c r="F640" s="3" t="n">
        <f aca="false">YEAR(A640)*100+MONTH(A640)</f>
        <v>202604</v>
      </c>
    </row>
    <row r="641" customFormat="false" ht="15" hidden="false" customHeight="false" outlineLevel="0" collapsed="false">
      <c r="A641" s="2" t="n">
        <v>46113</v>
      </c>
      <c r="B641" s="3" t="s">
        <v>143</v>
      </c>
      <c r="C641" s="0" t="n">
        <v>89</v>
      </c>
      <c r="D641" s="0" t="n">
        <v>0</v>
      </c>
      <c r="E641" s="0" t="str">
        <f aca="false">INDEX(lot!$B$2:$B$1201,MATCH(B641,lot!$A$2:$A$1201,0))</f>
        <v>SUP-E</v>
      </c>
      <c r="F641" s="3" t="n">
        <f aca="false">YEAR(A641)*100+MONTH(A641)</f>
        <v>202604</v>
      </c>
    </row>
    <row r="642" customFormat="false" ht="15" hidden="false" customHeight="false" outlineLevel="0" collapsed="false">
      <c r="A642" s="2" t="n">
        <v>46113</v>
      </c>
      <c r="B642" s="3" t="s">
        <v>170</v>
      </c>
      <c r="C642" s="0" t="n">
        <v>240</v>
      </c>
      <c r="D642" s="0" t="n">
        <v>3</v>
      </c>
      <c r="E642" s="0" t="str">
        <f aca="false">INDEX(lot!$B$2:$B$1201,MATCH(B642,lot!$A$2:$A$1201,0))</f>
        <v>SUP-D</v>
      </c>
      <c r="F642" s="3" t="n">
        <f aca="false">YEAR(A642)*100+MONTH(A642)</f>
        <v>202604</v>
      </c>
    </row>
    <row r="643" customFormat="false" ht="15" hidden="false" customHeight="false" outlineLevel="0" collapsed="false">
      <c r="A643" s="2" t="n">
        <v>46113</v>
      </c>
      <c r="B643" s="3" t="s">
        <v>177</v>
      </c>
      <c r="C643" s="0" t="n">
        <v>162</v>
      </c>
      <c r="D643" s="0" t="n">
        <v>0</v>
      </c>
      <c r="E643" s="0" t="str">
        <f aca="false">INDEX(lot!$B$2:$B$1201,MATCH(B643,lot!$A$2:$A$1201,0))</f>
        <v>SUP-E</v>
      </c>
      <c r="F643" s="3" t="n">
        <f aca="false">YEAR(A643)*100+MONTH(A643)</f>
        <v>202604</v>
      </c>
    </row>
    <row r="644" customFormat="false" ht="15" hidden="false" customHeight="false" outlineLevel="0" collapsed="false">
      <c r="A644" s="2" t="n">
        <v>46113</v>
      </c>
      <c r="B644" s="3" t="s">
        <v>177</v>
      </c>
      <c r="C644" s="0" t="n">
        <v>200</v>
      </c>
      <c r="D644" s="0" t="n">
        <v>3</v>
      </c>
      <c r="E644" s="0" t="str">
        <f aca="false">INDEX(lot!$B$2:$B$1201,MATCH(B644,lot!$A$2:$A$1201,0))</f>
        <v>SUP-E</v>
      </c>
      <c r="F644" s="3" t="n">
        <f aca="false">YEAR(A644)*100+MONTH(A644)</f>
        <v>202604</v>
      </c>
    </row>
    <row r="645" customFormat="false" ht="15" hidden="false" customHeight="false" outlineLevel="0" collapsed="false">
      <c r="A645" s="2" t="n">
        <v>46113</v>
      </c>
      <c r="B645" s="3" t="s">
        <v>260</v>
      </c>
      <c r="C645" s="0" t="n">
        <v>233</v>
      </c>
      <c r="D645" s="0" t="n">
        <v>3</v>
      </c>
      <c r="E645" s="0" t="str">
        <f aca="false">INDEX(lot!$B$2:$B$1201,MATCH(B645,lot!$A$2:$A$1201,0))</f>
        <v>SUP-A</v>
      </c>
      <c r="F645" s="3" t="n">
        <f aca="false">YEAR(A645)*100+MONTH(A645)</f>
        <v>202604</v>
      </c>
    </row>
    <row r="646" customFormat="false" ht="15" hidden="false" customHeight="false" outlineLevel="0" collapsed="false">
      <c r="A646" s="2" t="n">
        <v>46113</v>
      </c>
      <c r="B646" s="3" t="s">
        <v>274</v>
      </c>
      <c r="C646" s="0" t="n">
        <v>77</v>
      </c>
      <c r="D646" s="0" t="n">
        <v>0</v>
      </c>
      <c r="E646" s="0" t="str">
        <f aca="false">INDEX(lot!$B$2:$B$1201,MATCH(B646,lot!$A$2:$A$1201,0))</f>
        <v>SUP-D</v>
      </c>
      <c r="F646" s="3" t="n">
        <f aca="false">YEAR(A646)*100+MONTH(A646)</f>
        <v>202604</v>
      </c>
    </row>
    <row r="647" customFormat="false" ht="15" hidden="false" customHeight="false" outlineLevel="0" collapsed="false">
      <c r="A647" s="2" t="n">
        <v>46113</v>
      </c>
      <c r="B647" s="3" t="s">
        <v>274</v>
      </c>
      <c r="C647" s="0" t="n">
        <v>211</v>
      </c>
      <c r="D647" s="0" t="n">
        <v>0</v>
      </c>
      <c r="E647" s="0" t="str">
        <f aca="false">INDEX(lot!$B$2:$B$1201,MATCH(B647,lot!$A$2:$A$1201,0))</f>
        <v>SUP-D</v>
      </c>
      <c r="F647" s="3" t="n">
        <f aca="false">YEAR(A647)*100+MONTH(A647)</f>
        <v>202604</v>
      </c>
    </row>
    <row r="648" customFormat="false" ht="15" hidden="false" customHeight="false" outlineLevel="0" collapsed="false">
      <c r="A648" s="2" t="n">
        <v>46113</v>
      </c>
      <c r="B648" s="3" t="s">
        <v>314</v>
      </c>
      <c r="C648" s="0" t="n">
        <v>73</v>
      </c>
      <c r="D648" s="0" t="n">
        <v>0</v>
      </c>
      <c r="E648" s="0" t="str">
        <f aca="false">INDEX(lot!$B$2:$B$1201,MATCH(B648,lot!$A$2:$A$1201,0))</f>
        <v>SUP-D</v>
      </c>
      <c r="F648" s="3" t="n">
        <f aca="false">YEAR(A648)*100+MONTH(A648)</f>
        <v>202604</v>
      </c>
    </row>
    <row r="649" customFormat="false" ht="15" hidden="false" customHeight="false" outlineLevel="0" collapsed="false">
      <c r="A649" s="2" t="n">
        <v>46113</v>
      </c>
      <c r="B649" s="3" t="s">
        <v>314</v>
      </c>
      <c r="C649" s="0" t="n">
        <v>129</v>
      </c>
      <c r="D649" s="0" t="n">
        <v>2</v>
      </c>
      <c r="E649" s="0" t="str">
        <f aca="false">INDEX(lot!$B$2:$B$1201,MATCH(B649,lot!$A$2:$A$1201,0))</f>
        <v>SUP-D</v>
      </c>
      <c r="F649" s="3" t="n">
        <f aca="false">YEAR(A649)*100+MONTH(A649)</f>
        <v>202604</v>
      </c>
    </row>
    <row r="650" customFormat="false" ht="15" hidden="false" customHeight="false" outlineLevel="0" collapsed="false">
      <c r="A650" s="2" t="n">
        <v>46113</v>
      </c>
      <c r="B650" s="3" t="s">
        <v>378</v>
      </c>
      <c r="C650" s="0" t="n">
        <v>94</v>
      </c>
      <c r="D650" s="0" t="n">
        <v>2</v>
      </c>
      <c r="E650" s="0" t="str">
        <f aca="false">INDEX(lot!$B$2:$B$1201,MATCH(B650,lot!$A$2:$A$1201,0))</f>
        <v>SUP-E</v>
      </c>
      <c r="F650" s="3" t="n">
        <f aca="false">YEAR(A650)*100+MONTH(A650)</f>
        <v>202604</v>
      </c>
    </row>
    <row r="651" customFormat="false" ht="15" hidden="false" customHeight="false" outlineLevel="0" collapsed="false">
      <c r="A651" s="2" t="n">
        <v>46113</v>
      </c>
      <c r="B651" s="3" t="s">
        <v>382</v>
      </c>
      <c r="C651" s="0" t="n">
        <v>209</v>
      </c>
      <c r="D651" s="0" t="n">
        <v>3</v>
      </c>
      <c r="E651" s="0" t="str">
        <f aca="false">INDEX(lot!$B$2:$B$1201,MATCH(B651,lot!$A$2:$A$1201,0))</f>
        <v>SUP-B</v>
      </c>
      <c r="F651" s="3" t="n">
        <f aca="false">YEAR(A651)*100+MONTH(A651)</f>
        <v>202604</v>
      </c>
    </row>
    <row r="652" customFormat="false" ht="15" hidden="false" customHeight="false" outlineLevel="0" collapsed="false">
      <c r="A652" s="2" t="n">
        <v>46113</v>
      </c>
      <c r="B652" s="3" t="s">
        <v>476</v>
      </c>
      <c r="C652" s="0" t="n">
        <v>191</v>
      </c>
      <c r="D652" s="0" t="n">
        <v>6</v>
      </c>
      <c r="E652" s="0" t="str">
        <f aca="false">INDEX(lot!$B$2:$B$1201,MATCH(B652,lot!$A$2:$A$1201,0))</f>
        <v>SUP-C</v>
      </c>
      <c r="F652" s="3" t="n">
        <f aca="false">YEAR(A652)*100+MONTH(A652)</f>
        <v>202604</v>
      </c>
    </row>
    <row r="653" customFormat="false" ht="15" hidden="false" customHeight="false" outlineLevel="0" collapsed="false">
      <c r="A653" s="2" t="n">
        <v>46113</v>
      </c>
      <c r="B653" s="3" t="s">
        <v>489</v>
      </c>
      <c r="C653" s="0" t="n">
        <v>117</v>
      </c>
      <c r="D653" s="0" t="n">
        <v>2</v>
      </c>
      <c r="E653" s="0" t="str">
        <f aca="false">INDEX(lot!$B$2:$B$1201,MATCH(B653,lot!$A$2:$A$1201,0))</f>
        <v>SUP-E</v>
      </c>
      <c r="F653" s="3" t="n">
        <f aca="false">YEAR(A653)*100+MONTH(A653)</f>
        <v>202604</v>
      </c>
    </row>
    <row r="654" customFormat="false" ht="15" hidden="false" customHeight="false" outlineLevel="0" collapsed="false">
      <c r="A654" s="2" t="n">
        <v>46113</v>
      </c>
      <c r="B654" s="3" t="s">
        <v>517</v>
      </c>
      <c r="C654" s="0" t="n">
        <v>74</v>
      </c>
      <c r="D654" s="0" t="n">
        <v>1</v>
      </c>
      <c r="E654" s="0" t="str">
        <f aca="false">INDEX(lot!$B$2:$B$1201,MATCH(B654,lot!$A$2:$A$1201,0))</f>
        <v>SUP-C</v>
      </c>
      <c r="F654" s="3" t="n">
        <f aca="false">YEAR(A654)*100+MONTH(A654)</f>
        <v>202604</v>
      </c>
    </row>
    <row r="655" customFormat="false" ht="15" hidden="false" customHeight="false" outlineLevel="0" collapsed="false">
      <c r="A655" s="2" t="n">
        <v>46113</v>
      </c>
      <c r="B655" s="3" t="s">
        <v>530</v>
      </c>
      <c r="C655" s="0" t="n">
        <v>200</v>
      </c>
      <c r="D655" s="0" t="n">
        <v>0</v>
      </c>
      <c r="E655" s="0" t="str">
        <f aca="false">INDEX(lot!$B$2:$B$1201,MATCH(B655,lot!$A$2:$A$1201,0))</f>
        <v>SUP-E</v>
      </c>
      <c r="F655" s="3" t="n">
        <f aca="false">YEAR(A655)*100+MONTH(A655)</f>
        <v>202604</v>
      </c>
    </row>
    <row r="656" customFormat="false" ht="15" hidden="false" customHeight="false" outlineLevel="0" collapsed="false">
      <c r="A656" s="2" t="n">
        <v>46113</v>
      </c>
      <c r="B656" s="3" t="s">
        <v>530</v>
      </c>
      <c r="C656" s="0" t="n">
        <v>95</v>
      </c>
      <c r="D656" s="0" t="n">
        <v>1</v>
      </c>
      <c r="E656" s="0" t="str">
        <f aca="false">INDEX(lot!$B$2:$B$1201,MATCH(B656,lot!$A$2:$A$1201,0))</f>
        <v>SUP-E</v>
      </c>
      <c r="F656" s="3" t="n">
        <f aca="false">YEAR(A656)*100+MONTH(A656)</f>
        <v>202604</v>
      </c>
    </row>
    <row r="657" customFormat="false" ht="15" hidden="false" customHeight="false" outlineLevel="0" collapsed="false">
      <c r="A657" s="2" t="n">
        <v>46113</v>
      </c>
      <c r="B657" s="3" t="s">
        <v>588</v>
      </c>
      <c r="C657" s="0" t="n">
        <v>182</v>
      </c>
      <c r="D657" s="0" t="n">
        <v>5</v>
      </c>
      <c r="E657" s="0" t="str">
        <f aca="false">INDEX(lot!$B$2:$B$1201,MATCH(B657,lot!$A$2:$A$1201,0))</f>
        <v>SUP-C</v>
      </c>
      <c r="F657" s="3" t="n">
        <f aca="false">YEAR(A657)*100+MONTH(A657)</f>
        <v>202604</v>
      </c>
    </row>
    <row r="658" customFormat="false" ht="15" hidden="false" customHeight="false" outlineLevel="0" collapsed="false">
      <c r="A658" s="2" t="n">
        <v>46113</v>
      </c>
      <c r="B658" s="3" t="s">
        <v>588</v>
      </c>
      <c r="C658" s="0" t="n">
        <v>91</v>
      </c>
      <c r="D658" s="0" t="n">
        <v>0</v>
      </c>
      <c r="E658" s="0" t="str">
        <f aca="false">INDEX(lot!$B$2:$B$1201,MATCH(B658,lot!$A$2:$A$1201,0))</f>
        <v>SUP-C</v>
      </c>
      <c r="F658" s="3" t="n">
        <f aca="false">YEAR(A658)*100+MONTH(A658)</f>
        <v>202604</v>
      </c>
    </row>
    <row r="659" customFormat="false" ht="15" hidden="false" customHeight="false" outlineLevel="0" collapsed="false">
      <c r="A659" s="2" t="n">
        <v>46113</v>
      </c>
      <c r="B659" s="3" t="s">
        <v>602</v>
      </c>
      <c r="C659" s="0" t="n">
        <v>154</v>
      </c>
      <c r="D659" s="0" t="n">
        <v>1</v>
      </c>
      <c r="E659" s="0" t="str">
        <f aca="false">INDEX(lot!$B$2:$B$1201,MATCH(B659,lot!$A$2:$A$1201,0))</f>
        <v>SUP-C</v>
      </c>
      <c r="F659" s="3" t="n">
        <f aca="false">YEAR(A659)*100+MONTH(A659)</f>
        <v>202604</v>
      </c>
    </row>
    <row r="660" customFormat="false" ht="15" hidden="false" customHeight="false" outlineLevel="0" collapsed="false">
      <c r="A660" s="2" t="n">
        <v>46113</v>
      </c>
      <c r="B660" s="3" t="s">
        <v>602</v>
      </c>
      <c r="C660" s="0" t="n">
        <v>67</v>
      </c>
      <c r="D660" s="0" t="n">
        <v>2</v>
      </c>
      <c r="E660" s="0" t="str">
        <f aca="false">INDEX(lot!$B$2:$B$1201,MATCH(B660,lot!$A$2:$A$1201,0))</f>
        <v>SUP-C</v>
      </c>
      <c r="F660" s="3" t="n">
        <f aca="false">YEAR(A660)*100+MONTH(A660)</f>
        <v>202604</v>
      </c>
    </row>
    <row r="661" customFormat="false" ht="15" hidden="false" customHeight="false" outlineLevel="0" collapsed="false">
      <c r="A661" s="2" t="n">
        <v>46113</v>
      </c>
      <c r="B661" s="3" t="s">
        <v>633</v>
      </c>
      <c r="C661" s="0" t="n">
        <v>127</v>
      </c>
      <c r="D661" s="0" t="n">
        <v>1</v>
      </c>
      <c r="E661" s="0" t="str">
        <f aca="false">INDEX(lot!$B$2:$B$1201,MATCH(B661,lot!$A$2:$A$1201,0))</f>
        <v>SUP-E</v>
      </c>
      <c r="F661" s="3" t="n">
        <f aca="false">YEAR(A661)*100+MONTH(A661)</f>
        <v>202604</v>
      </c>
    </row>
    <row r="662" customFormat="false" ht="15" hidden="false" customHeight="false" outlineLevel="0" collapsed="false">
      <c r="A662" s="2" t="n">
        <v>46113</v>
      </c>
      <c r="B662" s="3" t="s">
        <v>633</v>
      </c>
      <c r="C662" s="0" t="n">
        <v>173</v>
      </c>
      <c r="D662" s="0" t="n">
        <v>1</v>
      </c>
      <c r="E662" s="0" t="str">
        <f aca="false">INDEX(lot!$B$2:$B$1201,MATCH(B662,lot!$A$2:$A$1201,0))</f>
        <v>SUP-E</v>
      </c>
      <c r="F662" s="3" t="n">
        <f aca="false">YEAR(A662)*100+MONTH(A662)</f>
        <v>202604</v>
      </c>
    </row>
    <row r="663" customFormat="false" ht="15" hidden="false" customHeight="false" outlineLevel="0" collapsed="false">
      <c r="A663" s="2" t="n">
        <v>46113</v>
      </c>
      <c r="B663" s="3" t="s">
        <v>711</v>
      </c>
      <c r="C663" s="0" t="n">
        <v>198</v>
      </c>
      <c r="D663" s="0" t="n">
        <v>1</v>
      </c>
      <c r="E663" s="0" t="str">
        <f aca="false">INDEX(lot!$B$2:$B$1201,MATCH(B663,lot!$A$2:$A$1201,0))</f>
        <v>SUP-E</v>
      </c>
      <c r="F663" s="3" t="n">
        <f aca="false">YEAR(A663)*100+MONTH(A663)</f>
        <v>202604</v>
      </c>
    </row>
    <row r="664" customFormat="false" ht="15" hidden="false" customHeight="false" outlineLevel="0" collapsed="false">
      <c r="A664" s="2" t="n">
        <v>46113</v>
      </c>
      <c r="B664" s="3" t="s">
        <v>712</v>
      </c>
      <c r="C664" s="0" t="n">
        <v>181</v>
      </c>
      <c r="D664" s="0" t="n">
        <v>9</v>
      </c>
      <c r="E664" s="0" t="str">
        <f aca="false">INDEX(lot!$B$2:$B$1201,MATCH(B664,lot!$A$2:$A$1201,0))</f>
        <v>SUP-E</v>
      </c>
      <c r="F664" s="3" t="n">
        <f aca="false">YEAR(A664)*100+MONTH(A664)</f>
        <v>202604</v>
      </c>
    </row>
    <row r="665" customFormat="false" ht="15" hidden="false" customHeight="false" outlineLevel="0" collapsed="false">
      <c r="A665" s="2" t="n">
        <v>46113</v>
      </c>
      <c r="B665" s="3" t="s">
        <v>712</v>
      </c>
      <c r="C665" s="0" t="n">
        <v>178</v>
      </c>
      <c r="D665" s="0" t="n">
        <v>14</v>
      </c>
      <c r="E665" s="0" t="str">
        <f aca="false">INDEX(lot!$B$2:$B$1201,MATCH(B665,lot!$A$2:$A$1201,0))</f>
        <v>SUP-E</v>
      </c>
      <c r="F665" s="3" t="n">
        <f aca="false">YEAR(A665)*100+MONTH(A665)</f>
        <v>202604</v>
      </c>
    </row>
    <row r="666" customFormat="false" ht="15" hidden="false" customHeight="false" outlineLevel="0" collapsed="false">
      <c r="A666" s="2" t="n">
        <v>46113</v>
      </c>
      <c r="B666" s="3" t="s">
        <v>845</v>
      </c>
      <c r="C666" s="0" t="n">
        <v>242</v>
      </c>
      <c r="D666" s="0" t="n">
        <v>3</v>
      </c>
      <c r="E666" s="0" t="str">
        <f aca="false">INDEX(lot!$B$2:$B$1201,MATCH(B666,lot!$A$2:$A$1201,0))</f>
        <v>SUP-C</v>
      </c>
      <c r="F666" s="3" t="n">
        <f aca="false">YEAR(A666)*100+MONTH(A666)</f>
        <v>202604</v>
      </c>
    </row>
    <row r="667" customFormat="false" ht="15" hidden="false" customHeight="false" outlineLevel="0" collapsed="false">
      <c r="A667" s="2" t="n">
        <v>46113</v>
      </c>
      <c r="B667" s="3" t="s">
        <v>845</v>
      </c>
      <c r="C667" s="0" t="n">
        <v>102</v>
      </c>
      <c r="D667" s="0" t="n">
        <v>2</v>
      </c>
      <c r="E667" s="0" t="str">
        <f aca="false">INDEX(lot!$B$2:$B$1201,MATCH(B667,lot!$A$2:$A$1201,0))</f>
        <v>SUP-C</v>
      </c>
      <c r="F667" s="3" t="n">
        <f aca="false">YEAR(A667)*100+MONTH(A667)</f>
        <v>202604</v>
      </c>
    </row>
    <row r="668" customFormat="false" ht="15" hidden="false" customHeight="false" outlineLevel="0" collapsed="false">
      <c r="A668" s="2" t="n">
        <v>46113</v>
      </c>
      <c r="B668" s="3" t="s">
        <v>852</v>
      </c>
      <c r="C668" s="0" t="n">
        <v>92</v>
      </c>
      <c r="D668" s="0" t="n">
        <v>1</v>
      </c>
      <c r="E668" s="0" t="str">
        <f aca="false">INDEX(lot!$B$2:$B$1201,MATCH(B668,lot!$A$2:$A$1201,0))</f>
        <v>SUP-E</v>
      </c>
      <c r="F668" s="3" t="n">
        <f aca="false">YEAR(A668)*100+MONTH(A668)</f>
        <v>202604</v>
      </c>
    </row>
    <row r="669" customFormat="false" ht="15" hidden="false" customHeight="false" outlineLevel="0" collapsed="false">
      <c r="A669" s="2" t="n">
        <v>46113</v>
      </c>
      <c r="B669" s="3" t="s">
        <v>852</v>
      </c>
      <c r="C669" s="0" t="n">
        <v>87</v>
      </c>
      <c r="D669" s="0" t="n">
        <v>0</v>
      </c>
      <c r="E669" s="0" t="str">
        <f aca="false">INDEX(lot!$B$2:$B$1201,MATCH(B669,lot!$A$2:$A$1201,0))</f>
        <v>SUP-E</v>
      </c>
      <c r="F669" s="3" t="n">
        <f aca="false">YEAR(A669)*100+MONTH(A669)</f>
        <v>202604</v>
      </c>
    </row>
    <row r="670" customFormat="false" ht="15" hidden="false" customHeight="false" outlineLevel="0" collapsed="false">
      <c r="A670" s="2" t="n">
        <v>46113</v>
      </c>
      <c r="B670" s="3" t="s">
        <v>891</v>
      </c>
      <c r="C670" s="0" t="n">
        <v>111</v>
      </c>
      <c r="D670" s="0" t="n">
        <v>3</v>
      </c>
      <c r="E670" s="0" t="str">
        <f aca="false">INDEX(lot!$B$2:$B$1201,MATCH(B670,lot!$A$2:$A$1201,0))</f>
        <v>SUP-A</v>
      </c>
      <c r="F670" s="3" t="n">
        <f aca="false">YEAR(A670)*100+MONTH(A670)</f>
        <v>202604</v>
      </c>
    </row>
    <row r="671" customFormat="false" ht="15" hidden="false" customHeight="false" outlineLevel="0" collapsed="false">
      <c r="A671" s="2" t="n">
        <v>46113</v>
      </c>
      <c r="B671" s="3" t="s">
        <v>906</v>
      </c>
      <c r="C671" s="0" t="n">
        <v>78</v>
      </c>
      <c r="D671" s="0" t="n">
        <v>2</v>
      </c>
      <c r="E671" s="0" t="str">
        <f aca="false">INDEX(lot!$B$2:$B$1201,MATCH(B671,lot!$A$2:$A$1201,0))</f>
        <v>SUP-E</v>
      </c>
      <c r="F671" s="3" t="n">
        <f aca="false">YEAR(A671)*100+MONTH(A671)</f>
        <v>202604</v>
      </c>
    </row>
    <row r="672" customFormat="false" ht="15" hidden="false" customHeight="false" outlineLevel="0" collapsed="false">
      <c r="A672" s="2" t="n">
        <v>46113</v>
      </c>
      <c r="B672" s="3" t="s">
        <v>906</v>
      </c>
      <c r="C672" s="0" t="n">
        <v>231</v>
      </c>
      <c r="D672" s="0" t="n">
        <v>2</v>
      </c>
      <c r="E672" s="0" t="str">
        <f aca="false">INDEX(lot!$B$2:$B$1201,MATCH(B672,lot!$A$2:$A$1201,0))</f>
        <v>SUP-E</v>
      </c>
      <c r="F672" s="3" t="n">
        <f aca="false">YEAR(A672)*100+MONTH(A672)</f>
        <v>202604</v>
      </c>
    </row>
    <row r="673" customFormat="false" ht="15" hidden="false" customHeight="false" outlineLevel="0" collapsed="false">
      <c r="A673" s="2" t="n">
        <v>46113</v>
      </c>
      <c r="B673" s="3" t="s">
        <v>1039</v>
      </c>
      <c r="C673" s="0" t="n">
        <v>101</v>
      </c>
      <c r="D673" s="0" t="n">
        <v>0</v>
      </c>
      <c r="E673" s="0" t="str">
        <f aca="false">INDEX(lot!$B$2:$B$1201,MATCH(B673,lot!$A$2:$A$1201,0))</f>
        <v>SUP-E</v>
      </c>
      <c r="F673" s="3" t="n">
        <f aca="false">YEAR(A673)*100+MONTH(A673)</f>
        <v>202604</v>
      </c>
    </row>
    <row r="674" customFormat="false" ht="15" hidden="false" customHeight="false" outlineLevel="0" collapsed="false">
      <c r="A674" s="2" t="n">
        <v>46113</v>
      </c>
      <c r="B674" s="3" t="s">
        <v>1039</v>
      </c>
      <c r="C674" s="0" t="n">
        <v>142</v>
      </c>
      <c r="D674" s="0" t="n">
        <v>1</v>
      </c>
      <c r="E674" s="0" t="str">
        <f aca="false">INDEX(lot!$B$2:$B$1201,MATCH(B674,lot!$A$2:$A$1201,0))</f>
        <v>SUP-E</v>
      </c>
      <c r="F674" s="3" t="n">
        <f aca="false">YEAR(A674)*100+MONTH(A674)</f>
        <v>202604</v>
      </c>
    </row>
    <row r="675" customFormat="false" ht="15" hidden="false" customHeight="false" outlineLevel="0" collapsed="false">
      <c r="A675" s="2" t="n">
        <v>46113</v>
      </c>
      <c r="B675" s="3" t="s">
        <v>1089</v>
      </c>
      <c r="C675" s="0" t="n">
        <v>100</v>
      </c>
      <c r="D675" s="0" t="n">
        <v>2</v>
      </c>
      <c r="E675" s="0" t="str">
        <f aca="false">INDEX(lot!$B$2:$B$1201,MATCH(B675,lot!$A$2:$A$1201,0))</f>
        <v>SUP-C</v>
      </c>
      <c r="F675" s="3" t="n">
        <f aca="false">YEAR(A675)*100+MONTH(A675)</f>
        <v>202604</v>
      </c>
    </row>
    <row r="676" customFormat="false" ht="15" hidden="false" customHeight="false" outlineLevel="0" collapsed="false">
      <c r="A676" s="2" t="n">
        <v>46113</v>
      </c>
      <c r="B676" s="3" t="s">
        <v>1101</v>
      </c>
      <c r="C676" s="0" t="n">
        <v>141</v>
      </c>
      <c r="D676" s="0" t="n">
        <v>1</v>
      </c>
      <c r="E676" s="0" t="str">
        <f aca="false">INDEX(lot!$B$2:$B$1201,MATCH(B676,lot!$A$2:$A$1201,0))</f>
        <v>SUP-D</v>
      </c>
      <c r="F676" s="3" t="n">
        <f aca="false">YEAR(A676)*100+MONTH(A676)</f>
        <v>202604</v>
      </c>
    </row>
    <row r="677" customFormat="false" ht="15" hidden="false" customHeight="false" outlineLevel="0" collapsed="false">
      <c r="A677" s="2" t="n">
        <v>46113</v>
      </c>
      <c r="B677" s="3" t="s">
        <v>1120</v>
      </c>
      <c r="C677" s="0" t="n">
        <v>120</v>
      </c>
      <c r="D677" s="0" t="n">
        <v>0</v>
      </c>
      <c r="E677" s="0" t="str">
        <f aca="false">INDEX(lot!$B$2:$B$1201,MATCH(B677,lot!$A$2:$A$1201,0))</f>
        <v>SUP-A</v>
      </c>
      <c r="F677" s="3" t="n">
        <f aca="false">YEAR(A677)*100+MONTH(A677)</f>
        <v>202604</v>
      </c>
    </row>
    <row r="678" customFormat="false" ht="15" hidden="false" customHeight="false" outlineLevel="0" collapsed="false">
      <c r="A678" s="2" t="n">
        <v>46113</v>
      </c>
      <c r="B678" s="3" t="s">
        <v>1120</v>
      </c>
      <c r="C678" s="0" t="n">
        <v>218</v>
      </c>
      <c r="D678" s="0" t="n">
        <v>3</v>
      </c>
      <c r="E678" s="0" t="str">
        <f aca="false">INDEX(lot!$B$2:$B$1201,MATCH(B678,lot!$A$2:$A$1201,0))</f>
        <v>SUP-A</v>
      </c>
      <c r="F678" s="3" t="n">
        <f aca="false">YEAR(A678)*100+MONTH(A678)</f>
        <v>202604</v>
      </c>
    </row>
    <row r="679" customFormat="false" ht="15" hidden="false" customHeight="false" outlineLevel="0" collapsed="false">
      <c r="A679" s="2" t="n">
        <v>46113</v>
      </c>
      <c r="B679" s="3" t="s">
        <v>1193</v>
      </c>
      <c r="C679" s="0" t="n">
        <v>140</v>
      </c>
      <c r="D679" s="0" t="n">
        <v>1</v>
      </c>
      <c r="E679" s="0" t="str">
        <f aca="false">INDEX(lot!$B$2:$B$1201,MATCH(B679,lot!$A$2:$A$1201,0))</f>
        <v>SUP-E</v>
      </c>
      <c r="F679" s="3" t="n">
        <f aca="false">YEAR(A679)*100+MONTH(A679)</f>
        <v>202604</v>
      </c>
    </row>
    <row r="680" customFormat="false" ht="15" hidden="false" customHeight="false" outlineLevel="0" collapsed="false">
      <c r="A680" s="2" t="n">
        <v>46113</v>
      </c>
      <c r="B680" s="3" t="s">
        <v>1210</v>
      </c>
      <c r="C680" s="0" t="n">
        <v>235</v>
      </c>
      <c r="D680" s="0" t="n">
        <v>0</v>
      </c>
      <c r="E680" s="0" t="str">
        <f aca="false">INDEX(lot!$B$2:$B$1201,MATCH(B680,lot!$A$2:$A$1201,0))</f>
        <v>SUP-E</v>
      </c>
      <c r="F680" s="3" t="n">
        <f aca="false">YEAR(A680)*100+MONTH(A680)</f>
        <v>202604</v>
      </c>
    </row>
    <row r="681" customFormat="false" ht="15" hidden="false" customHeight="false" outlineLevel="0" collapsed="false">
      <c r="A681" s="2" t="n">
        <v>46113</v>
      </c>
      <c r="B681" s="3" t="s">
        <v>1210</v>
      </c>
      <c r="C681" s="0" t="n">
        <v>118</v>
      </c>
      <c r="D681" s="0" t="n">
        <v>0</v>
      </c>
      <c r="E681" s="0" t="str">
        <f aca="false">INDEX(lot!$B$2:$B$1201,MATCH(B681,lot!$A$2:$A$1201,0))</f>
        <v>SUP-E</v>
      </c>
      <c r="F681" s="3" t="n">
        <f aca="false">YEAR(A681)*100+MONTH(A681)</f>
        <v>202604</v>
      </c>
    </row>
    <row r="682" customFormat="false" ht="15" hidden="false" customHeight="false" outlineLevel="0" collapsed="false">
      <c r="A682" s="2" t="n">
        <v>46114</v>
      </c>
      <c r="B682" s="3" t="s">
        <v>94</v>
      </c>
      <c r="C682" s="0" t="n">
        <v>189</v>
      </c>
      <c r="D682" s="0" t="n">
        <v>3</v>
      </c>
      <c r="E682" s="0" t="str">
        <f aca="false">INDEX(lot!$B$2:$B$1201,MATCH(B682,lot!$A$2:$A$1201,0))</f>
        <v>SUP-E</v>
      </c>
      <c r="F682" s="3" t="n">
        <f aca="false">YEAR(A682)*100+MONTH(A682)</f>
        <v>202604</v>
      </c>
    </row>
    <row r="683" customFormat="false" ht="15" hidden="false" customHeight="false" outlineLevel="0" collapsed="false">
      <c r="A683" s="2" t="n">
        <v>46114</v>
      </c>
      <c r="B683" s="3" t="s">
        <v>143</v>
      </c>
      <c r="C683" s="0" t="n">
        <v>155</v>
      </c>
      <c r="D683" s="0" t="n">
        <v>2</v>
      </c>
      <c r="E683" s="0" t="str">
        <f aca="false">INDEX(lot!$B$2:$B$1201,MATCH(B683,lot!$A$2:$A$1201,0))</f>
        <v>SUP-E</v>
      </c>
      <c r="F683" s="3" t="n">
        <f aca="false">YEAR(A683)*100+MONTH(A683)</f>
        <v>202604</v>
      </c>
    </row>
    <row r="684" customFormat="false" ht="15" hidden="false" customHeight="false" outlineLevel="0" collapsed="false">
      <c r="A684" s="2" t="n">
        <v>46114</v>
      </c>
      <c r="B684" s="3" t="s">
        <v>240</v>
      </c>
      <c r="C684" s="0" t="n">
        <v>172</v>
      </c>
      <c r="D684" s="0" t="n">
        <v>1</v>
      </c>
      <c r="E684" s="0" t="str">
        <f aca="false">INDEX(lot!$B$2:$B$1201,MATCH(B684,lot!$A$2:$A$1201,0))</f>
        <v>SUP-C</v>
      </c>
      <c r="F684" s="3" t="n">
        <f aca="false">YEAR(A684)*100+MONTH(A684)</f>
        <v>202604</v>
      </c>
    </row>
    <row r="685" customFormat="false" ht="15" hidden="false" customHeight="false" outlineLevel="0" collapsed="false">
      <c r="A685" s="2" t="n">
        <v>46114</v>
      </c>
      <c r="B685" s="3" t="s">
        <v>240</v>
      </c>
      <c r="C685" s="0" t="n">
        <v>186</v>
      </c>
      <c r="D685" s="0" t="n">
        <v>3</v>
      </c>
      <c r="E685" s="0" t="str">
        <f aca="false">INDEX(lot!$B$2:$B$1201,MATCH(B685,lot!$A$2:$A$1201,0))</f>
        <v>SUP-C</v>
      </c>
      <c r="F685" s="3" t="n">
        <f aca="false">YEAR(A685)*100+MONTH(A685)</f>
        <v>202604</v>
      </c>
    </row>
    <row r="686" customFormat="false" ht="15" hidden="false" customHeight="false" outlineLevel="0" collapsed="false">
      <c r="A686" s="2" t="n">
        <v>46114</v>
      </c>
      <c r="B686" s="3" t="s">
        <v>260</v>
      </c>
      <c r="C686" s="0" t="n">
        <v>82</v>
      </c>
      <c r="D686" s="0" t="n">
        <v>1</v>
      </c>
      <c r="E686" s="0" t="str">
        <f aca="false">INDEX(lot!$B$2:$B$1201,MATCH(B686,lot!$A$2:$A$1201,0))</f>
        <v>SUP-A</v>
      </c>
      <c r="F686" s="3" t="n">
        <f aca="false">YEAR(A686)*100+MONTH(A686)</f>
        <v>202604</v>
      </c>
    </row>
    <row r="687" customFormat="false" ht="15" hidden="false" customHeight="false" outlineLevel="0" collapsed="false">
      <c r="A687" s="2" t="n">
        <v>46114</v>
      </c>
      <c r="B687" s="3" t="s">
        <v>260</v>
      </c>
      <c r="C687" s="0" t="n">
        <v>201</v>
      </c>
      <c r="D687" s="0" t="n">
        <v>2</v>
      </c>
      <c r="E687" s="0" t="str">
        <f aca="false">INDEX(lot!$B$2:$B$1201,MATCH(B687,lot!$A$2:$A$1201,0))</f>
        <v>SUP-A</v>
      </c>
      <c r="F687" s="3" t="n">
        <f aca="false">YEAR(A687)*100+MONTH(A687)</f>
        <v>202604</v>
      </c>
    </row>
    <row r="688" customFormat="false" ht="15" hidden="false" customHeight="false" outlineLevel="0" collapsed="false">
      <c r="A688" s="2" t="n">
        <v>46114</v>
      </c>
      <c r="B688" s="3" t="s">
        <v>356</v>
      </c>
      <c r="C688" s="0" t="n">
        <v>136</v>
      </c>
      <c r="D688" s="0" t="n">
        <v>1</v>
      </c>
      <c r="E688" s="0" t="str">
        <f aca="false">INDEX(lot!$B$2:$B$1201,MATCH(B688,lot!$A$2:$A$1201,0))</f>
        <v>SUP-A</v>
      </c>
      <c r="F688" s="3" t="n">
        <f aca="false">YEAR(A688)*100+MONTH(A688)</f>
        <v>202604</v>
      </c>
    </row>
    <row r="689" customFormat="false" ht="15" hidden="false" customHeight="false" outlineLevel="0" collapsed="false">
      <c r="A689" s="2" t="n">
        <v>46114</v>
      </c>
      <c r="B689" s="3" t="s">
        <v>356</v>
      </c>
      <c r="C689" s="0" t="n">
        <v>80</v>
      </c>
      <c r="D689" s="0" t="n">
        <v>0</v>
      </c>
      <c r="E689" s="0" t="str">
        <f aca="false">INDEX(lot!$B$2:$B$1201,MATCH(B689,lot!$A$2:$A$1201,0))</f>
        <v>SUP-A</v>
      </c>
      <c r="F689" s="3" t="n">
        <f aca="false">YEAR(A689)*100+MONTH(A689)</f>
        <v>202604</v>
      </c>
    </row>
    <row r="690" customFormat="false" ht="15" hidden="false" customHeight="false" outlineLevel="0" collapsed="false">
      <c r="A690" s="2" t="n">
        <v>46114</v>
      </c>
      <c r="B690" s="3" t="s">
        <v>382</v>
      </c>
      <c r="C690" s="0" t="n">
        <v>237</v>
      </c>
      <c r="D690" s="0" t="n">
        <v>1</v>
      </c>
      <c r="E690" s="0" t="str">
        <f aca="false">INDEX(lot!$B$2:$B$1201,MATCH(B690,lot!$A$2:$A$1201,0))</f>
        <v>SUP-B</v>
      </c>
      <c r="F690" s="3" t="n">
        <f aca="false">YEAR(A690)*100+MONTH(A690)</f>
        <v>202604</v>
      </c>
    </row>
    <row r="691" customFormat="false" ht="15" hidden="false" customHeight="false" outlineLevel="0" collapsed="false">
      <c r="A691" s="2" t="n">
        <v>46114</v>
      </c>
      <c r="B691" s="3" t="s">
        <v>550</v>
      </c>
      <c r="C691" s="0" t="n">
        <v>211</v>
      </c>
      <c r="D691" s="0" t="n">
        <v>9</v>
      </c>
      <c r="E691" s="0" t="str">
        <f aca="false">INDEX(lot!$B$2:$B$1201,MATCH(B691,lot!$A$2:$A$1201,0))</f>
        <v>SUP-D</v>
      </c>
      <c r="F691" s="3" t="n">
        <f aca="false">YEAR(A691)*100+MONTH(A691)</f>
        <v>202604</v>
      </c>
    </row>
    <row r="692" customFormat="false" ht="15" hidden="false" customHeight="false" outlineLevel="0" collapsed="false">
      <c r="A692" s="2" t="n">
        <v>46114</v>
      </c>
      <c r="B692" s="3" t="s">
        <v>550</v>
      </c>
      <c r="C692" s="0" t="n">
        <v>207</v>
      </c>
      <c r="D692" s="0" t="n">
        <v>16</v>
      </c>
      <c r="E692" s="0" t="str">
        <f aca="false">INDEX(lot!$B$2:$B$1201,MATCH(B692,lot!$A$2:$A$1201,0))</f>
        <v>SUP-D</v>
      </c>
      <c r="F692" s="3" t="n">
        <f aca="false">YEAR(A692)*100+MONTH(A692)</f>
        <v>202604</v>
      </c>
    </row>
    <row r="693" customFormat="false" ht="15" hidden="false" customHeight="false" outlineLevel="0" collapsed="false">
      <c r="A693" s="2" t="n">
        <v>46114</v>
      </c>
      <c r="B693" s="3" t="s">
        <v>623</v>
      </c>
      <c r="C693" s="0" t="n">
        <v>101</v>
      </c>
      <c r="D693" s="0" t="n">
        <v>3</v>
      </c>
      <c r="E693" s="0" t="str">
        <f aca="false">INDEX(lot!$B$2:$B$1201,MATCH(B693,lot!$A$2:$A$1201,0))</f>
        <v>SUP-D</v>
      </c>
      <c r="F693" s="3" t="n">
        <f aca="false">YEAR(A693)*100+MONTH(A693)</f>
        <v>202604</v>
      </c>
    </row>
    <row r="694" customFormat="false" ht="15" hidden="false" customHeight="false" outlineLevel="0" collapsed="false">
      <c r="A694" s="2" t="n">
        <v>46114</v>
      </c>
      <c r="B694" s="3" t="s">
        <v>623</v>
      </c>
      <c r="C694" s="0" t="n">
        <v>69</v>
      </c>
      <c r="D694" s="0" t="n">
        <v>4</v>
      </c>
      <c r="E694" s="0" t="str">
        <f aca="false">INDEX(lot!$B$2:$B$1201,MATCH(B694,lot!$A$2:$A$1201,0))</f>
        <v>SUP-D</v>
      </c>
      <c r="F694" s="3" t="n">
        <f aca="false">YEAR(A694)*100+MONTH(A694)</f>
        <v>202604</v>
      </c>
    </row>
    <row r="695" customFormat="false" ht="15" hidden="false" customHeight="false" outlineLevel="0" collapsed="false">
      <c r="A695" s="2" t="n">
        <v>46114</v>
      </c>
      <c r="B695" s="3" t="s">
        <v>633</v>
      </c>
      <c r="C695" s="0" t="n">
        <v>76</v>
      </c>
      <c r="D695" s="0" t="n">
        <v>0</v>
      </c>
      <c r="E695" s="0" t="str">
        <f aca="false">INDEX(lot!$B$2:$B$1201,MATCH(B695,lot!$A$2:$A$1201,0))</f>
        <v>SUP-E</v>
      </c>
      <c r="F695" s="3" t="n">
        <f aca="false">YEAR(A695)*100+MONTH(A695)</f>
        <v>202604</v>
      </c>
    </row>
    <row r="696" customFormat="false" ht="15" hidden="false" customHeight="false" outlineLevel="0" collapsed="false">
      <c r="A696" s="2" t="n">
        <v>46114</v>
      </c>
      <c r="B696" s="3" t="s">
        <v>633</v>
      </c>
      <c r="C696" s="0" t="n">
        <v>175</v>
      </c>
      <c r="D696" s="0" t="n">
        <v>1</v>
      </c>
      <c r="E696" s="0" t="str">
        <f aca="false">INDEX(lot!$B$2:$B$1201,MATCH(B696,lot!$A$2:$A$1201,0))</f>
        <v>SUP-E</v>
      </c>
      <c r="F696" s="3" t="n">
        <f aca="false">YEAR(A696)*100+MONTH(A696)</f>
        <v>202604</v>
      </c>
    </row>
    <row r="697" customFormat="false" ht="15" hidden="false" customHeight="false" outlineLevel="0" collapsed="false">
      <c r="A697" s="2" t="n">
        <v>46114</v>
      </c>
      <c r="B697" s="3" t="s">
        <v>659</v>
      </c>
      <c r="C697" s="0" t="n">
        <v>238</v>
      </c>
      <c r="D697" s="0" t="n">
        <v>3</v>
      </c>
      <c r="E697" s="0" t="str">
        <f aca="false">INDEX(lot!$B$2:$B$1201,MATCH(B697,lot!$A$2:$A$1201,0))</f>
        <v>SUP-E</v>
      </c>
      <c r="F697" s="3" t="n">
        <f aca="false">YEAR(A697)*100+MONTH(A697)</f>
        <v>202604</v>
      </c>
    </row>
    <row r="698" customFormat="false" ht="15" hidden="false" customHeight="false" outlineLevel="0" collapsed="false">
      <c r="A698" s="2" t="n">
        <v>46114</v>
      </c>
      <c r="B698" s="3" t="s">
        <v>711</v>
      </c>
      <c r="C698" s="0" t="n">
        <v>156</v>
      </c>
      <c r="D698" s="0" t="n">
        <v>2</v>
      </c>
      <c r="E698" s="0" t="str">
        <f aca="false">INDEX(lot!$B$2:$B$1201,MATCH(B698,lot!$A$2:$A$1201,0))</f>
        <v>SUP-E</v>
      </c>
      <c r="F698" s="3" t="n">
        <f aca="false">YEAR(A698)*100+MONTH(A698)</f>
        <v>202604</v>
      </c>
    </row>
    <row r="699" customFormat="false" ht="15" hidden="false" customHeight="false" outlineLevel="0" collapsed="false">
      <c r="A699" s="2" t="n">
        <v>46114</v>
      </c>
      <c r="B699" s="3" t="s">
        <v>712</v>
      </c>
      <c r="C699" s="0" t="n">
        <v>165</v>
      </c>
      <c r="D699" s="0" t="n">
        <v>10</v>
      </c>
      <c r="E699" s="0" t="str">
        <f aca="false">INDEX(lot!$B$2:$B$1201,MATCH(B699,lot!$A$2:$A$1201,0))</f>
        <v>SUP-E</v>
      </c>
      <c r="F699" s="3" t="n">
        <f aca="false">YEAR(A699)*100+MONTH(A699)</f>
        <v>202604</v>
      </c>
    </row>
    <row r="700" customFormat="false" ht="15" hidden="false" customHeight="false" outlineLevel="0" collapsed="false">
      <c r="A700" s="2" t="n">
        <v>46114</v>
      </c>
      <c r="B700" s="3" t="s">
        <v>738</v>
      </c>
      <c r="C700" s="0" t="n">
        <v>123</v>
      </c>
      <c r="D700" s="0" t="n">
        <v>2</v>
      </c>
      <c r="E700" s="0" t="str">
        <f aca="false">INDEX(lot!$B$2:$B$1201,MATCH(B700,lot!$A$2:$A$1201,0))</f>
        <v>SUP-A</v>
      </c>
      <c r="F700" s="3" t="n">
        <f aca="false">YEAR(A700)*100+MONTH(A700)</f>
        <v>202604</v>
      </c>
    </row>
    <row r="701" customFormat="false" ht="15" hidden="false" customHeight="false" outlineLevel="0" collapsed="false">
      <c r="A701" s="2" t="n">
        <v>46114</v>
      </c>
      <c r="B701" s="3" t="s">
        <v>758</v>
      </c>
      <c r="C701" s="0" t="n">
        <v>124</v>
      </c>
      <c r="D701" s="0" t="n">
        <v>0</v>
      </c>
      <c r="E701" s="0" t="str">
        <f aca="false">INDEX(lot!$B$2:$B$1201,MATCH(B701,lot!$A$2:$A$1201,0))</f>
        <v>SUP-D</v>
      </c>
      <c r="F701" s="3" t="n">
        <f aca="false">YEAR(A701)*100+MONTH(A701)</f>
        <v>202604</v>
      </c>
    </row>
    <row r="702" customFormat="false" ht="15" hidden="false" customHeight="false" outlineLevel="0" collapsed="false">
      <c r="A702" s="2" t="n">
        <v>46114</v>
      </c>
      <c r="B702" s="3" t="s">
        <v>758</v>
      </c>
      <c r="C702" s="0" t="n">
        <v>144</v>
      </c>
      <c r="D702" s="0" t="n">
        <v>2</v>
      </c>
      <c r="E702" s="0" t="str">
        <f aca="false">INDEX(lot!$B$2:$B$1201,MATCH(B702,lot!$A$2:$A$1201,0))</f>
        <v>SUP-D</v>
      </c>
      <c r="F702" s="3" t="n">
        <f aca="false">YEAR(A702)*100+MONTH(A702)</f>
        <v>202604</v>
      </c>
    </row>
    <row r="703" customFormat="false" ht="15" hidden="false" customHeight="false" outlineLevel="0" collapsed="false">
      <c r="A703" s="2" t="n">
        <v>46114</v>
      </c>
      <c r="B703" s="3" t="s">
        <v>801</v>
      </c>
      <c r="C703" s="0" t="n">
        <v>119</v>
      </c>
      <c r="D703" s="0" t="n">
        <v>2</v>
      </c>
      <c r="E703" s="0" t="str">
        <f aca="false">INDEX(lot!$B$2:$B$1201,MATCH(B703,lot!$A$2:$A$1201,0))</f>
        <v>SUP-D</v>
      </c>
      <c r="F703" s="3" t="n">
        <f aca="false">YEAR(A703)*100+MONTH(A703)</f>
        <v>202604</v>
      </c>
    </row>
    <row r="704" customFormat="false" ht="15" hidden="false" customHeight="false" outlineLevel="0" collapsed="false">
      <c r="A704" s="2" t="n">
        <v>46114</v>
      </c>
      <c r="B704" s="3" t="s">
        <v>801</v>
      </c>
      <c r="C704" s="0" t="n">
        <v>128</v>
      </c>
      <c r="D704" s="0" t="n">
        <v>1</v>
      </c>
      <c r="E704" s="0" t="str">
        <f aca="false">INDEX(lot!$B$2:$B$1201,MATCH(B704,lot!$A$2:$A$1201,0))</f>
        <v>SUP-D</v>
      </c>
      <c r="F704" s="3" t="n">
        <f aca="false">YEAR(A704)*100+MONTH(A704)</f>
        <v>202604</v>
      </c>
    </row>
    <row r="705" customFormat="false" ht="15" hidden="false" customHeight="false" outlineLevel="0" collapsed="false">
      <c r="A705" s="2" t="n">
        <v>46114</v>
      </c>
      <c r="B705" s="3" t="s">
        <v>891</v>
      </c>
      <c r="C705" s="0" t="n">
        <v>136</v>
      </c>
      <c r="D705" s="0" t="n">
        <v>2</v>
      </c>
      <c r="E705" s="0" t="str">
        <f aca="false">INDEX(lot!$B$2:$B$1201,MATCH(B705,lot!$A$2:$A$1201,0))</f>
        <v>SUP-A</v>
      </c>
      <c r="F705" s="3" t="n">
        <f aca="false">YEAR(A705)*100+MONTH(A705)</f>
        <v>202604</v>
      </c>
    </row>
    <row r="706" customFormat="false" ht="15" hidden="false" customHeight="false" outlineLevel="0" collapsed="false">
      <c r="A706" s="2" t="n">
        <v>46114</v>
      </c>
      <c r="B706" s="3" t="s">
        <v>891</v>
      </c>
      <c r="C706" s="0" t="n">
        <v>117</v>
      </c>
      <c r="D706" s="0" t="n">
        <v>0</v>
      </c>
      <c r="E706" s="0" t="str">
        <f aca="false">INDEX(lot!$B$2:$B$1201,MATCH(B706,lot!$A$2:$A$1201,0))</f>
        <v>SUP-A</v>
      </c>
      <c r="F706" s="3" t="n">
        <f aca="false">YEAR(A706)*100+MONTH(A706)</f>
        <v>202604</v>
      </c>
    </row>
    <row r="707" customFormat="false" ht="15" hidden="false" customHeight="false" outlineLevel="0" collapsed="false">
      <c r="A707" s="2" t="n">
        <v>46114</v>
      </c>
      <c r="B707" s="3" t="s">
        <v>906</v>
      </c>
      <c r="C707" s="0" t="n">
        <v>190</v>
      </c>
      <c r="D707" s="0" t="n">
        <v>2</v>
      </c>
      <c r="E707" s="0" t="str">
        <f aca="false">INDEX(lot!$B$2:$B$1201,MATCH(B707,lot!$A$2:$A$1201,0))</f>
        <v>SUP-E</v>
      </c>
      <c r="F707" s="3" t="n">
        <f aca="false">YEAR(A707)*100+MONTH(A707)</f>
        <v>202604</v>
      </c>
    </row>
    <row r="708" customFormat="false" ht="15" hidden="false" customHeight="false" outlineLevel="0" collapsed="false">
      <c r="A708" s="2" t="n">
        <v>46114</v>
      </c>
      <c r="B708" s="3" t="s">
        <v>1039</v>
      </c>
      <c r="C708" s="0" t="n">
        <v>191</v>
      </c>
      <c r="D708" s="0" t="n">
        <v>1</v>
      </c>
      <c r="E708" s="0" t="str">
        <f aca="false">INDEX(lot!$B$2:$B$1201,MATCH(B708,lot!$A$2:$A$1201,0))</f>
        <v>SUP-E</v>
      </c>
      <c r="F708" s="3" t="n">
        <f aca="false">YEAR(A708)*100+MONTH(A708)</f>
        <v>202604</v>
      </c>
    </row>
    <row r="709" customFormat="false" ht="15" hidden="false" customHeight="false" outlineLevel="0" collapsed="false">
      <c r="A709" s="2" t="n">
        <v>46114</v>
      </c>
      <c r="B709" s="3" t="s">
        <v>1101</v>
      </c>
      <c r="C709" s="0" t="n">
        <v>123</v>
      </c>
      <c r="D709" s="0" t="n">
        <v>1</v>
      </c>
      <c r="E709" s="0" t="str">
        <f aca="false">INDEX(lot!$B$2:$B$1201,MATCH(B709,lot!$A$2:$A$1201,0))</f>
        <v>SUP-D</v>
      </c>
      <c r="F709" s="3" t="n">
        <f aca="false">YEAR(A709)*100+MONTH(A709)</f>
        <v>202604</v>
      </c>
    </row>
    <row r="710" customFormat="false" ht="15" hidden="false" customHeight="false" outlineLevel="0" collapsed="false">
      <c r="A710" s="2" t="n">
        <v>46114</v>
      </c>
      <c r="B710" s="3" t="s">
        <v>1101</v>
      </c>
      <c r="C710" s="0" t="n">
        <v>120</v>
      </c>
      <c r="D710" s="0" t="n">
        <v>1</v>
      </c>
      <c r="E710" s="0" t="str">
        <f aca="false">INDEX(lot!$B$2:$B$1201,MATCH(B710,lot!$A$2:$A$1201,0))</f>
        <v>SUP-D</v>
      </c>
      <c r="F710" s="3" t="n">
        <f aca="false">YEAR(A710)*100+MONTH(A710)</f>
        <v>202604</v>
      </c>
    </row>
    <row r="711" customFormat="false" ht="15" hidden="false" customHeight="false" outlineLevel="0" collapsed="false">
      <c r="A711" s="2" t="n">
        <v>46114</v>
      </c>
      <c r="B711" s="3" t="s">
        <v>1103</v>
      </c>
      <c r="C711" s="0" t="n">
        <v>89</v>
      </c>
      <c r="D711" s="0" t="n">
        <v>0</v>
      </c>
      <c r="E711" s="0" t="str">
        <f aca="false">INDEX(lot!$B$2:$B$1201,MATCH(B711,lot!$A$2:$A$1201,0))</f>
        <v>SUP-B</v>
      </c>
      <c r="F711" s="3" t="n">
        <f aca="false">YEAR(A711)*100+MONTH(A711)</f>
        <v>202604</v>
      </c>
    </row>
    <row r="712" customFormat="false" ht="15" hidden="false" customHeight="false" outlineLevel="0" collapsed="false">
      <c r="A712" s="2" t="n">
        <v>46114</v>
      </c>
      <c r="B712" s="3" t="s">
        <v>1120</v>
      </c>
      <c r="C712" s="0" t="n">
        <v>171</v>
      </c>
      <c r="D712" s="0" t="n">
        <v>2</v>
      </c>
      <c r="E712" s="0" t="str">
        <f aca="false">INDEX(lot!$B$2:$B$1201,MATCH(B712,lot!$A$2:$A$1201,0))</f>
        <v>SUP-A</v>
      </c>
      <c r="F712" s="3" t="n">
        <f aca="false">YEAR(A712)*100+MONTH(A712)</f>
        <v>202604</v>
      </c>
    </row>
    <row r="713" customFormat="false" ht="15" hidden="false" customHeight="false" outlineLevel="0" collapsed="false">
      <c r="A713" s="2" t="n">
        <v>46114</v>
      </c>
      <c r="B713" s="3" t="s">
        <v>1120</v>
      </c>
      <c r="C713" s="0" t="n">
        <v>100</v>
      </c>
      <c r="D713" s="0" t="n">
        <v>1</v>
      </c>
      <c r="E713" s="0" t="str">
        <f aca="false">INDEX(lot!$B$2:$B$1201,MATCH(B713,lot!$A$2:$A$1201,0))</f>
        <v>SUP-A</v>
      </c>
      <c r="F713" s="3" t="n">
        <f aca="false">YEAR(A713)*100+MONTH(A713)</f>
        <v>202604</v>
      </c>
    </row>
    <row r="714" customFormat="false" ht="15" hidden="false" customHeight="false" outlineLevel="0" collapsed="false">
      <c r="A714" s="2" t="n">
        <v>46114</v>
      </c>
      <c r="B714" s="3" t="s">
        <v>1180</v>
      </c>
      <c r="C714" s="0" t="n">
        <v>63</v>
      </c>
      <c r="D714" s="0" t="n">
        <v>3</v>
      </c>
      <c r="E714" s="0" t="str">
        <f aca="false">INDEX(lot!$B$2:$B$1201,MATCH(B714,lot!$A$2:$A$1201,0))</f>
        <v>SUP-D</v>
      </c>
      <c r="F714" s="3" t="n">
        <f aca="false">YEAR(A714)*100+MONTH(A714)</f>
        <v>202604</v>
      </c>
    </row>
    <row r="715" customFormat="false" ht="15" hidden="false" customHeight="false" outlineLevel="0" collapsed="false">
      <c r="A715" s="2" t="n">
        <v>46114</v>
      </c>
      <c r="B715" s="3" t="s">
        <v>1193</v>
      </c>
      <c r="C715" s="0" t="n">
        <v>72</v>
      </c>
      <c r="D715" s="0" t="n">
        <v>0</v>
      </c>
      <c r="E715" s="0" t="str">
        <f aca="false">INDEX(lot!$B$2:$B$1201,MATCH(B715,lot!$A$2:$A$1201,0))</f>
        <v>SUP-E</v>
      </c>
      <c r="F715" s="3" t="n">
        <f aca="false">YEAR(A715)*100+MONTH(A715)</f>
        <v>202604</v>
      </c>
    </row>
    <row r="716" customFormat="false" ht="15" hidden="false" customHeight="false" outlineLevel="0" collapsed="false">
      <c r="A716" s="2" t="n">
        <v>46114</v>
      </c>
      <c r="B716" s="3" t="s">
        <v>1193</v>
      </c>
      <c r="C716" s="0" t="n">
        <v>79</v>
      </c>
      <c r="D716" s="0" t="n">
        <v>1</v>
      </c>
      <c r="E716" s="0" t="str">
        <f aca="false">INDEX(lot!$B$2:$B$1201,MATCH(B716,lot!$A$2:$A$1201,0))</f>
        <v>SUP-E</v>
      </c>
      <c r="F716" s="3" t="n">
        <f aca="false">YEAR(A716)*100+MONTH(A716)</f>
        <v>202604</v>
      </c>
    </row>
    <row r="717" customFormat="false" ht="15" hidden="false" customHeight="false" outlineLevel="0" collapsed="false">
      <c r="A717" s="2" t="n">
        <v>46114</v>
      </c>
      <c r="B717" s="3" t="s">
        <v>1210</v>
      </c>
      <c r="C717" s="0" t="n">
        <v>14</v>
      </c>
      <c r="D717" s="0" t="n">
        <v>0</v>
      </c>
      <c r="E717" s="0" t="str">
        <f aca="false">INDEX(lot!$B$2:$B$1201,MATCH(B717,lot!$A$2:$A$1201,0))</f>
        <v>SUP-E</v>
      </c>
      <c r="F717" s="3" t="n">
        <f aca="false">YEAR(A717)*100+MONTH(A717)</f>
        <v>202604</v>
      </c>
    </row>
    <row r="718" customFormat="false" ht="15" hidden="false" customHeight="false" outlineLevel="0" collapsed="false">
      <c r="A718" s="2" t="n">
        <v>46115</v>
      </c>
      <c r="B718" s="3" t="s">
        <v>63</v>
      </c>
      <c r="C718" s="0" t="n">
        <v>143</v>
      </c>
      <c r="D718" s="0" t="n">
        <v>4</v>
      </c>
      <c r="E718" s="0" t="str">
        <f aca="false">INDEX(lot!$B$2:$B$1201,MATCH(B718,lot!$A$2:$A$1201,0))</f>
        <v>SUP-C</v>
      </c>
      <c r="F718" s="3" t="n">
        <f aca="false">YEAR(A718)*100+MONTH(A718)</f>
        <v>202604</v>
      </c>
    </row>
    <row r="719" customFormat="false" ht="15" hidden="false" customHeight="false" outlineLevel="0" collapsed="false">
      <c r="A719" s="2" t="n">
        <v>46115</v>
      </c>
      <c r="B719" s="3" t="s">
        <v>175</v>
      </c>
      <c r="C719" s="0" t="n">
        <v>215</v>
      </c>
      <c r="D719" s="0" t="n">
        <v>1</v>
      </c>
      <c r="E719" s="0" t="str">
        <f aca="false">INDEX(lot!$B$2:$B$1201,MATCH(B719,lot!$A$2:$A$1201,0))</f>
        <v>SUP-D</v>
      </c>
      <c r="F719" s="3" t="n">
        <f aca="false">YEAR(A719)*100+MONTH(A719)</f>
        <v>202604</v>
      </c>
    </row>
    <row r="720" customFormat="false" ht="15" hidden="false" customHeight="false" outlineLevel="0" collapsed="false">
      <c r="A720" s="2" t="n">
        <v>46115</v>
      </c>
      <c r="B720" s="3" t="s">
        <v>175</v>
      </c>
      <c r="C720" s="0" t="n">
        <v>191</v>
      </c>
      <c r="D720" s="0" t="n">
        <v>3</v>
      </c>
      <c r="E720" s="0" t="str">
        <f aca="false">INDEX(lot!$B$2:$B$1201,MATCH(B720,lot!$A$2:$A$1201,0))</f>
        <v>SUP-D</v>
      </c>
      <c r="F720" s="3" t="n">
        <f aca="false">YEAR(A720)*100+MONTH(A720)</f>
        <v>202604</v>
      </c>
    </row>
    <row r="721" customFormat="false" ht="15" hidden="false" customHeight="false" outlineLevel="0" collapsed="false">
      <c r="A721" s="2" t="n">
        <v>46115</v>
      </c>
      <c r="B721" s="3" t="s">
        <v>209</v>
      </c>
      <c r="C721" s="0" t="n">
        <v>140</v>
      </c>
      <c r="D721" s="0" t="n">
        <v>11</v>
      </c>
      <c r="E721" s="0" t="str">
        <f aca="false">INDEX(lot!$B$2:$B$1201,MATCH(B721,lot!$A$2:$A$1201,0))</f>
        <v>SUP-E</v>
      </c>
      <c r="F721" s="3" t="n">
        <f aca="false">YEAR(A721)*100+MONTH(A721)</f>
        <v>202604</v>
      </c>
    </row>
    <row r="722" customFormat="false" ht="15" hidden="false" customHeight="false" outlineLevel="0" collapsed="false">
      <c r="A722" s="2" t="n">
        <v>46115</v>
      </c>
      <c r="B722" s="3" t="s">
        <v>209</v>
      </c>
      <c r="C722" s="0" t="n">
        <v>149</v>
      </c>
      <c r="D722" s="0" t="n">
        <v>10</v>
      </c>
      <c r="E722" s="0" t="str">
        <f aca="false">INDEX(lot!$B$2:$B$1201,MATCH(B722,lot!$A$2:$A$1201,0))</f>
        <v>SUP-E</v>
      </c>
      <c r="F722" s="3" t="n">
        <f aca="false">YEAR(A722)*100+MONTH(A722)</f>
        <v>202604</v>
      </c>
    </row>
    <row r="723" customFormat="false" ht="15" hidden="false" customHeight="false" outlineLevel="0" collapsed="false">
      <c r="A723" s="2" t="n">
        <v>46115</v>
      </c>
      <c r="B723" s="3" t="s">
        <v>240</v>
      </c>
      <c r="C723" s="0" t="n">
        <v>150</v>
      </c>
      <c r="D723" s="0" t="n">
        <v>4</v>
      </c>
      <c r="E723" s="0" t="str">
        <f aca="false">INDEX(lot!$B$2:$B$1201,MATCH(B723,lot!$A$2:$A$1201,0))</f>
        <v>SUP-C</v>
      </c>
      <c r="F723" s="3" t="n">
        <f aca="false">YEAR(A723)*100+MONTH(A723)</f>
        <v>202604</v>
      </c>
    </row>
    <row r="724" customFormat="false" ht="15" hidden="false" customHeight="false" outlineLevel="0" collapsed="false">
      <c r="A724" s="2" t="n">
        <v>46115</v>
      </c>
      <c r="B724" s="3" t="s">
        <v>240</v>
      </c>
      <c r="C724" s="0" t="n">
        <v>128</v>
      </c>
      <c r="D724" s="0" t="n">
        <v>3</v>
      </c>
      <c r="E724" s="0" t="str">
        <f aca="false">INDEX(lot!$B$2:$B$1201,MATCH(B724,lot!$A$2:$A$1201,0))</f>
        <v>SUP-C</v>
      </c>
      <c r="F724" s="3" t="n">
        <f aca="false">YEAR(A724)*100+MONTH(A724)</f>
        <v>202604</v>
      </c>
    </row>
    <row r="725" customFormat="false" ht="15" hidden="false" customHeight="false" outlineLevel="0" collapsed="false">
      <c r="A725" s="2" t="n">
        <v>46115</v>
      </c>
      <c r="B725" s="3" t="s">
        <v>356</v>
      </c>
      <c r="C725" s="0" t="n">
        <v>144</v>
      </c>
      <c r="D725" s="0" t="n">
        <v>0</v>
      </c>
      <c r="E725" s="0" t="str">
        <f aca="false">INDEX(lot!$B$2:$B$1201,MATCH(B725,lot!$A$2:$A$1201,0))</f>
        <v>SUP-A</v>
      </c>
      <c r="F725" s="3" t="n">
        <f aca="false">YEAR(A725)*100+MONTH(A725)</f>
        <v>202604</v>
      </c>
    </row>
    <row r="726" customFormat="false" ht="15" hidden="false" customHeight="false" outlineLevel="0" collapsed="false">
      <c r="A726" s="2" t="n">
        <v>46115</v>
      </c>
      <c r="B726" s="3" t="s">
        <v>382</v>
      </c>
      <c r="C726" s="0" t="n">
        <v>239</v>
      </c>
      <c r="D726" s="0" t="n">
        <v>5</v>
      </c>
      <c r="E726" s="0" t="str">
        <f aca="false">INDEX(lot!$B$2:$B$1201,MATCH(B726,lot!$A$2:$A$1201,0))</f>
        <v>SUP-B</v>
      </c>
      <c r="F726" s="3" t="n">
        <f aca="false">YEAR(A726)*100+MONTH(A726)</f>
        <v>202604</v>
      </c>
    </row>
    <row r="727" customFormat="false" ht="15" hidden="false" customHeight="false" outlineLevel="0" collapsed="false">
      <c r="A727" s="2" t="n">
        <v>46115</v>
      </c>
      <c r="B727" s="3" t="s">
        <v>403</v>
      </c>
      <c r="C727" s="0" t="n">
        <v>87</v>
      </c>
      <c r="D727" s="0" t="n">
        <v>2</v>
      </c>
      <c r="E727" s="0" t="str">
        <f aca="false">INDEX(lot!$B$2:$B$1201,MATCH(B727,lot!$A$2:$A$1201,0))</f>
        <v>SUP-E</v>
      </c>
      <c r="F727" s="3" t="n">
        <f aca="false">YEAR(A727)*100+MONTH(A727)</f>
        <v>202604</v>
      </c>
    </row>
    <row r="728" customFormat="false" ht="15" hidden="false" customHeight="false" outlineLevel="0" collapsed="false">
      <c r="A728" s="2" t="n">
        <v>46115</v>
      </c>
      <c r="B728" s="3" t="s">
        <v>469</v>
      </c>
      <c r="C728" s="0" t="n">
        <v>200</v>
      </c>
      <c r="D728" s="0" t="n">
        <v>2</v>
      </c>
      <c r="E728" s="0" t="str">
        <f aca="false">INDEX(lot!$B$2:$B$1201,MATCH(B728,lot!$A$2:$A$1201,0))</f>
        <v>SUP-D</v>
      </c>
      <c r="F728" s="3" t="n">
        <f aca="false">YEAR(A728)*100+MONTH(A728)</f>
        <v>202604</v>
      </c>
    </row>
    <row r="729" customFormat="false" ht="15" hidden="false" customHeight="false" outlineLevel="0" collapsed="false">
      <c r="A729" s="2" t="n">
        <v>46115</v>
      </c>
      <c r="B729" s="3" t="s">
        <v>469</v>
      </c>
      <c r="C729" s="0" t="n">
        <v>127</v>
      </c>
      <c r="D729" s="0" t="n">
        <v>3</v>
      </c>
      <c r="E729" s="0" t="str">
        <f aca="false">INDEX(lot!$B$2:$B$1201,MATCH(B729,lot!$A$2:$A$1201,0))</f>
        <v>SUP-D</v>
      </c>
      <c r="F729" s="3" t="n">
        <f aca="false">YEAR(A729)*100+MONTH(A729)</f>
        <v>202604</v>
      </c>
    </row>
    <row r="730" customFormat="false" ht="15" hidden="false" customHeight="false" outlineLevel="0" collapsed="false">
      <c r="A730" s="2" t="n">
        <v>46115</v>
      </c>
      <c r="B730" s="3" t="s">
        <v>623</v>
      </c>
      <c r="C730" s="0" t="n">
        <v>215</v>
      </c>
      <c r="D730" s="0" t="n">
        <v>11</v>
      </c>
      <c r="E730" s="0" t="str">
        <f aca="false">INDEX(lot!$B$2:$B$1201,MATCH(B730,lot!$A$2:$A$1201,0))</f>
        <v>SUP-D</v>
      </c>
      <c r="F730" s="3" t="n">
        <f aca="false">YEAR(A730)*100+MONTH(A730)</f>
        <v>202604</v>
      </c>
    </row>
    <row r="731" customFormat="false" ht="15" hidden="false" customHeight="false" outlineLevel="0" collapsed="false">
      <c r="A731" s="2" t="n">
        <v>46115</v>
      </c>
      <c r="B731" s="3" t="s">
        <v>623</v>
      </c>
      <c r="C731" s="0" t="n">
        <v>35</v>
      </c>
      <c r="D731" s="0" t="n">
        <v>1</v>
      </c>
      <c r="E731" s="0" t="str">
        <f aca="false">INDEX(lot!$B$2:$B$1201,MATCH(B731,lot!$A$2:$A$1201,0))</f>
        <v>SUP-D</v>
      </c>
      <c r="F731" s="3" t="n">
        <f aca="false">YEAR(A731)*100+MONTH(A731)</f>
        <v>202604</v>
      </c>
    </row>
    <row r="732" customFormat="false" ht="15" hidden="false" customHeight="false" outlineLevel="0" collapsed="false">
      <c r="A732" s="2" t="n">
        <v>46115</v>
      </c>
      <c r="B732" s="3" t="s">
        <v>659</v>
      </c>
      <c r="C732" s="0" t="n">
        <v>129</v>
      </c>
      <c r="D732" s="0" t="n">
        <v>2</v>
      </c>
      <c r="E732" s="0" t="str">
        <f aca="false">INDEX(lot!$B$2:$B$1201,MATCH(B732,lot!$A$2:$A$1201,0))</f>
        <v>SUP-E</v>
      </c>
      <c r="F732" s="3" t="n">
        <f aca="false">YEAR(A732)*100+MONTH(A732)</f>
        <v>202604</v>
      </c>
    </row>
    <row r="733" customFormat="false" ht="15" hidden="false" customHeight="false" outlineLevel="0" collapsed="false">
      <c r="A733" s="2" t="n">
        <v>46115</v>
      </c>
      <c r="B733" s="3" t="s">
        <v>758</v>
      </c>
      <c r="C733" s="0" t="n">
        <v>144</v>
      </c>
      <c r="D733" s="0" t="n">
        <v>2</v>
      </c>
      <c r="E733" s="0" t="str">
        <f aca="false">INDEX(lot!$B$2:$B$1201,MATCH(B733,lot!$A$2:$A$1201,0))</f>
        <v>SUP-D</v>
      </c>
      <c r="F733" s="3" t="n">
        <f aca="false">YEAR(A733)*100+MONTH(A733)</f>
        <v>202604</v>
      </c>
    </row>
    <row r="734" customFormat="false" ht="15" hidden="false" customHeight="false" outlineLevel="0" collapsed="false">
      <c r="A734" s="2" t="n">
        <v>46115</v>
      </c>
      <c r="B734" s="3" t="s">
        <v>758</v>
      </c>
      <c r="C734" s="0" t="n">
        <v>129</v>
      </c>
      <c r="D734" s="0" t="n">
        <v>0</v>
      </c>
      <c r="E734" s="0" t="str">
        <f aca="false">INDEX(lot!$B$2:$B$1201,MATCH(B734,lot!$A$2:$A$1201,0))</f>
        <v>SUP-D</v>
      </c>
      <c r="F734" s="3" t="n">
        <f aca="false">YEAR(A734)*100+MONTH(A734)</f>
        <v>202604</v>
      </c>
    </row>
    <row r="735" customFormat="false" ht="15" hidden="false" customHeight="false" outlineLevel="0" collapsed="false">
      <c r="A735" s="2" t="n">
        <v>46115</v>
      </c>
      <c r="B735" s="3" t="s">
        <v>801</v>
      </c>
      <c r="C735" s="0" t="n">
        <v>136</v>
      </c>
      <c r="D735" s="0" t="n">
        <v>2</v>
      </c>
      <c r="E735" s="0" t="str">
        <f aca="false">INDEX(lot!$B$2:$B$1201,MATCH(B735,lot!$A$2:$A$1201,0))</f>
        <v>SUP-D</v>
      </c>
      <c r="F735" s="3" t="n">
        <f aca="false">YEAR(A735)*100+MONTH(A735)</f>
        <v>202604</v>
      </c>
    </row>
    <row r="736" customFormat="false" ht="15" hidden="false" customHeight="false" outlineLevel="0" collapsed="false">
      <c r="A736" s="2" t="n">
        <v>46115</v>
      </c>
      <c r="B736" s="3" t="s">
        <v>801</v>
      </c>
      <c r="C736" s="0" t="n">
        <v>248</v>
      </c>
      <c r="D736" s="0" t="n">
        <v>1</v>
      </c>
      <c r="E736" s="0" t="str">
        <f aca="false">INDEX(lot!$B$2:$B$1201,MATCH(B736,lot!$A$2:$A$1201,0))</f>
        <v>SUP-D</v>
      </c>
      <c r="F736" s="3" t="n">
        <f aca="false">YEAR(A736)*100+MONTH(A736)</f>
        <v>202604</v>
      </c>
    </row>
    <row r="737" customFormat="false" ht="15" hidden="false" customHeight="false" outlineLevel="0" collapsed="false">
      <c r="A737" s="2" t="n">
        <v>46115</v>
      </c>
      <c r="B737" s="3" t="s">
        <v>863</v>
      </c>
      <c r="C737" s="0" t="n">
        <v>173</v>
      </c>
      <c r="D737" s="0" t="n">
        <v>1</v>
      </c>
      <c r="E737" s="0" t="str">
        <f aca="false">INDEX(lot!$B$2:$B$1201,MATCH(B737,lot!$A$2:$A$1201,0))</f>
        <v>SUP-D</v>
      </c>
      <c r="F737" s="3" t="n">
        <f aca="false">YEAR(A737)*100+MONTH(A737)</f>
        <v>202604</v>
      </c>
    </row>
    <row r="738" customFormat="false" ht="15" hidden="false" customHeight="false" outlineLevel="0" collapsed="false">
      <c r="A738" s="2" t="n">
        <v>46115</v>
      </c>
      <c r="B738" s="3" t="s">
        <v>891</v>
      </c>
      <c r="C738" s="0" t="n">
        <v>210</v>
      </c>
      <c r="D738" s="0" t="n">
        <v>2</v>
      </c>
      <c r="E738" s="0" t="str">
        <f aca="false">INDEX(lot!$B$2:$B$1201,MATCH(B738,lot!$A$2:$A$1201,0))</f>
        <v>SUP-A</v>
      </c>
      <c r="F738" s="3" t="n">
        <f aca="false">YEAR(A738)*100+MONTH(A738)</f>
        <v>202604</v>
      </c>
    </row>
    <row r="739" customFormat="false" ht="15" hidden="false" customHeight="false" outlineLevel="0" collapsed="false">
      <c r="A739" s="2" t="n">
        <v>46115</v>
      </c>
      <c r="B739" s="3" t="s">
        <v>891</v>
      </c>
      <c r="C739" s="0" t="n">
        <v>151</v>
      </c>
      <c r="D739" s="0" t="n">
        <v>1</v>
      </c>
      <c r="E739" s="0" t="str">
        <f aca="false">INDEX(lot!$B$2:$B$1201,MATCH(B739,lot!$A$2:$A$1201,0))</f>
        <v>SUP-A</v>
      </c>
      <c r="F739" s="3" t="n">
        <f aca="false">YEAR(A739)*100+MONTH(A739)</f>
        <v>202604</v>
      </c>
    </row>
    <row r="740" customFormat="false" ht="15" hidden="false" customHeight="false" outlineLevel="0" collapsed="false">
      <c r="A740" s="2" t="n">
        <v>46115</v>
      </c>
      <c r="B740" s="3" t="s">
        <v>937</v>
      </c>
      <c r="C740" s="0" t="n">
        <v>234</v>
      </c>
      <c r="D740" s="0" t="n">
        <v>3</v>
      </c>
      <c r="E740" s="0" t="str">
        <f aca="false">INDEX(lot!$B$2:$B$1201,MATCH(B740,lot!$A$2:$A$1201,0))</f>
        <v>SUP-D</v>
      </c>
      <c r="F740" s="3" t="n">
        <f aca="false">YEAR(A740)*100+MONTH(A740)</f>
        <v>202604</v>
      </c>
    </row>
    <row r="741" customFormat="false" ht="15" hidden="false" customHeight="false" outlineLevel="0" collapsed="false">
      <c r="A741" s="2" t="n">
        <v>46115</v>
      </c>
      <c r="B741" s="3" t="s">
        <v>1079</v>
      </c>
      <c r="C741" s="0" t="n">
        <v>152</v>
      </c>
      <c r="D741" s="0" t="n">
        <v>5</v>
      </c>
      <c r="E741" s="0" t="str">
        <f aca="false">INDEX(lot!$B$2:$B$1201,MATCH(B741,lot!$A$2:$A$1201,0))</f>
        <v>SUP-C</v>
      </c>
      <c r="F741" s="3" t="n">
        <f aca="false">YEAR(A741)*100+MONTH(A741)</f>
        <v>202604</v>
      </c>
    </row>
    <row r="742" customFormat="false" ht="15" hidden="false" customHeight="false" outlineLevel="0" collapsed="false">
      <c r="A742" s="2" t="n">
        <v>46115</v>
      </c>
      <c r="B742" s="3" t="s">
        <v>1103</v>
      </c>
      <c r="C742" s="0" t="n">
        <v>135</v>
      </c>
      <c r="D742" s="0" t="n">
        <v>1</v>
      </c>
      <c r="E742" s="0" t="str">
        <f aca="false">INDEX(lot!$B$2:$B$1201,MATCH(B742,lot!$A$2:$A$1201,0))</f>
        <v>SUP-B</v>
      </c>
      <c r="F742" s="3" t="n">
        <f aca="false">YEAR(A742)*100+MONTH(A742)</f>
        <v>202604</v>
      </c>
    </row>
    <row r="743" customFormat="false" ht="15" hidden="false" customHeight="false" outlineLevel="0" collapsed="false">
      <c r="A743" s="2" t="n">
        <v>46118</v>
      </c>
      <c r="B743" s="3" t="s">
        <v>63</v>
      </c>
      <c r="C743" s="0" t="n">
        <v>165</v>
      </c>
      <c r="D743" s="0" t="n">
        <v>4</v>
      </c>
      <c r="E743" s="0" t="str">
        <f aca="false">INDEX(lot!$B$2:$B$1201,MATCH(B743,lot!$A$2:$A$1201,0))</f>
        <v>SUP-C</v>
      </c>
      <c r="F743" s="3" t="n">
        <f aca="false">YEAR(A743)*100+MONTH(A743)</f>
        <v>202604</v>
      </c>
    </row>
    <row r="744" customFormat="false" ht="15" hidden="false" customHeight="false" outlineLevel="0" collapsed="false">
      <c r="A744" s="2" t="n">
        <v>46118</v>
      </c>
      <c r="B744" s="3" t="s">
        <v>63</v>
      </c>
      <c r="C744" s="0" t="n">
        <v>207</v>
      </c>
      <c r="D744" s="0" t="n">
        <v>7</v>
      </c>
      <c r="E744" s="0" t="str">
        <f aca="false">INDEX(lot!$B$2:$B$1201,MATCH(B744,lot!$A$2:$A$1201,0))</f>
        <v>SUP-C</v>
      </c>
      <c r="F744" s="3" t="n">
        <f aca="false">YEAR(A744)*100+MONTH(A744)</f>
        <v>202604</v>
      </c>
    </row>
    <row r="745" customFormat="false" ht="15" hidden="false" customHeight="false" outlineLevel="0" collapsed="false">
      <c r="A745" s="2" t="n">
        <v>46118</v>
      </c>
      <c r="B745" s="3" t="s">
        <v>175</v>
      </c>
      <c r="C745" s="0" t="n">
        <v>174</v>
      </c>
      <c r="D745" s="0" t="n">
        <v>1</v>
      </c>
      <c r="E745" s="0" t="str">
        <f aca="false">INDEX(lot!$B$2:$B$1201,MATCH(B745,lot!$A$2:$A$1201,0))</f>
        <v>SUP-D</v>
      </c>
      <c r="F745" s="3" t="n">
        <f aca="false">YEAR(A745)*100+MONTH(A745)</f>
        <v>202604</v>
      </c>
    </row>
    <row r="746" customFormat="false" ht="15" hidden="false" customHeight="false" outlineLevel="0" collapsed="false">
      <c r="A746" s="2" t="n">
        <v>46118</v>
      </c>
      <c r="B746" s="3" t="s">
        <v>175</v>
      </c>
      <c r="C746" s="0" t="n">
        <v>175</v>
      </c>
      <c r="D746" s="0" t="n">
        <v>3</v>
      </c>
      <c r="E746" s="0" t="str">
        <f aca="false">INDEX(lot!$B$2:$B$1201,MATCH(B746,lot!$A$2:$A$1201,0))</f>
        <v>SUP-D</v>
      </c>
      <c r="F746" s="3" t="n">
        <f aca="false">YEAR(A746)*100+MONTH(A746)</f>
        <v>202604</v>
      </c>
    </row>
    <row r="747" customFormat="false" ht="15" hidden="false" customHeight="false" outlineLevel="0" collapsed="false">
      <c r="A747" s="2" t="n">
        <v>46118</v>
      </c>
      <c r="B747" s="3" t="s">
        <v>209</v>
      </c>
      <c r="C747" s="0" t="n">
        <v>248</v>
      </c>
      <c r="D747" s="0" t="n">
        <v>18</v>
      </c>
      <c r="E747" s="0" t="str">
        <f aca="false">INDEX(lot!$B$2:$B$1201,MATCH(B747,lot!$A$2:$A$1201,0))</f>
        <v>SUP-E</v>
      </c>
      <c r="F747" s="3" t="n">
        <f aca="false">YEAR(A747)*100+MONTH(A747)</f>
        <v>202604</v>
      </c>
    </row>
    <row r="748" customFormat="false" ht="15" hidden="false" customHeight="false" outlineLevel="0" collapsed="false">
      <c r="A748" s="2" t="n">
        <v>46118</v>
      </c>
      <c r="B748" s="3" t="s">
        <v>209</v>
      </c>
      <c r="C748" s="0" t="n">
        <v>121</v>
      </c>
      <c r="D748" s="0" t="n">
        <v>5</v>
      </c>
      <c r="E748" s="0" t="str">
        <f aca="false">INDEX(lot!$B$2:$B$1201,MATCH(B748,lot!$A$2:$A$1201,0))</f>
        <v>SUP-E</v>
      </c>
      <c r="F748" s="3" t="n">
        <f aca="false">YEAR(A748)*100+MONTH(A748)</f>
        <v>202604</v>
      </c>
    </row>
    <row r="749" customFormat="false" ht="15" hidden="false" customHeight="false" outlineLevel="0" collapsed="false">
      <c r="A749" s="2" t="n">
        <v>46118</v>
      </c>
      <c r="B749" s="3" t="s">
        <v>224</v>
      </c>
      <c r="C749" s="0" t="n">
        <v>157</v>
      </c>
      <c r="D749" s="0" t="n">
        <v>1</v>
      </c>
      <c r="E749" s="0" t="str">
        <f aca="false">INDEX(lot!$B$2:$B$1201,MATCH(B749,lot!$A$2:$A$1201,0))</f>
        <v>SUP-D</v>
      </c>
      <c r="F749" s="3" t="n">
        <f aca="false">YEAR(A749)*100+MONTH(A749)</f>
        <v>202604</v>
      </c>
    </row>
    <row r="750" customFormat="false" ht="15" hidden="false" customHeight="false" outlineLevel="0" collapsed="false">
      <c r="A750" s="2" t="n">
        <v>46118</v>
      </c>
      <c r="B750" s="3" t="s">
        <v>232</v>
      </c>
      <c r="C750" s="0" t="n">
        <v>233</v>
      </c>
      <c r="D750" s="0" t="n">
        <v>9</v>
      </c>
      <c r="E750" s="0" t="str">
        <f aca="false">INDEX(lot!$B$2:$B$1201,MATCH(B750,lot!$A$2:$A$1201,0))</f>
        <v>SUP-C</v>
      </c>
      <c r="F750" s="3" t="n">
        <f aca="false">YEAR(A750)*100+MONTH(A750)</f>
        <v>202604</v>
      </c>
    </row>
    <row r="751" customFormat="false" ht="15" hidden="false" customHeight="false" outlineLevel="0" collapsed="false">
      <c r="A751" s="2" t="n">
        <v>46118</v>
      </c>
      <c r="B751" s="3" t="s">
        <v>240</v>
      </c>
      <c r="C751" s="0" t="n">
        <v>177</v>
      </c>
      <c r="D751" s="0" t="n">
        <v>4</v>
      </c>
      <c r="E751" s="0" t="str">
        <f aca="false">INDEX(lot!$B$2:$B$1201,MATCH(B751,lot!$A$2:$A$1201,0))</f>
        <v>SUP-C</v>
      </c>
      <c r="F751" s="3" t="n">
        <f aca="false">YEAR(A751)*100+MONTH(A751)</f>
        <v>202604</v>
      </c>
    </row>
    <row r="752" customFormat="false" ht="15" hidden="false" customHeight="false" outlineLevel="0" collapsed="false">
      <c r="A752" s="2" t="n">
        <v>46118</v>
      </c>
      <c r="B752" s="3" t="s">
        <v>240</v>
      </c>
      <c r="C752" s="0" t="n">
        <v>237</v>
      </c>
      <c r="D752" s="0" t="n">
        <v>9</v>
      </c>
      <c r="E752" s="0" t="str">
        <f aca="false">INDEX(lot!$B$2:$B$1201,MATCH(B752,lot!$A$2:$A$1201,0))</f>
        <v>SUP-C</v>
      </c>
      <c r="F752" s="3" t="n">
        <f aca="false">YEAR(A752)*100+MONTH(A752)</f>
        <v>202604</v>
      </c>
    </row>
    <row r="753" customFormat="false" ht="15" hidden="false" customHeight="false" outlineLevel="0" collapsed="false">
      <c r="A753" s="2" t="n">
        <v>46118</v>
      </c>
      <c r="B753" s="3" t="s">
        <v>347</v>
      </c>
      <c r="C753" s="0" t="n">
        <v>178</v>
      </c>
      <c r="D753" s="0" t="n">
        <v>6</v>
      </c>
      <c r="E753" s="0" t="str">
        <f aca="false">INDEX(lot!$B$2:$B$1201,MATCH(B753,lot!$A$2:$A$1201,0))</f>
        <v>SUP-D</v>
      </c>
      <c r="F753" s="3" t="n">
        <f aca="false">YEAR(A753)*100+MONTH(A753)</f>
        <v>202604</v>
      </c>
    </row>
    <row r="754" customFormat="false" ht="15" hidden="false" customHeight="false" outlineLevel="0" collapsed="false">
      <c r="A754" s="2" t="n">
        <v>46118</v>
      </c>
      <c r="B754" s="3" t="s">
        <v>347</v>
      </c>
      <c r="C754" s="0" t="n">
        <v>200</v>
      </c>
      <c r="D754" s="0" t="n">
        <v>8</v>
      </c>
      <c r="E754" s="0" t="str">
        <f aca="false">INDEX(lot!$B$2:$B$1201,MATCH(B754,lot!$A$2:$A$1201,0))</f>
        <v>SUP-D</v>
      </c>
      <c r="F754" s="3" t="n">
        <f aca="false">YEAR(A754)*100+MONTH(A754)</f>
        <v>202604</v>
      </c>
    </row>
    <row r="755" customFormat="false" ht="15" hidden="false" customHeight="false" outlineLevel="0" collapsed="false">
      <c r="A755" s="2" t="n">
        <v>46118</v>
      </c>
      <c r="B755" s="3" t="s">
        <v>356</v>
      </c>
      <c r="C755" s="0" t="n">
        <v>207</v>
      </c>
      <c r="D755" s="0" t="n">
        <v>3</v>
      </c>
      <c r="E755" s="0" t="str">
        <f aca="false">INDEX(lot!$B$2:$B$1201,MATCH(B755,lot!$A$2:$A$1201,0))</f>
        <v>SUP-A</v>
      </c>
      <c r="F755" s="3" t="n">
        <f aca="false">YEAR(A755)*100+MONTH(A755)</f>
        <v>202604</v>
      </c>
    </row>
    <row r="756" customFormat="false" ht="15" hidden="false" customHeight="false" outlineLevel="0" collapsed="false">
      <c r="A756" s="2" t="n">
        <v>46118</v>
      </c>
      <c r="B756" s="3" t="s">
        <v>389</v>
      </c>
      <c r="C756" s="0" t="n">
        <v>114</v>
      </c>
      <c r="D756" s="0" t="n">
        <v>1</v>
      </c>
      <c r="E756" s="0" t="str">
        <f aca="false">INDEX(lot!$B$2:$B$1201,MATCH(B756,lot!$A$2:$A$1201,0))</f>
        <v>SUP-E</v>
      </c>
      <c r="F756" s="3" t="n">
        <f aca="false">YEAR(A756)*100+MONTH(A756)</f>
        <v>202604</v>
      </c>
    </row>
    <row r="757" customFormat="false" ht="15" hidden="false" customHeight="false" outlineLevel="0" collapsed="false">
      <c r="A757" s="2" t="n">
        <v>46118</v>
      </c>
      <c r="B757" s="3" t="s">
        <v>403</v>
      </c>
      <c r="C757" s="0" t="n">
        <v>201</v>
      </c>
      <c r="D757" s="0" t="n">
        <v>2</v>
      </c>
      <c r="E757" s="0" t="str">
        <f aca="false">INDEX(lot!$B$2:$B$1201,MATCH(B757,lot!$A$2:$A$1201,0))</f>
        <v>SUP-E</v>
      </c>
      <c r="F757" s="3" t="n">
        <f aca="false">YEAR(A757)*100+MONTH(A757)</f>
        <v>202604</v>
      </c>
    </row>
    <row r="758" customFormat="false" ht="15" hidden="false" customHeight="false" outlineLevel="0" collapsed="false">
      <c r="A758" s="2" t="n">
        <v>46118</v>
      </c>
      <c r="B758" s="3" t="s">
        <v>403</v>
      </c>
      <c r="C758" s="0" t="n">
        <v>94</v>
      </c>
      <c r="D758" s="0" t="n">
        <v>0</v>
      </c>
      <c r="E758" s="0" t="str">
        <f aca="false">INDEX(lot!$B$2:$B$1201,MATCH(B758,lot!$A$2:$A$1201,0))</f>
        <v>SUP-E</v>
      </c>
      <c r="F758" s="3" t="n">
        <f aca="false">YEAR(A758)*100+MONTH(A758)</f>
        <v>202604</v>
      </c>
    </row>
    <row r="759" customFormat="false" ht="15" hidden="false" customHeight="false" outlineLevel="0" collapsed="false">
      <c r="A759" s="2" t="n">
        <v>46118</v>
      </c>
      <c r="B759" s="3" t="s">
        <v>414</v>
      </c>
      <c r="C759" s="0" t="n">
        <v>123</v>
      </c>
      <c r="D759" s="0" t="n">
        <v>1</v>
      </c>
      <c r="E759" s="0" t="str">
        <f aca="false">INDEX(lot!$B$2:$B$1201,MATCH(B759,lot!$A$2:$A$1201,0))</f>
        <v>SUP-A</v>
      </c>
      <c r="F759" s="3" t="n">
        <f aca="false">YEAR(A759)*100+MONTH(A759)</f>
        <v>202604</v>
      </c>
    </row>
    <row r="760" customFormat="false" ht="15" hidden="false" customHeight="false" outlineLevel="0" collapsed="false">
      <c r="A760" s="2" t="n">
        <v>46118</v>
      </c>
      <c r="B760" s="3" t="s">
        <v>414</v>
      </c>
      <c r="C760" s="0" t="n">
        <v>168</v>
      </c>
      <c r="D760" s="0" t="n">
        <v>1</v>
      </c>
      <c r="E760" s="0" t="str">
        <f aca="false">INDEX(lot!$B$2:$B$1201,MATCH(B760,lot!$A$2:$A$1201,0))</f>
        <v>SUP-A</v>
      </c>
      <c r="F760" s="3" t="n">
        <f aca="false">YEAR(A760)*100+MONTH(A760)</f>
        <v>202604</v>
      </c>
    </row>
    <row r="761" customFormat="false" ht="15" hidden="false" customHeight="false" outlineLevel="0" collapsed="false">
      <c r="A761" s="2" t="n">
        <v>46118</v>
      </c>
      <c r="B761" s="3" t="s">
        <v>469</v>
      </c>
      <c r="C761" s="0" t="n">
        <v>239</v>
      </c>
      <c r="D761" s="0" t="n">
        <v>1</v>
      </c>
      <c r="E761" s="0" t="str">
        <f aca="false">INDEX(lot!$B$2:$B$1201,MATCH(B761,lot!$A$2:$A$1201,0))</f>
        <v>SUP-D</v>
      </c>
      <c r="F761" s="3" t="n">
        <f aca="false">YEAR(A761)*100+MONTH(A761)</f>
        <v>202604</v>
      </c>
    </row>
    <row r="762" customFormat="false" ht="15" hidden="false" customHeight="false" outlineLevel="0" collapsed="false">
      <c r="A762" s="2" t="n">
        <v>46118</v>
      </c>
      <c r="B762" s="3" t="s">
        <v>659</v>
      </c>
      <c r="C762" s="0" t="n">
        <v>243</v>
      </c>
      <c r="D762" s="0" t="n">
        <v>3</v>
      </c>
      <c r="E762" s="0" t="str">
        <f aca="false">INDEX(lot!$B$2:$B$1201,MATCH(B762,lot!$A$2:$A$1201,0))</f>
        <v>SUP-E</v>
      </c>
      <c r="F762" s="3" t="n">
        <f aca="false">YEAR(A762)*100+MONTH(A762)</f>
        <v>202604</v>
      </c>
    </row>
    <row r="763" customFormat="false" ht="15" hidden="false" customHeight="false" outlineLevel="0" collapsed="false">
      <c r="A763" s="2" t="n">
        <v>46118</v>
      </c>
      <c r="B763" s="3" t="s">
        <v>659</v>
      </c>
      <c r="C763" s="0" t="n">
        <v>80</v>
      </c>
      <c r="D763" s="0" t="n">
        <v>0</v>
      </c>
      <c r="E763" s="0" t="str">
        <f aca="false">INDEX(lot!$B$2:$B$1201,MATCH(B763,lot!$A$2:$A$1201,0))</f>
        <v>SUP-E</v>
      </c>
      <c r="F763" s="3" t="n">
        <f aca="false">YEAR(A763)*100+MONTH(A763)</f>
        <v>202604</v>
      </c>
    </row>
    <row r="764" customFormat="false" ht="15" hidden="false" customHeight="false" outlineLevel="0" collapsed="false">
      <c r="A764" s="2" t="n">
        <v>46118</v>
      </c>
      <c r="B764" s="3" t="s">
        <v>664</v>
      </c>
      <c r="C764" s="0" t="n">
        <v>228</v>
      </c>
      <c r="D764" s="0" t="n">
        <v>1</v>
      </c>
      <c r="E764" s="0" t="str">
        <f aca="false">INDEX(lot!$B$2:$B$1201,MATCH(B764,lot!$A$2:$A$1201,0))</f>
        <v>SUP-E</v>
      </c>
      <c r="F764" s="3" t="n">
        <f aca="false">YEAR(A764)*100+MONTH(A764)</f>
        <v>202604</v>
      </c>
    </row>
    <row r="765" customFormat="false" ht="15" hidden="false" customHeight="false" outlineLevel="0" collapsed="false">
      <c r="A765" s="2" t="n">
        <v>46118</v>
      </c>
      <c r="B765" s="3" t="s">
        <v>801</v>
      </c>
      <c r="C765" s="0" t="n">
        <v>82</v>
      </c>
      <c r="D765" s="0" t="n">
        <v>0</v>
      </c>
      <c r="E765" s="0" t="str">
        <f aca="false">INDEX(lot!$B$2:$B$1201,MATCH(B765,lot!$A$2:$A$1201,0))</f>
        <v>SUP-D</v>
      </c>
      <c r="F765" s="3" t="n">
        <f aca="false">YEAR(A765)*100+MONTH(A765)</f>
        <v>202604</v>
      </c>
    </row>
    <row r="766" customFormat="false" ht="15" hidden="false" customHeight="false" outlineLevel="0" collapsed="false">
      <c r="A766" s="2" t="n">
        <v>46118</v>
      </c>
      <c r="B766" s="3" t="s">
        <v>819</v>
      </c>
      <c r="C766" s="0" t="n">
        <v>69</v>
      </c>
      <c r="D766" s="0" t="n">
        <v>0</v>
      </c>
      <c r="E766" s="0" t="str">
        <f aca="false">INDEX(lot!$B$2:$B$1201,MATCH(B766,lot!$A$2:$A$1201,0))</f>
        <v>SUP-D</v>
      </c>
      <c r="F766" s="3" t="n">
        <f aca="false">YEAR(A766)*100+MONTH(A766)</f>
        <v>202604</v>
      </c>
    </row>
    <row r="767" customFormat="false" ht="15" hidden="false" customHeight="false" outlineLevel="0" collapsed="false">
      <c r="A767" s="2" t="n">
        <v>46118</v>
      </c>
      <c r="B767" s="3" t="s">
        <v>819</v>
      </c>
      <c r="C767" s="0" t="n">
        <v>191</v>
      </c>
      <c r="D767" s="0" t="n">
        <v>1</v>
      </c>
      <c r="E767" s="0" t="str">
        <f aca="false">INDEX(lot!$B$2:$B$1201,MATCH(B767,lot!$A$2:$A$1201,0))</f>
        <v>SUP-D</v>
      </c>
      <c r="F767" s="3" t="n">
        <f aca="false">YEAR(A767)*100+MONTH(A767)</f>
        <v>202604</v>
      </c>
    </row>
    <row r="768" customFormat="false" ht="15" hidden="false" customHeight="false" outlineLevel="0" collapsed="false">
      <c r="A768" s="2" t="n">
        <v>46118</v>
      </c>
      <c r="B768" s="3" t="s">
        <v>937</v>
      </c>
      <c r="C768" s="0" t="n">
        <v>190</v>
      </c>
      <c r="D768" s="0" t="n">
        <v>1</v>
      </c>
      <c r="E768" s="0" t="str">
        <f aca="false">INDEX(lot!$B$2:$B$1201,MATCH(B768,lot!$A$2:$A$1201,0))</f>
        <v>SUP-D</v>
      </c>
      <c r="F768" s="3" t="n">
        <f aca="false">YEAR(A768)*100+MONTH(A768)</f>
        <v>202604</v>
      </c>
    </row>
    <row r="769" customFormat="false" ht="15" hidden="false" customHeight="false" outlineLevel="0" collapsed="false">
      <c r="A769" s="2" t="n">
        <v>46118</v>
      </c>
      <c r="B769" s="3" t="s">
        <v>1054</v>
      </c>
      <c r="C769" s="0" t="n">
        <v>211</v>
      </c>
      <c r="D769" s="0" t="n">
        <v>2</v>
      </c>
      <c r="E769" s="0" t="str">
        <f aca="false">INDEX(lot!$B$2:$B$1201,MATCH(B769,lot!$A$2:$A$1201,0))</f>
        <v>SUP-E</v>
      </c>
      <c r="F769" s="3" t="n">
        <f aca="false">YEAR(A769)*100+MONTH(A769)</f>
        <v>202604</v>
      </c>
    </row>
    <row r="770" customFormat="false" ht="15" hidden="false" customHeight="false" outlineLevel="0" collapsed="false">
      <c r="A770" s="2" t="n">
        <v>46119</v>
      </c>
      <c r="B770" s="3" t="s">
        <v>20</v>
      </c>
      <c r="C770" s="0" t="n">
        <v>86</v>
      </c>
      <c r="D770" s="0" t="n">
        <v>0</v>
      </c>
      <c r="E770" s="0" t="str">
        <f aca="false">INDEX(lot!$B$2:$B$1201,MATCH(B770,lot!$A$2:$A$1201,0))</f>
        <v>SUP-E</v>
      </c>
      <c r="F770" s="3" t="n">
        <f aca="false">YEAR(A770)*100+MONTH(A770)</f>
        <v>202604</v>
      </c>
    </row>
    <row r="771" customFormat="false" ht="15" hidden="false" customHeight="false" outlineLevel="0" collapsed="false">
      <c r="A771" s="2" t="n">
        <v>46119</v>
      </c>
      <c r="B771" s="3" t="s">
        <v>117</v>
      </c>
      <c r="C771" s="0" t="n">
        <v>133</v>
      </c>
      <c r="D771" s="0" t="n">
        <v>1</v>
      </c>
      <c r="E771" s="0" t="str">
        <f aca="false">INDEX(lot!$B$2:$B$1201,MATCH(B771,lot!$A$2:$A$1201,0))</f>
        <v>SUP-C</v>
      </c>
      <c r="F771" s="3" t="n">
        <f aca="false">YEAR(A771)*100+MONTH(A771)</f>
        <v>202604</v>
      </c>
    </row>
    <row r="772" customFormat="false" ht="15" hidden="false" customHeight="false" outlineLevel="0" collapsed="false">
      <c r="A772" s="2" t="n">
        <v>46119</v>
      </c>
      <c r="B772" s="3" t="s">
        <v>117</v>
      </c>
      <c r="C772" s="0" t="n">
        <v>203</v>
      </c>
      <c r="D772" s="0" t="n">
        <v>3</v>
      </c>
      <c r="E772" s="0" t="str">
        <f aca="false">INDEX(lot!$B$2:$B$1201,MATCH(B772,lot!$A$2:$A$1201,0))</f>
        <v>SUP-C</v>
      </c>
      <c r="F772" s="3" t="n">
        <f aca="false">YEAR(A772)*100+MONTH(A772)</f>
        <v>202604</v>
      </c>
    </row>
    <row r="773" customFormat="false" ht="15" hidden="false" customHeight="false" outlineLevel="0" collapsed="false">
      <c r="A773" s="2" t="n">
        <v>46119</v>
      </c>
      <c r="B773" s="3" t="s">
        <v>232</v>
      </c>
      <c r="C773" s="0" t="n">
        <v>83</v>
      </c>
      <c r="D773" s="0" t="n">
        <v>3</v>
      </c>
      <c r="E773" s="0" t="str">
        <f aca="false">INDEX(lot!$B$2:$B$1201,MATCH(B773,lot!$A$2:$A$1201,0))</f>
        <v>SUP-C</v>
      </c>
      <c r="F773" s="3" t="n">
        <f aca="false">YEAR(A773)*100+MONTH(A773)</f>
        <v>202604</v>
      </c>
    </row>
    <row r="774" customFormat="false" ht="15" hidden="false" customHeight="false" outlineLevel="0" collapsed="false">
      <c r="A774" s="2" t="n">
        <v>46119</v>
      </c>
      <c r="B774" s="3" t="s">
        <v>254</v>
      </c>
      <c r="C774" s="0" t="n">
        <v>221</v>
      </c>
      <c r="D774" s="0" t="n">
        <v>8</v>
      </c>
      <c r="E774" s="0" t="str">
        <f aca="false">INDEX(lot!$B$2:$B$1201,MATCH(B774,lot!$A$2:$A$1201,0))</f>
        <v>SUP-C</v>
      </c>
      <c r="F774" s="3" t="n">
        <f aca="false">YEAR(A774)*100+MONTH(A774)</f>
        <v>202604</v>
      </c>
    </row>
    <row r="775" customFormat="false" ht="15" hidden="false" customHeight="false" outlineLevel="0" collapsed="false">
      <c r="A775" s="2" t="n">
        <v>46119</v>
      </c>
      <c r="B775" s="3" t="s">
        <v>309</v>
      </c>
      <c r="C775" s="0" t="n">
        <v>207</v>
      </c>
      <c r="D775" s="0" t="n">
        <v>3</v>
      </c>
      <c r="E775" s="0" t="str">
        <f aca="false">INDEX(lot!$B$2:$B$1201,MATCH(B775,lot!$A$2:$A$1201,0))</f>
        <v>SUP-A</v>
      </c>
      <c r="F775" s="3" t="n">
        <f aca="false">YEAR(A775)*100+MONTH(A775)</f>
        <v>202604</v>
      </c>
    </row>
    <row r="776" customFormat="false" ht="15" hidden="false" customHeight="false" outlineLevel="0" collapsed="false">
      <c r="A776" s="2" t="n">
        <v>46119</v>
      </c>
      <c r="B776" s="3" t="s">
        <v>381</v>
      </c>
      <c r="C776" s="0" t="n">
        <v>252</v>
      </c>
      <c r="D776" s="0" t="n">
        <v>3</v>
      </c>
      <c r="E776" s="0" t="str">
        <f aca="false">INDEX(lot!$B$2:$B$1201,MATCH(B776,lot!$A$2:$A$1201,0))</f>
        <v>SUP-D</v>
      </c>
      <c r="F776" s="3" t="n">
        <f aca="false">YEAR(A776)*100+MONTH(A776)</f>
        <v>202604</v>
      </c>
    </row>
    <row r="777" customFormat="false" ht="15" hidden="false" customHeight="false" outlineLevel="0" collapsed="false">
      <c r="A777" s="2" t="n">
        <v>46119</v>
      </c>
      <c r="B777" s="3" t="s">
        <v>381</v>
      </c>
      <c r="C777" s="0" t="n">
        <v>131</v>
      </c>
      <c r="D777" s="0" t="n">
        <v>2</v>
      </c>
      <c r="E777" s="0" t="str">
        <f aca="false">INDEX(lot!$B$2:$B$1201,MATCH(B777,lot!$A$2:$A$1201,0))</f>
        <v>SUP-D</v>
      </c>
      <c r="F777" s="3" t="n">
        <f aca="false">YEAR(A777)*100+MONTH(A777)</f>
        <v>202604</v>
      </c>
    </row>
    <row r="778" customFormat="false" ht="15" hidden="false" customHeight="false" outlineLevel="0" collapsed="false">
      <c r="A778" s="2" t="n">
        <v>46119</v>
      </c>
      <c r="B778" s="3" t="s">
        <v>403</v>
      </c>
      <c r="C778" s="0" t="n">
        <v>177</v>
      </c>
      <c r="D778" s="0" t="n">
        <v>1</v>
      </c>
      <c r="E778" s="0" t="str">
        <f aca="false">INDEX(lot!$B$2:$B$1201,MATCH(B778,lot!$A$2:$A$1201,0))</f>
        <v>SUP-E</v>
      </c>
      <c r="F778" s="3" t="n">
        <f aca="false">YEAR(A778)*100+MONTH(A778)</f>
        <v>202604</v>
      </c>
    </row>
    <row r="779" customFormat="false" ht="15" hidden="false" customHeight="false" outlineLevel="0" collapsed="false">
      <c r="A779" s="2" t="n">
        <v>46119</v>
      </c>
      <c r="B779" s="3" t="s">
        <v>414</v>
      </c>
      <c r="C779" s="0" t="n">
        <v>187</v>
      </c>
      <c r="D779" s="0" t="n">
        <v>0</v>
      </c>
      <c r="E779" s="0" t="str">
        <f aca="false">INDEX(lot!$B$2:$B$1201,MATCH(B779,lot!$A$2:$A$1201,0))</f>
        <v>SUP-A</v>
      </c>
      <c r="F779" s="3" t="n">
        <f aca="false">YEAR(A779)*100+MONTH(A779)</f>
        <v>202604</v>
      </c>
    </row>
    <row r="780" customFormat="false" ht="15" hidden="false" customHeight="false" outlineLevel="0" collapsed="false">
      <c r="A780" s="2" t="n">
        <v>46119</v>
      </c>
      <c r="B780" s="3" t="s">
        <v>444</v>
      </c>
      <c r="C780" s="0" t="n">
        <v>214</v>
      </c>
      <c r="D780" s="0" t="n">
        <v>2</v>
      </c>
      <c r="E780" s="0" t="str">
        <f aca="false">INDEX(lot!$B$2:$B$1201,MATCH(B780,lot!$A$2:$A$1201,0))</f>
        <v>SUP-A</v>
      </c>
      <c r="F780" s="3" t="n">
        <f aca="false">YEAR(A780)*100+MONTH(A780)</f>
        <v>202604</v>
      </c>
    </row>
    <row r="781" customFormat="false" ht="15" hidden="false" customHeight="false" outlineLevel="0" collapsed="false">
      <c r="A781" s="2" t="n">
        <v>46119</v>
      </c>
      <c r="B781" s="3" t="s">
        <v>444</v>
      </c>
      <c r="C781" s="0" t="n">
        <v>165</v>
      </c>
      <c r="D781" s="0" t="n">
        <v>1</v>
      </c>
      <c r="E781" s="0" t="str">
        <f aca="false">INDEX(lot!$B$2:$B$1201,MATCH(B781,lot!$A$2:$A$1201,0))</f>
        <v>SUP-A</v>
      </c>
      <c r="F781" s="3" t="n">
        <f aca="false">YEAR(A781)*100+MONTH(A781)</f>
        <v>202604</v>
      </c>
    </row>
    <row r="782" customFormat="false" ht="15" hidden="false" customHeight="false" outlineLevel="0" collapsed="false">
      <c r="A782" s="2" t="n">
        <v>46119</v>
      </c>
      <c r="B782" s="3" t="s">
        <v>469</v>
      </c>
      <c r="C782" s="0" t="n">
        <v>247</v>
      </c>
      <c r="D782" s="0" t="n">
        <v>1</v>
      </c>
      <c r="E782" s="0" t="str">
        <f aca="false">INDEX(lot!$B$2:$B$1201,MATCH(B782,lot!$A$2:$A$1201,0))</f>
        <v>SUP-D</v>
      </c>
      <c r="F782" s="3" t="n">
        <f aca="false">YEAR(A782)*100+MONTH(A782)</f>
        <v>202604</v>
      </c>
    </row>
    <row r="783" customFormat="false" ht="15" hidden="false" customHeight="false" outlineLevel="0" collapsed="false">
      <c r="A783" s="2" t="n">
        <v>46119</v>
      </c>
      <c r="B783" s="3" t="s">
        <v>664</v>
      </c>
      <c r="C783" s="0" t="n">
        <v>88</v>
      </c>
      <c r="D783" s="0" t="n">
        <v>0</v>
      </c>
      <c r="E783" s="0" t="str">
        <f aca="false">INDEX(lot!$B$2:$B$1201,MATCH(B783,lot!$A$2:$A$1201,0))</f>
        <v>SUP-E</v>
      </c>
      <c r="F783" s="3" t="n">
        <f aca="false">YEAR(A783)*100+MONTH(A783)</f>
        <v>202604</v>
      </c>
    </row>
    <row r="784" customFormat="false" ht="15" hidden="false" customHeight="false" outlineLevel="0" collapsed="false">
      <c r="A784" s="2" t="n">
        <v>46119</v>
      </c>
      <c r="B784" s="3" t="s">
        <v>770</v>
      </c>
      <c r="C784" s="0" t="n">
        <v>86</v>
      </c>
      <c r="D784" s="0" t="n">
        <v>1</v>
      </c>
      <c r="E784" s="0" t="str">
        <f aca="false">INDEX(lot!$B$2:$B$1201,MATCH(B784,lot!$A$2:$A$1201,0))</f>
        <v>SUP-C</v>
      </c>
      <c r="F784" s="3" t="n">
        <f aca="false">YEAR(A784)*100+MONTH(A784)</f>
        <v>202604</v>
      </c>
    </row>
    <row r="785" customFormat="false" ht="15" hidden="false" customHeight="false" outlineLevel="0" collapsed="false">
      <c r="A785" s="2" t="n">
        <v>46119</v>
      </c>
      <c r="B785" s="3" t="s">
        <v>819</v>
      </c>
      <c r="C785" s="0" t="n">
        <v>120</v>
      </c>
      <c r="D785" s="0" t="n">
        <v>0</v>
      </c>
      <c r="E785" s="0" t="str">
        <f aca="false">INDEX(lot!$B$2:$B$1201,MATCH(B785,lot!$A$2:$A$1201,0))</f>
        <v>SUP-D</v>
      </c>
      <c r="F785" s="3" t="n">
        <f aca="false">YEAR(A785)*100+MONTH(A785)</f>
        <v>202604</v>
      </c>
    </row>
    <row r="786" customFormat="false" ht="15" hidden="false" customHeight="false" outlineLevel="0" collapsed="false">
      <c r="A786" s="2" t="n">
        <v>46119</v>
      </c>
      <c r="B786" s="3" t="s">
        <v>819</v>
      </c>
      <c r="C786" s="0" t="n">
        <v>235</v>
      </c>
      <c r="D786" s="0" t="n">
        <v>4</v>
      </c>
      <c r="E786" s="0" t="str">
        <f aca="false">INDEX(lot!$B$2:$B$1201,MATCH(B786,lot!$A$2:$A$1201,0))</f>
        <v>SUP-D</v>
      </c>
      <c r="F786" s="3" t="n">
        <f aca="false">YEAR(A786)*100+MONTH(A786)</f>
        <v>202604</v>
      </c>
    </row>
    <row r="787" customFormat="false" ht="15" hidden="false" customHeight="false" outlineLevel="0" collapsed="false">
      <c r="A787" s="2" t="n">
        <v>46120</v>
      </c>
      <c r="B787" s="3" t="s">
        <v>20</v>
      </c>
      <c r="C787" s="0" t="n">
        <v>223</v>
      </c>
      <c r="D787" s="0" t="n">
        <v>2</v>
      </c>
      <c r="E787" s="0" t="str">
        <f aca="false">INDEX(lot!$B$2:$B$1201,MATCH(B787,lot!$A$2:$A$1201,0))</f>
        <v>SUP-E</v>
      </c>
      <c r="F787" s="3" t="n">
        <f aca="false">YEAR(A787)*100+MONTH(A787)</f>
        <v>202604</v>
      </c>
    </row>
    <row r="788" customFormat="false" ht="15" hidden="false" customHeight="false" outlineLevel="0" collapsed="false">
      <c r="A788" s="2" t="n">
        <v>46120</v>
      </c>
      <c r="B788" s="3" t="s">
        <v>20</v>
      </c>
      <c r="C788" s="0" t="n">
        <v>80</v>
      </c>
      <c r="D788" s="0" t="n">
        <v>1</v>
      </c>
      <c r="E788" s="0" t="str">
        <f aca="false">INDEX(lot!$B$2:$B$1201,MATCH(B788,lot!$A$2:$A$1201,0))</f>
        <v>SUP-E</v>
      </c>
      <c r="F788" s="3" t="n">
        <f aca="false">YEAR(A788)*100+MONTH(A788)</f>
        <v>202604</v>
      </c>
    </row>
    <row r="789" customFormat="false" ht="15" hidden="false" customHeight="false" outlineLevel="0" collapsed="false">
      <c r="A789" s="2" t="n">
        <v>46120</v>
      </c>
      <c r="B789" s="3" t="s">
        <v>103</v>
      </c>
      <c r="C789" s="0" t="n">
        <v>215</v>
      </c>
      <c r="D789" s="0" t="n">
        <v>1</v>
      </c>
      <c r="E789" s="0" t="str">
        <f aca="false">INDEX(lot!$B$2:$B$1201,MATCH(B789,lot!$A$2:$A$1201,0))</f>
        <v>SUP-E</v>
      </c>
      <c r="F789" s="3" t="n">
        <f aca="false">YEAR(A789)*100+MONTH(A789)</f>
        <v>202604</v>
      </c>
    </row>
    <row r="790" customFormat="false" ht="15" hidden="false" customHeight="false" outlineLevel="0" collapsed="false">
      <c r="A790" s="2" t="n">
        <v>46120</v>
      </c>
      <c r="B790" s="3" t="s">
        <v>107</v>
      </c>
      <c r="C790" s="0" t="n">
        <v>97</v>
      </c>
      <c r="D790" s="0" t="n">
        <v>0</v>
      </c>
      <c r="E790" s="0" t="str">
        <f aca="false">INDEX(lot!$B$2:$B$1201,MATCH(B790,lot!$A$2:$A$1201,0))</f>
        <v>SUP-E</v>
      </c>
      <c r="F790" s="3" t="n">
        <f aca="false">YEAR(A790)*100+MONTH(A790)</f>
        <v>202604</v>
      </c>
    </row>
    <row r="791" customFormat="false" ht="15" hidden="false" customHeight="false" outlineLevel="0" collapsed="false">
      <c r="A791" s="2" t="n">
        <v>46120</v>
      </c>
      <c r="B791" s="3" t="s">
        <v>117</v>
      </c>
      <c r="C791" s="0" t="n">
        <v>195</v>
      </c>
      <c r="D791" s="0" t="n">
        <v>5</v>
      </c>
      <c r="E791" s="0" t="str">
        <f aca="false">INDEX(lot!$B$2:$B$1201,MATCH(B791,lot!$A$2:$A$1201,0))</f>
        <v>SUP-C</v>
      </c>
      <c r="F791" s="3" t="n">
        <f aca="false">YEAR(A791)*100+MONTH(A791)</f>
        <v>202604</v>
      </c>
    </row>
    <row r="792" customFormat="false" ht="15" hidden="false" customHeight="false" outlineLevel="0" collapsed="false">
      <c r="A792" s="2" t="n">
        <v>46120</v>
      </c>
      <c r="B792" s="3" t="s">
        <v>139</v>
      </c>
      <c r="C792" s="0" t="n">
        <v>136</v>
      </c>
      <c r="D792" s="0" t="n">
        <v>2</v>
      </c>
      <c r="E792" s="0" t="str">
        <f aca="false">INDEX(lot!$B$2:$B$1201,MATCH(B792,lot!$A$2:$A$1201,0))</f>
        <v>SUP-A</v>
      </c>
      <c r="F792" s="3" t="n">
        <f aca="false">YEAR(A792)*100+MONTH(A792)</f>
        <v>202604</v>
      </c>
    </row>
    <row r="793" customFormat="false" ht="15" hidden="false" customHeight="false" outlineLevel="0" collapsed="false">
      <c r="A793" s="2" t="n">
        <v>46120</v>
      </c>
      <c r="B793" s="3" t="s">
        <v>232</v>
      </c>
      <c r="C793" s="0" t="n">
        <v>228</v>
      </c>
      <c r="D793" s="0" t="n">
        <v>7</v>
      </c>
      <c r="E793" s="0" t="str">
        <f aca="false">INDEX(lot!$B$2:$B$1201,MATCH(B793,lot!$A$2:$A$1201,0))</f>
        <v>SUP-C</v>
      </c>
      <c r="F793" s="3" t="n">
        <f aca="false">YEAR(A793)*100+MONTH(A793)</f>
        <v>202604</v>
      </c>
    </row>
    <row r="794" customFormat="false" ht="15" hidden="false" customHeight="false" outlineLevel="0" collapsed="false">
      <c r="A794" s="2" t="n">
        <v>46120</v>
      </c>
      <c r="B794" s="3" t="s">
        <v>235</v>
      </c>
      <c r="C794" s="0" t="n">
        <v>210</v>
      </c>
      <c r="D794" s="0" t="n">
        <v>10</v>
      </c>
      <c r="E794" s="0" t="str">
        <f aca="false">INDEX(lot!$B$2:$B$1201,MATCH(B794,lot!$A$2:$A$1201,0))</f>
        <v>SUP-E</v>
      </c>
      <c r="F794" s="3" t="n">
        <f aca="false">YEAR(A794)*100+MONTH(A794)</f>
        <v>202604</v>
      </c>
    </row>
    <row r="795" customFormat="false" ht="15" hidden="false" customHeight="false" outlineLevel="0" collapsed="false">
      <c r="A795" s="2" t="n">
        <v>46120</v>
      </c>
      <c r="B795" s="3" t="s">
        <v>235</v>
      </c>
      <c r="C795" s="0" t="n">
        <v>125</v>
      </c>
      <c r="D795" s="0" t="n">
        <v>4</v>
      </c>
      <c r="E795" s="0" t="str">
        <f aca="false">INDEX(lot!$B$2:$B$1201,MATCH(B795,lot!$A$2:$A$1201,0))</f>
        <v>SUP-E</v>
      </c>
      <c r="F795" s="3" t="n">
        <f aca="false">YEAR(A795)*100+MONTH(A795)</f>
        <v>202604</v>
      </c>
    </row>
    <row r="796" customFormat="false" ht="15" hidden="false" customHeight="false" outlineLevel="0" collapsed="false">
      <c r="A796" s="2" t="n">
        <v>46120</v>
      </c>
      <c r="B796" s="3" t="s">
        <v>254</v>
      </c>
      <c r="C796" s="0" t="n">
        <v>162</v>
      </c>
      <c r="D796" s="0" t="n">
        <v>5</v>
      </c>
      <c r="E796" s="0" t="str">
        <f aca="false">INDEX(lot!$B$2:$B$1201,MATCH(B796,lot!$A$2:$A$1201,0))</f>
        <v>SUP-C</v>
      </c>
      <c r="F796" s="3" t="n">
        <f aca="false">YEAR(A796)*100+MONTH(A796)</f>
        <v>202604</v>
      </c>
    </row>
    <row r="797" customFormat="false" ht="15" hidden="false" customHeight="false" outlineLevel="0" collapsed="false">
      <c r="A797" s="2" t="n">
        <v>46120</v>
      </c>
      <c r="B797" s="3" t="s">
        <v>254</v>
      </c>
      <c r="C797" s="0" t="n">
        <v>234</v>
      </c>
      <c r="D797" s="0" t="n">
        <v>8</v>
      </c>
      <c r="E797" s="0" t="str">
        <f aca="false">INDEX(lot!$B$2:$B$1201,MATCH(B797,lot!$A$2:$A$1201,0))</f>
        <v>SUP-C</v>
      </c>
      <c r="F797" s="3" t="n">
        <f aca="false">YEAR(A797)*100+MONTH(A797)</f>
        <v>202604</v>
      </c>
    </row>
    <row r="798" customFormat="false" ht="15" hidden="false" customHeight="false" outlineLevel="0" collapsed="false">
      <c r="A798" s="2" t="n">
        <v>46120</v>
      </c>
      <c r="B798" s="3" t="s">
        <v>309</v>
      </c>
      <c r="C798" s="0" t="n">
        <v>247</v>
      </c>
      <c r="D798" s="0" t="n">
        <v>3</v>
      </c>
      <c r="E798" s="0" t="str">
        <f aca="false">INDEX(lot!$B$2:$B$1201,MATCH(B798,lot!$A$2:$A$1201,0))</f>
        <v>SUP-A</v>
      </c>
      <c r="F798" s="3" t="n">
        <f aca="false">YEAR(A798)*100+MONTH(A798)</f>
        <v>202604</v>
      </c>
    </row>
    <row r="799" customFormat="false" ht="15" hidden="false" customHeight="false" outlineLevel="0" collapsed="false">
      <c r="A799" s="2" t="n">
        <v>46120</v>
      </c>
      <c r="B799" s="3" t="s">
        <v>315</v>
      </c>
      <c r="C799" s="0" t="n">
        <v>117</v>
      </c>
      <c r="D799" s="0" t="n">
        <v>1</v>
      </c>
      <c r="E799" s="0" t="str">
        <f aca="false">INDEX(lot!$B$2:$B$1201,MATCH(B799,lot!$A$2:$A$1201,0))</f>
        <v>SUP-A</v>
      </c>
      <c r="F799" s="3" t="n">
        <f aca="false">YEAR(A799)*100+MONTH(A799)</f>
        <v>202604</v>
      </c>
    </row>
    <row r="800" customFormat="false" ht="15" hidden="false" customHeight="false" outlineLevel="0" collapsed="false">
      <c r="A800" s="2" t="n">
        <v>46120</v>
      </c>
      <c r="B800" s="3" t="s">
        <v>315</v>
      </c>
      <c r="C800" s="0" t="n">
        <v>81</v>
      </c>
      <c r="D800" s="0" t="n">
        <v>1</v>
      </c>
      <c r="E800" s="0" t="str">
        <f aca="false">INDEX(lot!$B$2:$B$1201,MATCH(B800,lot!$A$2:$A$1201,0))</f>
        <v>SUP-A</v>
      </c>
      <c r="F800" s="3" t="n">
        <f aca="false">YEAR(A800)*100+MONTH(A800)</f>
        <v>202604</v>
      </c>
    </row>
    <row r="801" customFormat="false" ht="15" hidden="false" customHeight="false" outlineLevel="0" collapsed="false">
      <c r="A801" s="2" t="n">
        <v>46120</v>
      </c>
      <c r="B801" s="3" t="s">
        <v>331</v>
      </c>
      <c r="C801" s="0" t="n">
        <v>204</v>
      </c>
      <c r="D801" s="0" t="n">
        <v>0</v>
      </c>
      <c r="E801" s="0" t="str">
        <f aca="false">INDEX(lot!$B$2:$B$1201,MATCH(B801,lot!$A$2:$A$1201,0))</f>
        <v>SUP-E</v>
      </c>
      <c r="F801" s="3" t="n">
        <f aca="false">YEAR(A801)*100+MONTH(A801)</f>
        <v>202604</v>
      </c>
    </row>
    <row r="802" customFormat="false" ht="15" hidden="false" customHeight="false" outlineLevel="0" collapsed="false">
      <c r="A802" s="2" t="n">
        <v>46120</v>
      </c>
      <c r="B802" s="3" t="s">
        <v>331</v>
      </c>
      <c r="C802" s="0" t="n">
        <v>221</v>
      </c>
      <c r="D802" s="0" t="n">
        <v>5</v>
      </c>
      <c r="E802" s="0" t="str">
        <f aca="false">INDEX(lot!$B$2:$B$1201,MATCH(B802,lot!$A$2:$A$1201,0))</f>
        <v>SUP-E</v>
      </c>
      <c r="F802" s="3" t="n">
        <f aca="false">YEAR(A802)*100+MONTH(A802)</f>
        <v>202604</v>
      </c>
    </row>
    <row r="803" customFormat="false" ht="15" hidden="false" customHeight="false" outlineLevel="0" collapsed="false">
      <c r="A803" s="2" t="n">
        <v>46120</v>
      </c>
      <c r="B803" s="3" t="s">
        <v>381</v>
      </c>
      <c r="C803" s="0" t="n">
        <v>227</v>
      </c>
      <c r="D803" s="0" t="n">
        <v>3</v>
      </c>
      <c r="E803" s="0" t="str">
        <f aca="false">INDEX(lot!$B$2:$B$1201,MATCH(B803,lot!$A$2:$A$1201,0))</f>
        <v>SUP-D</v>
      </c>
      <c r="F803" s="3" t="n">
        <f aca="false">YEAR(A803)*100+MONTH(A803)</f>
        <v>202604</v>
      </c>
    </row>
    <row r="804" customFormat="false" ht="15" hidden="false" customHeight="false" outlineLevel="0" collapsed="false">
      <c r="A804" s="2" t="n">
        <v>46120</v>
      </c>
      <c r="B804" s="3" t="s">
        <v>381</v>
      </c>
      <c r="C804" s="0" t="n">
        <v>85</v>
      </c>
      <c r="D804" s="0" t="n">
        <v>0</v>
      </c>
      <c r="E804" s="0" t="str">
        <f aca="false">INDEX(lot!$B$2:$B$1201,MATCH(B804,lot!$A$2:$A$1201,0))</f>
        <v>SUP-D</v>
      </c>
      <c r="F804" s="3" t="n">
        <f aca="false">YEAR(A804)*100+MONTH(A804)</f>
        <v>202604</v>
      </c>
    </row>
    <row r="805" customFormat="false" ht="15" hidden="false" customHeight="false" outlineLevel="0" collapsed="false">
      <c r="A805" s="2" t="n">
        <v>46120</v>
      </c>
      <c r="B805" s="3" t="s">
        <v>414</v>
      </c>
      <c r="C805" s="0" t="n">
        <v>96</v>
      </c>
      <c r="D805" s="0" t="n">
        <v>2</v>
      </c>
      <c r="E805" s="0" t="str">
        <f aca="false">INDEX(lot!$B$2:$B$1201,MATCH(B805,lot!$A$2:$A$1201,0))</f>
        <v>SUP-A</v>
      </c>
      <c r="F805" s="3" t="n">
        <f aca="false">YEAR(A805)*100+MONTH(A805)</f>
        <v>202604</v>
      </c>
    </row>
    <row r="806" customFormat="false" ht="15" hidden="false" customHeight="false" outlineLevel="0" collapsed="false">
      <c r="A806" s="2" t="n">
        <v>46120</v>
      </c>
      <c r="B806" s="3" t="s">
        <v>414</v>
      </c>
      <c r="C806" s="0" t="n">
        <v>231</v>
      </c>
      <c r="D806" s="0" t="n">
        <v>3</v>
      </c>
      <c r="E806" s="0" t="str">
        <f aca="false">INDEX(lot!$B$2:$B$1201,MATCH(B806,lot!$A$2:$A$1201,0))</f>
        <v>SUP-A</v>
      </c>
      <c r="F806" s="3" t="n">
        <f aca="false">YEAR(A806)*100+MONTH(A806)</f>
        <v>202604</v>
      </c>
    </row>
    <row r="807" customFormat="false" ht="15" hidden="false" customHeight="false" outlineLevel="0" collapsed="false">
      <c r="A807" s="2" t="n">
        <v>46120</v>
      </c>
      <c r="B807" s="3" t="s">
        <v>444</v>
      </c>
      <c r="C807" s="0" t="n">
        <v>216</v>
      </c>
      <c r="D807" s="0" t="n">
        <v>3</v>
      </c>
      <c r="E807" s="0" t="str">
        <f aca="false">INDEX(lot!$B$2:$B$1201,MATCH(B807,lot!$A$2:$A$1201,0))</f>
        <v>SUP-A</v>
      </c>
      <c r="F807" s="3" t="n">
        <f aca="false">YEAR(A807)*100+MONTH(A807)</f>
        <v>202604</v>
      </c>
    </row>
    <row r="808" customFormat="false" ht="15" hidden="false" customHeight="false" outlineLevel="0" collapsed="false">
      <c r="A808" s="2" t="n">
        <v>46120</v>
      </c>
      <c r="B808" s="3" t="s">
        <v>511</v>
      </c>
      <c r="C808" s="0" t="n">
        <v>168</v>
      </c>
      <c r="D808" s="0" t="n">
        <v>3</v>
      </c>
      <c r="E808" s="0" t="str">
        <f aca="false">INDEX(lot!$B$2:$B$1201,MATCH(B808,lot!$A$2:$A$1201,0))</f>
        <v>SUP-E</v>
      </c>
      <c r="F808" s="3" t="n">
        <f aca="false">YEAR(A808)*100+MONTH(A808)</f>
        <v>202604</v>
      </c>
    </row>
    <row r="809" customFormat="false" ht="15" hidden="false" customHeight="false" outlineLevel="0" collapsed="false">
      <c r="A809" s="2" t="n">
        <v>46120</v>
      </c>
      <c r="B809" s="3" t="s">
        <v>543</v>
      </c>
      <c r="C809" s="0" t="n">
        <v>149</v>
      </c>
      <c r="D809" s="0" t="n">
        <v>1</v>
      </c>
      <c r="E809" s="0" t="str">
        <f aca="false">INDEX(lot!$B$2:$B$1201,MATCH(B809,lot!$A$2:$A$1201,0))</f>
        <v>SUP-E</v>
      </c>
      <c r="F809" s="3" t="n">
        <f aca="false">YEAR(A809)*100+MONTH(A809)</f>
        <v>202604</v>
      </c>
    </row>
    <row r="810" customFormat="false" ht="15" hidden="false" customHeight="false" outlineLevel="0" collapsed="false">
      <c r="A810" s="2" t="n">
        <v>46120</v>
      </c>
      <c r="B810" s="3" t="s">
        <v>625</v>
      </c>
      <c r="C810" s="0" t="n">
        <v>186</v>
      </c>
      <c r="D810" s="0" t="n">
        <v>4</v>
      </c>
      <c r="E810" s="0" t="str">
        <f aca="false">INDEX(lot!$B$2:$B$1201,MATCH(B810,lot!$A$2:$A$1201,0))</f>
        <v>SUP-C</v>
      </c>
      <c r="F810" s="3" t="n">
        <f aca="false">YEAR(A810)*100+MONTH(A810)</f>
        <v>202604</v>
      </c>
    </row>
    <row r="811" customFormat="false" ht="15" hidden="false" customHeight="false" outlineLevel="0" collapsed="false">
      <c r="A811" s="2" t="n">
        <v>46120</v>
      </c>
      <c r="B811" s="3" t="s">
        <v>691</v>
      </c>
      <c r="C811" s="0" t="n">
        <v>132</v>
      </c>
      <c r="D811" s="0" t="n">
        <v>1</v>
      </c>
      <c r="E811" s="0" t="str">
        <f aca="false">INDEX(lot!$B$2:$B$1201,MATCH(B811,lot!$A$2:$A$1201,0))</f>
        <v>SUP-E</v>
      </c>
      <c r="F811" s="3" t="n">
        <f aca="false">YEAR(A811)*100+MONTH(A811)</f>
        <v>202604</v>
      </c>
    </row>
    <row r="812" customFormat="false" ht="15" hidden="false" customHeight="false" outlineLevel="0" collapsed="false">
      <c r="A812" s="2" t="n">
        <v>46120</v>
      </c>
      <c r="B812" s="3" t="s">
        <v>706</v>
      </c>
      <c r="C812" s="0" t="n">
        <v>84</v>
      </c>
      <c r="D812" s="0" t="n">
        <v>2</v>
      </c>
      <c r="E812" s="0" t="str">
        <f aca="false">INDEX(lot!$B$2:$B$1201,MATCH(B812,lot!$A$2:$A$1201,0))</f>
        <v>SUP-C</v>
      </c>
      <c r="F812" s="3" t="n">
        <f aca="false">YEAR(A812)*100+MONTH(A812)</f>
        <v>202604</v>
      </c>
    </row>
    <row r="813" customFormat="false" ht="15" hidden="false" customHeight="false" outlineLevel="0" collapsed="false">
      <c r="A813" s="2" t="n">
        <v>46120</v>
      </c>
      <c r="B813" s="3" t="s">
        <v>748</v>
      </c>
      <c r="C813" s="0" t="n">
        <v>151</v>
      </c>
      <c r="D813" s="0" t="n">
        <v>2</v>
      </c>
      <c r="E813" s="0" t="str">
        <f aca="false">INDEX(lot!$B$2:$B$1201,MATCH(B813,lot!$A$2:$A$1201,0))</f>
        <v>SUP-D</v>
      </c>
      <c r="F813" s="3" t="n">
        <f aca="false">YEAR(A813)*100+MONTH(A813)</f>
        <v>202604</v>
      </c>
    </row>
    <row r="814" customFormat="false" ht="15" hidden="false" customHeight="false" outlineLevel="0" collapsed="false">
      <c r="A814" s="2" t="n">
        <v>46120</v>
      </c>
      <c r="B814" s="3" t="s">
        <v>748</v>
      </c>
      <c r="C814" s="0" t="n">
        <v>115</v>
      </c>
      <c r="D814" s="0" t="n">
        <v>2</v>
      </c>
      <c r="E814" s="0" t="str">
        <f aca="false">INDEX(lot!$B$2:$B$1201,MATCH(B814,lot!$A$2:$A$1201,0))</f>
        <v>SUP-D</v>
      </c>
      <c r="F814" s="3" t="n">
        <f aca="false">YEAR(A814)*100+MONTH(A814)</f>
        <v>202604</v>
      </c>
    </row>
    <row r="815" customFormat="false" ht="15" hidden="false" customHeight="false" outlineLevel="0" collapsed="false">
      <c r="A815" s="2" t="n">
        <v>46120</v>
      </c>
      <c r="B815" s="3" t="s">
        <v>759</v>
      </c>
      <c r="C815" s="0" t="n">
        <v>66</v>
      </c>
      <c r="D815" s="0" t="n">
        <v>2</v>
      </c>
      <c r="E815" s="0" t="str">
        <f aca="false">INDEX(lot!$B$2:$B$1201,MATCH(B815,lot!$A$2:$A$1201,0))</f>
        <v>SUP-C</v>
      </c>
      <c r="F815" s="3" t="n">
        <f aca="false">YEAR(A815)*100+MONTH(A815)</f>
        <v>202604</v>
      </c>
    </row>
    <row r="816" customFormat="false" ht="15" hidden="false" customHeight="false" outlineLevel="0" collapsed="false">
      <c r="A816" s="2" t="n">
        <v>46120</v>
      </c>
      <c r="B816" s="3" t="s">
        <v>770</v>
      </c>
      <c r="C816" s="0" t="n">
        <v>72</v>
      </c>
      <c r="D816" s="0" t="n">
        <v>2</v>
      </c>
      <c r="E816" s="0" t="str">
        <f aca="false">INDEX(lot!$B$2:$B$1201,MATCH(B816,lot!$A$2:$A$1201,0))</f>
        <v>SUP-C</v>
      </c>
      <c r="F816" s="3" t="n">
        <f aca="false">YEAR(A816)*100+MONTH(A816)</f>
        <v>202604</v>
      </c>
    </row>
    <row r="817" customFormat="false" ht="15" hidden="false" customHeight="false" outlineLevel="0" collapsed="false">
      <c r="A817" s="2" t="n">
        <v>46120</v>
      </c>
      <c r="B817" s="3" t="s">
        <v>770</v>
      </c>
      <c r="C817" s="0" t="n">
        <v>113</v>
      </c>
      <c r="D817" s="0" t="n">
        <v>5</v>
      </c>
      <c r="E817" s="0" t="str">
        <f aca="false">INDEX(lot!$B$2:$B$1201,MATCH(B817,lot!$A$2:$A$1201,0))</f>
        <v>SUP-C</v>
      </c>
      <c r="F817" s="3" t="n">
        <f aca="false">YEAR(A817)*100+MONTH(A817)</f>
        <v>202604</v>
      </c>
    </row>
    <row r="818" customFormat="false" ht="15" hidden="false" customHeight="false" outlineLevel="0" collapsed="false">
      <c r="A818" s="2" t="n">
        <v>46120</v>
      </c>
      <c r="B818" s="3" t="s">
        <v>806</v>
      </c>
      <c r="C818" s="0" t="n">
        <v>190</v>
      </c>
      <c r="D818" s="0" t="n">
        <v>2</v>
      </c>
      <c r="E818" s="0" t="str">
        <f aca="false">INDEX(lot!$B$2:$B$1201,MATCH(B818,lot!$A$2:$A$1201,0))</f>
        <v>SUP-D</v>
      </c>
      <c r="F818" s="3" t="n">
        <f aca="false">YEAR(A818)*100+MONTH(A818)</f>
        <v>202604</v>
      </c>
    </row>
    <row r="819" customFormat="false" ht="15" hidden="false" customHeight="false" outlineLevel="0" collapsed="false">
      <c r="A819" s="2" t="n">
        <v>46120</v>
      </c>
      <c r="B819" s="3" t="s">
        <v>806</v>
      </c>
      <c r="C819" s="0" t="n">
        <v>139</v>
      </c>
      <c r="D819" s="0" t="n">
        <v>1</v>
      </c>
      <c r="E819" s="0" t="str">
        <f aca="false">INDEX(lot!$B$2:$B$1201,MATCH(B819,lot!$A$2:$A$1201,0))</f>
        <v>SUP-D</v>
      </c>
      <c r="F819" s="3" t="n">
        <f aca="false">YEAR(A819)*100+MONTH(A819)</f>
        <v>202604</v>
      </c>
    </row>
    <row r="820" customFormat="false" ht="15" hidden="false" customHeight="false" outlineLevel="0" collapsed="false">
      <c r="A820" s="2" t="n">
        <v>46120</v>
      </c>
      <c r="B820" s="3" t="s">
        <v>903</v>
      </c>
      <c r="C820" s="0" t="n">
        <v>241</v>
      </c>
      <c r="D820" s="0" t="n">
        <v>1</v>
      </c>
      <c r="E820" s="0" t="str">
        <f aca="false">INDEX(lot!$B$2:$B$1201,MATCH(B820,lot!$A$2:$A$1201,0))</f>
        <v>SUP-D</v>
      </c>
      <c r="F820" s="3" t="n">
        <f aca="false">YEAR(A820)*100+MONTH(A820)</f>
        <v>202604</v>
      </c>
    </row>
    <row r="821" customFormat="false" ht="15" hidden="false" customHeight="false" outlineLevel="0" collapsed="false">
      <c r="A821" s="2" t="n">
        <v>46120</v>
      </c>
      <c r="B821" s="3" t="s">
        <v>905</v>
      </c>
      <c r="C821" s="0" t="n">
        <v>196</v>
      </c>
      <c r="D821" s="0" t="n">
        <v>2</v>
      </c>
      <c r="E821" s="0" t="str">
        <f aca="false">INDEX(lot!$B$2:$B$1201,MATCH(B821,lot!$A$2:$A$1201,0))</f>
        <v>SUP-B</v>
      </c>
      <c r="F821" s="3" t="n">
        <f aca="false">YEAR(A821)*100+MONTH(A821)</f>
        <v>202604</v>
      </c>
    </row>
    <row r="822" customFormat="false" ht="15" hidden="false" customHeight="false" outlineLevel="0" collapsed="false">
      <c r="A822" s="2" t="n">
        <v>46120</v>
      </c>
      <c r="B822" s="3" t="s">
        <v>905</v>
      </c>
      <c r="C822" s="0" t="n">
        <v>217</v>
      </c>
      <c r="D822" s="0" t="n">
        <v>5</v>
      </c>
      <c r="E822" s="0" t="str">
        <f aca="false">INDEX(lot!$B$2:$B$1201,MATCH(B822,lot!$A$2:$A$1201,0))</f>
        <v>SUP-B</v>
      </c>
      <c r="F822" s="3" t="n">
        <f aca="false">YEAR(A822)*100+MONTH(A822)</f>
        <v>202604</v>
      </c>
    </row>
    <row r="823" customFormat="false" ht="15" hidden="false" customHeight="false" outlineLevel="0" collapsed="false">
      <c r="A823" s="2" t="n">
        <v>46120</v>
      </c>
      <c r="B823" s="3" t="s">
        <v>947</v>
      </c>
      <c r="C823" s="0" t="n">
        <v>165</v>
      </c>
      <c r="D823" s="0" t="n">
        <v>1</v>
      </c>
      <c r="E823" s="0" t="str">
        <f aca="false">INDEX(lot!$B$2:$B$1201,MATCH(B823,lot!$A$2:$A$1201,0))</f>
        <v>SUP-B</v>
      </c>
      <c r="F823" s="3" t="n">
        <f aca="false">YEAR(A823)*100+MONTH(A823)</f>
        <v>202604</v>
      </c>
    </row>
    <row r="824" customFormat="false" ht="15" hidden="false" customHeight="false" outlineLevel="0" collapsed="false">
      <c r="A824" s="2" t="n">
        <v>46120</v>
      </c>
      <c r="B824" s="3" t="s">
        <v>947</v>
      </c>
      <c r="C824" s="0" t="n">
        <v>123</v>
      </c>
      <c r="D824" s="0" t="n">
        <v>0</v>
      </c>
      <c r="E824" s="0" t="str">
        <f aca="false">INDEX(lot!$B$2:$B$1201,MATCH(B824,lot!$A$2:$A$1201,0))</f>
        <v>SUP-B</v>
      </c>
      <c r="F824" s="3" t="n">
        <f aca="false">YEAR(A824)*100+MONTH(A824)</f>
        <v>202604</v>
      </c>
    </row>
    <row r="825" customFormat="false" ht="15" hidden="false" customHeight="false" outlineLevel="0" collapsed="false">
      <c r="A825" s="2" t="n">
        <v>46120</v>
      </c>
      <c r="B825" s="3" t="s">
        <v>1074</v>
      </c>
      <c r="C825" s="0" t="n">
        <v>132</v>
      </c>
      <c r="D825" s="0" t="n">
        <v>3</v>
      </c>
      <c r="E825" s="0" t="str">
        <f aca="false">INDEX(lot!$B$2:$B$1201,MATCH(B825,lot!$A$2:$A$1201,0))</f>
        <v>SUP-A</v>
      </c>
      <c r="F825" s="3" t="n">
        <f aca="false">YEAR(A825)*100+MONTH(A825)</f>
        <v>202604</v>
      </c>
    </row>
    <row r="826" customFormat="false" ht="15" hidden="false" customHeight="false" outlineLevel="0" collapsed="false">
      <c r="A826" s="2" t="n">
        <v>46120</v>
      </c>
      <c r="B826" s="3" t="s">
        <v>1135</v>
      </c>
      <c r="C826" s="0" t="n">
        <v>110</v>
      </c>
      <c r="D826" s="0" t="n">
        <v>2</v>
      </c>
      <c r="E826" s="0" t="str">
        <f aca="false">INDEX(lot!$B$2:$B$1201,MATCH(B826,lot!$A$2:$A$1201,0))</f>
        <v>SUP-D</v>
      </c>
      <c r="F826" s="3" t="n">
        <f aca="false">YEAR(A826)*100+MONTH(A826)</f>
        <v>202604</v>
      </c>
    </row>
    <row r="827" customFormat="false" ht="15" hidden="false" customHeight="false" outlineLevel="0" collapsed="false">
      <c r="A827" s="2" t="n">
        <v>46121</v>
      </c>
      <c r="B827" s="3" t="s">
        <v>26</v>
      </c>
      <c r="C827" s="0" t="n">
        <v>194</v>
      </c>
      <c r="D827" s="0" t="n">
        <v>3</v>
      </c>
      <c r="E827" s="0" t="str">
        <f aca="false">INDEX(lot!$B$2:$B$1201,MATCH(B827,lot!$A$2:$A$1201,0))</f>
        <v>SUP-E</v>
      </c>
      <c r="F827" s="3" t="n">
        <f aca="false">YEAR(A827)*100+MONTH(A827)</f>
        <v>202604</v>
      </c>
    </row>
    <row r="828" customFormat="false" ht="15" hidden="false" customHeight="false" outlineLevel="0" collapsed="false">
      <c r="A828" s="2" t="n">
        <v>46121</v>
      </c>
      <c r="B828" s="3" t="s">
        <v>26</v>
      </c>
      <c r="C828" s="0" t="n">
        <v>210</v>
      </c>
      <c r="D828" s="0" t="n">
        <v>2</v>
      </c>
      <c r="E828" s="0" t="str">
        <f aca="false">INDEX(lot!$B$2:$B$1201,MATCH(B828,lot!$A$2:$A$1201,0))</f>
        <v>SUP-E</v>
      </c>
      <c r="F828" s="3" t="n">
        <f aca="false">YEAR(A828)*100+MONTH(A828)</f>
        <v>202604</v>
      </c>
    </row>
    <row r="829" customFormat="false" ht="15" hidden="false" customHeight="false" outlineLevel="0" collapsed="false">
      <c r="A829" s="2" t="n">
        <v>46121</v>
      </c>
      <c r="B829" s="3" t="s">
        <v>103</v>
      </c>
      <c r="C829" s="0" t="n">
        <v>175</v>
      </c>
      <c r="D829" s="0" t="n">
        <v>1</v>
      </c>
      <c r="E829" s="0" t="str">
        <f aca="false">INDEX(lot!$B$2:$B$1201,MATCH(B829,lot!$A$2:$A$1201,0))</f>
        <v>SUP-E</v>
      </c>
      <c r="F829" s="3" t="n">
        <f aca="false">YEAR(A829)*100+MONTH(A829)</f>
        <v>202604</v>
      </c>
    </row>
    <row r="830" customFormat="false" ht="15" hidden="false" customHeight="false" outlineLevel="0" collapsed="false">
      <c r="A830" s="2" t="n">
        <v>46121</v>
      </c>
      <c r="B830" s="3" t="s">
        <v>117</v>
      </c>
      <c r="C830" s="0" t="n">
        <v>184</v>
      </c>
      <c r="D830" s="0" t="n">
        <v>7</v>
      </c>
      <c r="E830" s="0" t="str">
        <f aca="false">INDEX(lot!$B$2:$B$1201,MATCH(B830,lot!$A$2:$A$1201,0))</f>
        <v>SUP-C</v>
      </c>
      <c r="F830" s="3" t="n">
        <f aca="false">YEAR(A830)*100+MONTH(A830)</f>
        <v>202604</v>
      </c>
    </row>
    <row r="831" customFormat="false" ht="15" hidden="false" customHeight="false" outlineLevel="0" collapsed="false">
      <c r="A831" s="2" t="n">
        <v>46121</v>
      </c>
      <c r="B831" s="3" t="s">
        <v>139</v>
      </c>
      <c r="C831" s="0" t="n">
        <v>252</v>
      </c>
      <c r="D831" s="0" t="n">
        <v>1</v>
      </c>
      <c r="E831" s="0" t="str">
        <f aca="false">INDEX(lot!$B$2:$B$1201,MATCH(B831,lot!$A$2:$A$1201,0))</f>
        <v>SUP-A</v>
      </c>
      <c r="F831" s="3" t="n">
        <f aca="false">YEAR(A831)*100+MONTH(A831)</f>
        <v>202604</v>
      </c>
    </row>
    <row r="832" customFormat="false" ht="15" hidden="false" customHeight="false" outlineLevel="0" collapsed="false">
      <c r="A832" s="2" t="n">
        <v>46121</v>
      </c>
      <c r="B832" s="3" t="s">
        <v>169</v>
      </c>
      <c r="C832" s="0" t="n">
        <v>162</v>
      </c>
      <c r="D832" s="0" t="n">
        <v>2</v>
      </c>
      <c r="E832" s="0" t="str">
        <f aca="false">INDEX(lot!$B$2:$B$1201,MATCH(B832,lot!$A$2:$A$1201,0))</f>
        <v>SUP-E</v>
      </c>
      <c r="F832" s="3" t="n">
        <f aca="false">YEAR(A832)*100+MONTH(A832)</f>
        <v>202604</v>
      </c>
    </row>
    <row r="833" customFormat="false" ht="15" hidden="false" customHeight="false" outlineLevel="0" collapsed="false">
      <c r="A833" s="2" t="n">
        <v>46121</v>
      </c>
      <c r="B833" s="3" t="s">
        <v>178</v>
      </c>
      <c r="C833" s="0" t="n">
        <v>243</v>
      </c>
      <c r="D833" s="0" t="n">
        <v>2</v>
      </c>
      <c r="E833" s="0" t="str">
        <f aca="false">INDEX(lot!$B$2:$B$1201,MATCH(B833,lot!$A$2:$A$1201,0))</f>
        <v>SUP-B</v>
      </c>
      <c r="F833" s="3" t="n">
        <f aca="false">YEAR(A833)*100+MONTH(A833)</f>
        <v>202604</v>
      </c>
    </row>
    <row r="834" customFormat="false" ht="15" hidden="false" customHeight="false" outlineLevel="0" collapsed="false">
      <c r="A834" s="2" t="n">
        <v>46121</v>
      </c>
      <c r="B834" s="3" t="s">
        <v>178</v>
      </c>
      <c r="C834" s="0" t="n">
        <v>177</v>
      </c>
      <c r="D834" s="0" t="n">
        <v>2</v>
      </c>
      <c r="E834" s="0" t="str">
        <f aca="false">INDEX(lot!$B$2:$B$1201,MATCH(B834,lot!$A$2:$A$1201,0))</f>
        <v>SUP-B</v>
      </c>
      <c r="F834" s="3" t="n">
        <f aca="false">YEAR(A834)*100+MONTH(A834)</f>
        <v>202604</v>
      </c>
    </row>
    <row r="835" customFormat="false" ht="15" hidden="false" customHeight="false" outlineLevel="0" collapsed="false">
      <c r="A835" s="2" t="n">
        <v>46121</v>
      </c>
      <c r="B835" s="3" t="s">
        <v>261</v>
      </c>
      <c r="C835" s="0" t="n">
        <v>252</v>
      </c>
      <c r="D835" s="0" t="n">
        <v>4</v>
      </c>
      <c r="E835" s="0" t="str">
        <f aca="false">INDEX(lot!$B$2:$B$1201,MATCH(B835,lot!$A$2:$A$1201,0))</f>
        <v>SUP-E</v>
      </c>
      <c r="F835" s="3" t="n">
        <f aca="false">YEAR(A835)*100+MONTH(A835)</f>
        <v>202604</v>
      </c>
    </row>
    <row r="836" customFormat="false" ht="15" hidden="false" customHeight="false" outlineLevel="0" collapsed="false">
      <c r="A836" s="2" t="n">
        <v>46121</v>
      </c>
      <c r="B836" s="3" t="s">
        <v>261</v>
      </c>
      <c r="C836" s="0" t="n">
        <v>241</v>
      </c>
      <c r="D836" s="0" t="n">
        <v>2</v>
      </c>
      <c r="E836" s="0" t="str">
        <f aca="false">INDEX(lot!$B$2:$B$1201,MATCH(B836,lot!$A$2:$A$1201,0))</f>
        <v>SUP-E</v>
      </c>
      <c r="F836" s="3" t="n">
        <f aca="false">YEAR(A836)*100+MONTH(A836)</f>
        <v>202604</v>
      </c>
    </row>
    <row r="837" customFormat="false" ht="15" hidden="false" customHeight="false" outlineLevel="0" collapsed="false">
      <c r="A837" s="2" t="n">
        <v>46121</v>
      </c>
      <c r="B837" s="3" t="s">
        <v>265</v>
      </c>
      <c r="C837" s="0" t="n">
        <v>97</v>
      </c>
      <c r="D837" s="0" t="n">
        <v>1</v>
      </c>
      <c r="E837" s="0" t="str">
        <f aca="false">INDEX(lot!$B$2:$B$1201,MATCH(B837,lot!$A$2:$A$1201,0))</f>
        <v>SUP-E</v>
      </c>
      <c r="F837" s="3" t="n">
        <f aca="false">YEAR(A837)*100+MONTH(A837)</f>
        <v>202604</v>
      </c>
    </row>
    <row r="838" customFormat="false" ht="15" hidden="false" customHeight="false" outlineLevel="0" collapsed="false">
      <c r="A838" s="2" t="n">
        <v>46121</v>
      </c>
      <c r="B838" s="3" t="s">
        <v>309</v>
      </c>
      <c r="C838" s="0" t="n">
        <v>190</v>
      </c>
      <c r="D838" s="0" t="n">
        <v>0</v>
      </c>
      <c r="E838" s="0" t="str">
        <f aca="false">INDEX(lot!$B$2:$B$1201,MATCH(B838,lot!$A$2:$A$1201,0))</f>
        <v>SUP-A</v>
      </c>
      <c r="F838" s="3" t="n">
        <f aca="false">YEAR(A838)*100+MONTH(A838)</f>
        <v>202604</v>
      </c>
    </row>
    <row r="839" customFormat="false" ht="15" hidden="false" customHeight="false" outlineLevel="0" collapsed="false">
      <c r="A839" s="2" t="n">
        <v>46121</v>
      </c>
      <c r="B839" s="3" t="s">
        <v>315</v>
      </c>
      <c r="C839" s="0" t="n">
        <v>96</v>
      </c>
      <c r="D839" s="0" t="n">
        <v>2</v>
      </c>
      <c r="E839" s="0" t="str">
        <f aca="false">INDEX(lot!$B$2:$B$1201,MATCH(B839,lot!$A$2:$A$1201,0))</f>
        <v>SUP-A</v>
      </c>
      <c r="F839" s="3" t="n">
        <f aca="false">YEAR(A839)*100+MONTH(A839)</f>
        <v>202604</v>
      </c>
    </row>
    <row r="840" customFormat="false" ht="15" hidden="false" customHeight="false" outlineLevel="0" collapsed="false">
      <c r="A840" s="2" t="n">
        <v>46121</v>
      </c>
      <c r="B840" s="3" t="s">
        <v>315</v>
      </c>
      <c r="C840" s="0" t="n">
        <v>74</v>
      </c>
      <c r="D840" s="0" t="n">
        <v>0</v>
      </c>
      <c r="E840" s="0" t="str">
        <f aca="false">INDEX(lot!$B$2:$B$1201,MATCH(B840,lot!$A$2:$A$1201,0))</f>
        <v>SUP-A</v>
      </c>
      <c r="F840" s="3" t="n">
        <f aca="false">YEAR(A840)*100+MONTH(A840)</f>
        <v>202604</v>
      </c>
    </row>
    <row r="841" customFormat="false" ht="15" hidden="false" customHeight="false" outlineLevel="0" collapsed="false">
      <c r="A841" s="2" t="n">
        <v>46121</v>
      </c>
      <c r="B841" s="3" t="s">
        <v>379</v>
      </c>
      <c r="C841" s="0" t="n">
        <v>87</v>
      </c>
      <c r="D841" s="0" t="n">
        <v>1</v>
      </c>
      <c r="E841" s="0" t="str">
        <f aca="false">INDEX(lot!$B$2:$B$1201,MATCH(B841,lot!$A$2:$A$1201,0))</f>
        <v>SUP-E</v>
      </c>
      <c r="F841" s="3" t="n">
        <f aca="false">YEAR(A841)*100+MONTH(A841)</f>
        <v>202604</v>
      </c>
    </row>
    <row r="842" customFormat="false" ht="15" hidden="false" customHeight="false" outlineLevel="0" collapsed="false">
      <c r="A842" s="2" t="n">
        <v>46121</v>
      </c>
      <c r="B842" s="3" t="s">
        <v>379</v>
      </c>
      <c r="C842" s="0" t="n">
        <v>74</v>
      </c>
      <c r="D842" s="0" t="n">
        <v>0</v>
      </c>
      <c r="E842" s="0" t="str">
        <f aca="false">INDEX(lot!$B$2:$B$1201,MATCH(B842,lot!$A$2:$A$1201,0))</f>
        <v>SUP-E</v>
      </c>
      <c r="F842" s="3" t="n">
        <f aca="false">YEAR(A842)*100+MONTH(A842)</f>
        <v>202604</v>
      </c>
    </row>
    <row r="843" customFormat="false" ht="15" hidden="false" customHeight="false" outlineLevel="0" collapsed="false">
      <c r="A843" s="2" t="n">
        <v>46121</v>
      </c>
      <c r="B843" s="3" t="s">
        <v>444</v>
      </c>
      <c r="C843" s="0" t="n">
        <v>234</v>
      </c>
      <c r="D843" s="0" t="n">
        <v>5</v>
      </c>
      <c r="E843" s="0" t="str">
        <f aca="false">INDEX(lot!$B$2:$B$1201,MATCH(B843,lot!$A$2:$A$1201,0))</f>
        <v>SUP-A</v>
      </c>
      <c r="F843" s="3" t="n">
        <f aca="false">YEAR(A843)*100+MONTH(A843)</f>
        <v>202604</v>
      </c>
    </row>
    <row r="844" customFormat="false" ht="15" hidden="false" customHeight="false" outlineLevel="0" collapsed="false">
      <c r="A844" s="2" t="n">
        <v>46121</v>
      </c>
      <c r="B844" s="3" t="s">
        <v>472</v>
      </c>
      <c r="C844" s="0" t="n">
        <v>180</v>
      </c>
      <c r="D844" s="0" t="n">
        <v>5</v>
      </c>
      <c r="E844" s="0" t="str">
        <f aca="false">INDEX(lot!$B$2:$B$1201,MATCH(B844,lot!$A$2:$A$1201,0))</f>
        <v>SUP-C</v>
      </c>
      <c r="F844" s="3" t="n">
        <f aca="false">YEAR(A844)*100+MONTH(A844)</f>
        <v>202604</v>
      </c>
    </row>
    <row r="845" customFormat="false" ht="15" hidden="false" customHeight="false" outlineLevel="0" collapsed="false">
      <c r="A845" s="2" t="n">
        <v>46121</v>
      </c>
      <c r="B845" s="3" t="s">
        <v>527</v>
      </c>
      <c r="C845" s="0" t="n">
        <v>214</v>
      </c>
      <c r="D845" s="0" t="n">
        <v>0</v>
      </c>
      <c r="E845" s="0" t="str">
        <f aca="false">INDEX(lot!$B$2:$B$1201,MATCH(B845,lot!$A$2:$A$1201,0))</f>
        <v>SUP-E</v>
      </c>
      <c r="F845" s="3" t="n">
        <f aca="false">YEAR(A845)*100+MONTH(A845)</f>
        <v>202604</v>
      </c>
    </row>
    <row r="846" customFormat="false" ht="15" hidden="false" customHeight="false" outlineLevel="0" collapsed="false">
      <c r="A846" s="2" t="n">
        <v>46121</v>
      </c>
      <c r="B846" s="3" t="s">
        <v>527</v>
      </c>
      <c r="C846" s="0" t="n">
        <v>126</v>
      </c>
      <c r="D846" s="0" t="n">
        <v>2</v>
      </c>
      <c r="E846" s="0" t="str">
        <f aca="false">INDEX(lot!$B$2:$B$1201,MATCH(B846,lot!$A$2:$A$1201,0))</f>
        <v>SUP-E</v>
      </c>
      <c r="F846" s="3" t="n">
        <f aca="false">YEAR(A846)*100+MONTH(A846)</f>
        <v>202604</v>
      </c>
    </row>
    <row r="847" customFormat="false" ht="15" hidden="false" customHeight="false" outlineLevel="0" collapsed="false">
      <c r="A847" s="2" t="n">
        <v>46121</v>
      </c>
      <c r="B847" s="3" t="s">
        <v>543</v>
      </c>
      <c r="C847" s="0" t="n">
        <v>236</v>
      </c>
      <c r="D847" s="0" t="n">
        <v>2</v>
      </c>
      <c r="E847" s="0" t="str">
        <f aca="false">INDEX(lot!$B$2:$B$1201,MATCH(B847,lot!$A$2:$A$1201,0))</f>
        <v>SUP-E</v>
      </c>
      <c r="F847" s="3" t="n">
        <f aca="false">YEAR(A847)*100+MONTH(A847)</f>
        <v>202604</v>
      </c>
    </row>
    <row r="848" customFormat="false" ht="15" hidden="false" customHeight="false" outlineLevel="0" collapsed="false">
      <c r="A848" s="2" t="n">
        <v>46121</v>
      </c>
      <c r="B848" s="3" t="s">
        <v>543</v>
      </c>
      <c r="C848" s="0" t="n">
        <v>154</v>
      </c>
      <c r="D848" s="0" t="n">
        <v>1</v>
      </c>
      <c r="E848" s="0" t="str">
        <f aca="false">INDEX(lot!$B$2:$B$1201,MATCH(B848,lot!$A$2:$A$1201,0))</f>
        <v>SUP-E</v>
      </c>
      <c r="F848" s="3" t="n">
        <f aca="false">YEAR(A848)*100+MONTH(A848)</f>
        <v>202604</v>
      </c>
    </row>
    <row r="849" customFormat="false" ht="15" hidden="false" customHeight="false" outlineLevel="0" collapsed="false">
      <c r="A849" s="2" t="n">
        <v>46121</v>
      </c>
      <c r="B849" s="3" t="s">
        <v>576</v>
      </c>
      <c r="C849" s="0" t="n">
        <v>81</v>
      </c>
      <c r="D849" s="0" t="n">
        <v>2</v>
      </c>
      <c r="E849" s="0" t="str">
        <f aca="false">INDEX(lot!$B$2:$B$1201,MATCH(B849,lot!$A$2:$A$1201,0))</f>
        <v>SUP-A</v>
      </c>
      <c r="F849" s="3" t="n">
        <f aca="false">YEAR(A849)*100+MONTH(A849)</f>
        <v>202604</v>
      </c>
    </row>
    <row r="850" customFormat="false" ht="15" hidden="false" customHeight="false" outlineLevel="0" collapsed="false">
      <c r="A850" s="2" t="n">
        <v>46121</v>
      </c>
      <c r="B850" s="3" t="s">
        <v>576</v>
      </c>
      <c r="C850" s="0" t="n">
        <v>200</v>
      </c>
      <c r="D850" s="0" t="n">
        <v>16</v>
      </c>
      <c r="E850" s="0" t="str">
        <f aca="false">INDEX(lot!$B$2:$B$1201,MATCH(B850,lot!$A$2:$A$1201,0))</f>
        <v>SUP-A</v>
      </c>
      <c r="F850" s="3" t="n">
        <f aca="false">YEAR(A850)*100+MONTH(A850)</f>
        <v>202604</v>
      </c>
    </row>
    <row r="851" customFormat="false" ht="15" hidden="false" customHeight="false" outlineLevel="0" collapsed="false">
      <c r="A851" s="2" t="n">
        <v>46121</v>
      </c>
      <c r="B851" s="3" t="s">
        <v>619</v>
      </c>
      <c r="C851" s="0" t="n">
        <v>70</v>
      </c>
      <c r="D851" s="0" t="n">
        <v>4</v>
      </c>
      <c r="E851" s="0" t="str">
        <f aca="false">INDEX(lot!$B$2:$B$1201,MATCH(B851,lot!$A$2:$A$1201,0))</f>
        <v>SUP-C</v>
      </c>
      <c r="F851" s="3" t="n">
        <f aca="false">YEAR(A851)*100+MONTH(A851)</f>
        <v>202604</v>
      </c>
    </row>
    <row r="852" customFormat="false" ht="15" hidden="false" customHeight="false" outlineLevel="0" collapsed="false">
      <c r="A852" s="2" t="n">
        <v>46121</v>
      </c>
      <c r="B852" s="3" t="s">
        <v>619</v>
      </c>
      <c r="C852" s="0" t="n">
        <v>115</v>
      </c>
      <c r="D852" s="0" t="n">
        <v>1</v>
      </c>
      <c r="E852" s="0" t="str">
        <f aca="false">INDEX(lot!$B$2:$B$1201,MATCH(B852,lot!$A$2:$A$1201,0))</f>
        <v>SUP-C</v>
      </c>
      <c r="F852" s="3" t="n">
        <f aca="false">YEAR(A852)*100+MONTH(A852)</f>
        <v>202604</v>
      </c>
    </row>
    <row r="853" customFormat="false" ht="15" hidden="false" customHeight="false" outlineLevel="0" collapsed="false">
      <c r="A853" s="2" t="n">
        <v>46121</v>
      </c>
      <c r="B853" s="3" t="s">
        <v>706</v>
      </c>
      <c r="C853" s="0" t="n">
        <v>217</v>
      </c>
      <c r="D853" s="0" t="n">
        <v>7</v>
      </c>
      <c r="E853" s="0" t="str">
        <f aca="false">INDEX(lot!$B$2:$B$1201,MATCH(B853,lot!$A$2:$A$1201,0))</f>
        <v>SUP-C</v>
      </c>
      <c r="F853" s="3" t="n">
        <f aca="false">YEAR(A853)*100+MONTH(A853)</f>
        <v>202604</v>
      </c>
    </row>
    <row r="854" customFormat="false" ht="15" hidden="false" customHeight="false" outlineLevel="0" collapsed="false">
      <c r="A854" s="2" t="n">
        <v>46121</v>
      </c>
      <c r="B854" s="3" t="s">
        <v>706</v>
      </c>
      <c r="C854" s="0" t="n">
        <v>69</v>
      </c>
      <c r="D854" s="0" t="n">
        <v>2</v>
      </c>
      <c r="E854" s="0" t="str">
        <f aca="false">INDEX(lot!$B$2:$B$1201,MATCH(B854,lot!$A$2:$A$1201,0))</f>
        <v>SUP-C</v>
      </c>
      <c r="F854" s="3" t="n">
        <f aca="false">YEAR(A854)*100+MONTH(A854)</f>
        <v>202604</v>
      </c>
    </row>
    <row r="855" customFormat="false" ht="15" hidden="false" customHeight="false" outlineLevel="0" collapsed="false">
      <c r="A855" s="2" t="n">
        <v>46121</v>
      </c>
      <c r="B855" s="3" t="s">
        <v>739</v>
      </c>
      <c r="C855" s="0" t="n">
        <v>239</v>
      </c>
      <c r="D855" s="0" t="n">
        <v>2</v>
      </c>
      <c r="E855" s="0" t="str">
        <f aca="false">INDEX(lot!$B$2:$B$1201,MATCH(B855,lot!$A$2:$A$1201,0))</f>
        <v>SUP-E</v>
      </c>
      <c r="F855" s="3" t="n">
        <f aca="false">YEAR(A855)*100+MONTH(A855)</f>
        <v>202604</v>
      </c>
    </row>
    <row r="856" customFormat="false" ht="15" hidden="false" customHeight="false" outlineLevel="0" collapsed="false">
      <c r="A856" s="2" t="n">
        <v>46121</v>
      </c>
      <c r="B856" s="3" t="s">
        <v>739</v>
      </c>
      <c r="C856" s="0" t="n">
        <v>245</v>
      </c>
      <c r="D856" s="0" t="n">
        <v>3</v>
      </c>
      <c r="E856" s="0" t="str">
        <f aca="false">INDEX(lot!$B$2:$B$1201,MATCH(B856,lot!$A$2:$A$1201,0))</f>
        <v>SUP-E</v>
      </c>
      <c r="F856" s="3" t="n">
        <f aca="false">YEAR(A856)*100+MONTH(A856)</f>
        <v>202604</v>
      </c>
    </row>
    <row r="857" customFormat="false" ht="15" hidden="false" customHeight="false" outlineLevel="0" collapsed="false">
      <c r="A857" s="2" t="n">
        <v>46121</v>
      </c>
      <c r="B857" s="3" t="s">
        <v>748</v>
      </c>
      <c r="C857" s="0" t="n">
        <v>196</v>
      </c>
      <c r="D857" s="0" t="n">
        <v>1</v>
      </c>
      <c r="E857" s="0" t="str">
        <f aca="false">INDEX(lot!$B$2:$B$1201,MATCH(B857,lot!$A$2:$A$1201,0))</f>
        <v>SUP-D</v>
      </c>
      <c r="F857" s="3" t="n">
        <f aca="false">YEAR(A857)*100+MONTH(A857)</f>
        <v>202604</v>
      </c>
    </row>
    <row r="858" customFormat="false" ht="15" hidden="false" customHeight="false" outlineLevel="0" collapsed="false">
      <c r="A858" s="2" t="n">
        <v>46121</v>
      </c>
      <c r="B858" s="3" t="s">
        <v>759</v>
      </c>
      <c r="C858" s="0" t="n">
        <v>129</v>
      </c>
      <c r="D858" s="0" t="n">
        <v>2</v>
      </c>
      <c r="E858" s="0" t="str">
        <f aca="false">INDEX(lot!$B$2:$B$1201,MATCH(B858,lot!$A$2:$A$1201,0))</f>
        <v>SUP-C</v>
      </c>
      <c r="F858" s="3" t="n">
        <f aca="false">YEAR(A858)*100+MONTH(A858)</f>
        <v>202604</v>
      </c>
    </row>
    <row r="859" customFormat="false" ht="15" hidden="false" customHeight="false" outlineLevel="0" collapsed="false">
      <c r="A859" s="2" t="n">
        <v>46121</v>
      </c>
      <c r="B859" s="3" t="s">
        <v>806</v>
      </c>
      <c r="C859" s="0" t="n">
        <v>70</v>
      </c>
      <c r="D859" s="0" t="n">
        <v>0</v>
      </c>
      <c r="E859" s="0" t="str">
        <f aca="false">INDEX(lot!$B$2:$B$1201,MATCH(B859,lot!$A$2:$A$1201,0))</f>
        <v>SUP-D</v>
      </c>
      <c r="F859" s="3" t="n">
        <f aca="false">YEAR(A859)*100+MONTH(A859)</f>
        <v>202604</v>
      </c>
    </row>
    <row r="860" customFormat="false" ht="15" hidden="false" customHeight="false" outlineLevel="0" collapsed="false">
      <c r="A860" s="2" t="n">
        <v>46121</v>
      </c>
      <c r="B860" s="3" t="s">
        <v>806</v>
      </c>
      <c r="C860" s="0" t="n">
        <v>184</v>
      </c>
      <c r="D860" s="0" t="n">
        <v>1</v>
      </c>
      <c r="E860" s="0" t="str">
        <f aca="false">INDEX(lot!$B$2:$B$1201,MATCH(B860,lot!$A$2:$A$1201,0))</f>
        <v>SUP-D</v>
      </c>
      <c r="F860" s="3" t="n">
        <f aca="false">YEAR(A860)*100+MONTH(A860)</f>
        <v>202604</v>
      </c>
    </row>
    <row r="861" customFormat="false" ht="15" hidden="false" customHeight="false" outlineLevel="0" collapsed="false">
      <c r="A861" s="2" t="n">
        <v>46121</v>
      </c>
      <c r="B861" s="3" t="s">
        <v>857</v>
      </c>
      <c r="C861" s="0" t="n">
        <v>147</v>
      </c>
      <c r="D861" s="0" t="n">
        <v>1</v>
      </c>
      <c r="E861" s="0" t="str">
        <f aca="false">INDEX(lot!$B$2:$B$1201,MATCH(B861,lot!$A$2:$A$1201,0))</f>
        <v>SUP-C</v>
      </c>
      <c r="F861" s="3" t="n">
        <f aca="false">YEAR(A861)*100+MONTH(A861)</f>
        <v>202604</v>
      </c>
    </row>
    <row r="862" customFormat="false" ht="15" hidden="false" customHeight="false" outlineLevel="0" collapsed="false">
      <c r="A862" s="2" t="n">
        <v>46121</v>
      </c>
      <c r="B862" s="3" t="s">
        <v>903</v>
      </c>
      <c r="C862" s="0" t="n">
        <v>181</v>
      </c>
      <c r="D862" s="0" t="n">
        <v>2</v>
      </c>
      <c r="E862" s="0" t="str">
        <f aca="false">INDEX(lot!$B$2:$B$1201,MATCH(B862,lot!$A$2:$A$1201,0))</f>
        <v>SUP-D</v>
      </c>
      <c r="F862" s="3" t="n">
        <f aca="false">YEAR(A862)*100+MONTH(A862)</f>
        <v>202604</v>
      </c>
    </row>
    <row r="863" customFormat="false" ht="15" hidden="false" customHeight="false" outlineLevel="0" collapsed="false">
      <c r="A863" s="2" t="n">
        <v>46121</v>
      </c>
      <c r="B863" s="3" t="s">
        <v>903</v>
      </c>
      <c r="C863" s="0" t="n">
        <v>227</v>
      </c>
      <c r="D863" s="0" t="n">
        <v>3</v>
      </c>
      <c r="E863" s="0" t="str">
        <f aca="false">INDEX(lot!$B$2:$B$1201,MATCH(B863,lot!$A$2:$A$1201,0))</f>
        <v>SUP-D</v>
      </c>
      <c r="F863" s="3" t="n">
        <f aca="false">YEAR(A863)*100+MONTH(A863)</f>
        <v>202604</v>
      </c>
    </row>
    <row r="864" customFormat="false" ht="15" hidden="false" customHeight="false" outlineLevel="0" collapsed="false">
      <c r="A864" s="2" t="n">
        <v>46121</v>
      </c>
      <c r="B864" s="3" t="s">
        <v>905</v>
      </c>
      <c r="C864" s="0" t="n">
        <v>67</v>
      </c>
      <c r="D864" s="0" t="n">
        <v>1</v>
      </c>
      <c r="E864" s="0" t="str">
        <f aca="false">INDEX(lot!$B$2:$B$1201,MATCH(B864,lot!$A$2:$A$1201,0))</f>
        <v>SUP-B</v>
      </c>
      <c r="F864" s="3" t="n">
        <f aca="false">YEAR(A864)*100+MONTH(A864)</f>
        <v>202604</v>
      </c>
    </row>
    <row r="865" customFormat="false" ht="15" hidden="false" customHeight="false" outlineLevel="0" collapsed="false">
      <c r="A865" s="2" t="n">
        <v>46121</v>
      </c>
      <c r="B865" s="3" t="s">
        <v>905</v>
      </c>
      <c r="C865" s="0" t="n">
        <v>140</v>
      </c>
      <c r="D865" s="0" t="n">
        <v>2</v>
      </c>
      <c r="E865" s="0" t="str">
        <f aca="false">INDEX(lot!$B$2:$B$1201,MATCH(B865,lot!$A$2:$A$1201,0))</f>
        <v>SUP-B</v>
      </c>
      <c r="F865" s="3" t="n">
        <f aca="false">YEAR(A865)*100+MONTH(A865)</f>
        <v>202604</v>
      </c>
    </row>
    <row r="866" customFormat="false" ht="15" hidden="false" customHeight="false" outlineLevel="0" collapsed="false">
      <c r="A866" s="2" t="n">
        <v>46121</v>
      </c>
      <c r="B866" s="3" t="s">
        <v>1029</v>
      </c>
      <c r="C866" s="0" t="n">
        <v>76</v>
      </c>
      <c r="D866" s="0" t="n">
        <v>2</v>
      </c>
      <c r="E866" s="0" t="str">
        <f aca="false">INDEX(lot!$B$2:$B$1201,MATCH(B866,lot!$A$2:$A$1201,0))</f>
        <v>SUP-E</v>
      </c>
      <c r="F866" s="3" t="n">
        <f aca="false">YEAR(A866)*100+MONTH(A866)</f>
        <v>202604</v>
      </c>
    </row>
    <row r="867" customFormat="false" ht="15" hidden="false" customHeight="false" outlineLevel="0" collapsed="false">
      <c r="A867" s="2" t="n">
        <v>46121</v>
      </c>
      <c r="B867" s="3" t="s">
        <v>1055</v>
      </c>
      <c r="C867" s="0" t="n">
        <v>151</v>
      </c>
      <c r="D867" s="0" t="n">
        <v>5</v>
      </c>
      <c r="E867" s="0" t="str">
        <f aca="false">INDEX(lot!$B$2:$B$1201,MATCH(B867,lot!$A$2:$A$1201,0))</f>
        <v>SUP-C</v>
      </c>
      <c r="F867" s="3" t="n">
        <f aca="false">YEAR(A867)*100+MONTH(A867)</f>
        <v>202604</v>
      </c>
    </row>
    <row r="868" customFormat="false" ht="15" hidden="false" customHeight="false" outlineLevel="0" collapsed="false">
      <c r="A868" s="2" t="n">
        <v>46121</v>
      </c>
      <c r="B868" s="3" t="s">
        <v>1055</v>
      </c>
      <c r="C868" s="0" t="n">
        <v>239</v>
      </c>
      <c r="D868" s="0" t="n">
        <v>3</v>
      </c>
      <c r="E868" s="0" t="str">
        <f aca="false">INDEX(lot!$B$2:$B$1201,MATCH(B868,lot!$A$2:$A$1201,0))</f>
        <v>SUP-C</v>
      </c>
      <c r="F868" s="3" t="n">
        <f aca="false">YEAR(A868)*100+MONTH(A868)</f>
        <v>202604</v>
      </c>
    </row>
    <row r="869" customFormat="false" ht="15" hidden="false" customHeight="false" outlineLevel="0" collapsed="false">
      <c r="A869" s="2" t="n">
        <v>46121</v>
      </c>
      <c r="B869" s="3" t="s">
        <v>1074</v>
      </c>
      <c r="C869" s="0" t="n">
        <v>83</v>
      </c>
      <c r="D869" s="0" t="n">
        <v>0</v>
      </c>
      <c r="E869" s="0" t="str">
        <f aca="false">INDEX(lot!$B$2:$B$1201,MATCH(B869,lot!$A$2:$A$1201,0))</f>
        <v>SUP-A</v>
      </c>
      <c r="F869" s="3" t="n">
        <f aca="false">YEAR(A869)*100+MONTH(A869)</f>
        <v>202604</v>
      </c>
    </row>
    <row r="870" customFormat="false" ht="15" hidden="false" customHeight="false" outlineLevel="0" collapsed="false">
      <c r="A870" s="2" t="n">
        <v>46121</v>
      </c>
      <c r="B870" s="3" t="s">
        <v>1074</v>
      </c>
      <c r="C870" s="0" t="n">
        <v>84</v>
      </c>
      <c r="D870" s="0" t="n">
        <v>1</v>
      </c>
      <c r="E870" s="0" t="str">
        <f aca="false">INDEX(lot!$B$2:$B$1201,MATCH(B870,lot!$A$2:$A$1201,0))</f>
        <v>SUP-A</v>
      </c>
      <c r="F870" s="3" t="n">
        <f aca="false">YEAR(A870)*100+MONTH(A870)</f>
        <v>202604</v>
      </c>
    </row>
    <row r="871" customFormat="false" ht="15" hidden="false" customHeight="false" outlineLevel="0" collapsed="false">
      <c r="A871" s="2" t="n">
        <v>46121</v>
      </c>
      <c r="B871" s="3" t="s">
        <v>1107</v>
      </c>
      <c r="C871" s="0" t="n">
        <v>246</v>
      </c>
      <c r="D871" s="0" t="n">
        <v>3</v>
      </c>
      <c r="E871" s="0" t="str">
        <f aca="false">INDEX(lot!$B$2:$B$1201,MATCH(B871,lot!$A$2:$A$1201,0))</f>
        <v>SUP-A</v>
      </c>
      <c r="F871" s="3" t="n">
        <f aca="false">YEAR(A871)*100+MONTH(A871)</f>
        <v>202604</v>
      </c>
    </row>
    <row r="872" customFormat="false" ht="15" hidden="false" customHeight="false" outlineLevel="0" collapsed="false">
      <c r="A872" s="2" t="n">
        <v>46121</v>
      </c>
      <c r="B872" s="3" t="s">
        <v>1107</v>
      </c>
      <c r="C872" s="0" t="n">
        <v>132</v>
      </c>
      <c r="D872" s="0" t="n">
        <v>0</v>
      </c>
      <c r="E872" s="0" t="str">
        <f aca="false">INDEX(lot!$B$2:$B$1201,MATCH(B872,lot!$A$2:$A$1201,0))</f>
        <v>SUP-A</v>
      </c>
      <c r="F872" s="3" t="n">
        <f aca="false">YEAR(A872)*100+MONTH(A872)</f>
        <v>202604</v>
      </c>
    </row>
    <row r="873" customFormat="false" ht="15" hidden="false" customHeight="false" outlineLevel="0" collapsed="false">
      <c r="A873" s="2" t="n">
        <v>46121</v>
      </c>
      <c r="B873" s="3" t="s">
        <v>1135</v>
      </c>
      <c r="C873" s="0" t="n">
        <v>65</v>
      </c>
      <c r="D873" s="0" t="n">
        <v>0</v>
      </c>
      <c r="E873" s="0" t="str">
        <f aca="false">INDEX(lot!$B$2:$B$1201,MATCH(B873,lot!$A$2:$A$1201,0))</f>
        <v>SUP-D</v>
      </c>
      <c r="F873" s="3" t="n">
        <f aca="false">YEAR(A873)*100+MONTH(A873)</f>
        <v>202604</v>
      </c>
    </row>
    <row r="874" customFormat="false" ht="15" hidden="false" customHeight="false" outlineLevel="0" collapsed="false">
      <c r="A874" s="2" t="n">
        <v>46121</v>
      </c>
      <c r="B874" s="3" t="s">
        <v>1136</v>
      </c>
      <c r="C874" s="0" t="n">
        <v>227</v>
      </c>
      <c r="D874" s="0" t="n">
        <v>4</v>
      </c>
      <c r="E874" s="0" t="str">
        <f aca="false">INDEX(lot!$B$2:$B$1201,MATCH(B874,lot!$A$2:$A$1201,0))</f>
        <v>SUP-E</v>
      </c>
      <c r="F874" s="3" t="n">
        <f aca="false">YEAR(A874)*100+MONTH(A874)</f>
        <v>202604</v>
      </c>
    </row>
    <row r="875" customFormat="false" ht="15" hidden="false" customHeight="false" outlineLevel="0" collapsed="false">
      <c r="A875" s="2" t="n">
        <v>46122</v>
      </c>
      <c r="B875" s="3" t="s">
        <v>26</v>
      </c>
      <c r="C875" s="0" t="n">
        <v>192</v>
      </c>
      <c r="D875" s="0" t="n">
        <v>2</v>
      </c>
      <c r="E875" s="0" t="str">
        <f aca="false">INDEX(lot!$B$2:$B$1201,MATCH(B875,lot!$A$2:$A$1201,0))</f>
        <v>SUP-E</v>
      </c>
      <c r="F875" s="3" t="n">
        <f aca="false">YEAR(A875)*100+MONTH(A875)</f>
        <v>202604</v>
      </c>
    </row>
    <row r="876" customFormat="false" ht="15" hidden="false" customHeight="false" outlineLevel="0" collapsed="false">
      <c r="A876" s="2" t="n">
        <v>46122</v>
      </c>
      <c r="B876" s="3" t="s">
        <v>26</v>
      </c>
      <c r="C876" s="0" t="n">
        <v>79</v>
      </c>
      <c r="D876" s="0" t="n">
        <v>0</v>
      </c>
      <c r="E876" s="0" t="str">
        <f aca="false">INDEX(lot!$B$2:$B$1201,MATCH(B876,lot!$A$2:$A$1201,0))</f>
        <v>SUP-E</v>
      </c>
      <c r="F876" s="3" t="n">
        <f aca="false">YEAR(A876)*100+MONTH(A876)</f>
        <v>202604</v>
      </c>
    </row>
    <row r="877" customFormat="false" ht="15" hidden="false" customHeight="false" outlineLevel="0" collapsed="false">
      <c r="A877" s="2" t="n">
        <v>46122</v>
      </c>
      <c r="B877" s="3" t="s">
        <v>167</v>
      </c>
      <c r="C877" s="0" t="n">
        <v>222</v>
      </c>
      <c r="D877" s="0" t="n">
        <v>5</v>
      </c>
      <c r="E877" s="0" t="str">
        <f aca="false">INDEX(lot!$B$2:$B$1201,MATCH(B877,lot!$A$2:$A$1201,0))</f>
        <v>SUP-C</v>
      </c>
      <c r="F877" s="3" t="n">
        <f aca="false">YEAR(A877)*100+MONTH(A877)</f>
        <v>202604</v>
      </c>
    </row>
    <row r="878" customFormat="false" ht="15" hidden="false" customHeight="false" outlineLevel="0" collapsed="false">
      <c r="A878" s="2" t="n">
        <v>46122</v>
      </c>
      <c r="B878" s="3" t="s">
        <v>167</v>
      </c>
      <c r="C878" s="0" t="n">
        <v>165</v>
      </c>
      <c r="D878" s="0" t="n">
        <v>5</v>
      </c>
      <c r="E878" s="0" t="str">
        <f aca="false">INDEX(lot!$B$2:$B$1201,MATCH(B878,lot!$A$2:$A$1201,0))</f>
        <v>SUP-C</v>
      </c>
      <c r="F878" s="3" t="n">
        <f aca="false">YEAR(A878)*100+MONTH(A878)</f>
        <v>202604</v>
      </c>
    </row>
    <row r="879" customFormat="false" ht="15" hidden="false" customHeight="false" outlineLevel="0" collapsed="false">
      <c r="A879" s="2" t="n">
        <v>46122</v>
      </c>
      <c r="B879" s="3" t="s">
        <v>169</v>
      </c>
      <c r="C879" s="0" t="n">
        <v>148</v>
      </c>
      <c r="D879" s="0" t="n">
        <v>2</v>
      </c>
      <c r="E879" s="0" t="str">
        <f aca="false">INDEX(lot!$B$2:$B$1201,MATCH(B879,lot!$A$2:$A$1201,0))</f>
        <v>SUP-E</v>
      </c>
      <c r="F879" s="3" t="n">
        <f aca="false">YEAR(A879)*100+MONTH(A879)</f>
        <v>202604</v>
      </c>
    </row>
    <row r="880" customFormat="false" ht="15" hidden="false" customHeight="false" outlineLevel="0" collapsed="false">
      <c r="A880" s="2" t="n">
        <v>46122</v>
      </c>
      <c r="B880" s="3" t="s">
        <v>169</v>
      </c>
      <c r="C880" s="0" t="n">
        <v>105</v>
      </c>
      <c r="D880" s="0" t="n">
        <v>1</v>
      </c>
      <c r="E880" s="0" t="str">
        <f aca="false">INDEX(lot!$B$2:$B$1201,MATCH(B880,lot!$A$2:$A$1201,0))</f>
        <v>SUP-E</v>
      </c>
      <c r="F880" s="3" t="n">
        <f aca="false">YEAR(A880)*100+MONTH(A880)</f>
        <v>202604</v>
      </c>
    </row>
    <row r="881" customFormat="false" ht="15" hidden="false" customHeight="false" outlineLevel="0" collapsed="false">
      <c r="A881" s="2" t="n">
        <v>46122</v>
      </c>
      <c r="B881" s="3" t="s">
        <v>178</v>
      </c>
      <c r="C881" s="0" t="n">
        <v>164</v>
      </c>
      <c r="D881" s="0" t="n">
        <v>1</v>
      </c>
      <c r="E881" s="0" t="str">
        <f aca="false">INDEX(lot!$B$2:$B$1201,MATCH(B881,lot!$A$2:$A$1201,0))</f>
        <v>SUP-B</v>
      </c>
      <c r="F881" s="3" t="n">
        <f aca="false">YEAR(A881)*100+MONTH(A881)</f>
        <v>202604</v>
      </c>
    </row>
    <row r="882" customFormat="false" ht="15" hidden="false" customHeight="false" outlineLevel="0" collapsed="false">
      <c r="A882" s="2" t="n">
        <v>46122</v>
      </c>
      <c r="B882" s="3" t="s">
        <v>211</v>
      </c>
      <c r="C882" s="0" t="n">
        <v>198</v>
      </c>
      <c r="D882" s="0" t="n">
        <v>3</v>
      </c>
      <c r="E882" s="0" t="str">
        <f aca="false">INDEX(lot!$B$2:$B$1201,MATCH(B882,lot!$A$2:$A$1201,0))</f>
        <v>SUP-E</v>
      </c>
      <c r="F882" s="3" t="n">
        <f aca="false">YEAR(A882)*100+MONTH(A882)</f>
        <v>202604</v>
      </c>
    </row>
    <row r="883" customFormat="false" ht="15" hidden="false" customHeight="false" outlineLevel="0" collapsed="false">
      <c r="A883" s="2" t="n">
        <v>46122</v>
      </c>
      <c r="B883" s="3" t="s">
        <v>211</v>
      </c>
      <c r="C883" s="0" t="n">
        <v>89</v>
      </c>
      <c r="D883" s="0" t="n">
        <v>1</v>
      </c>
      <c r="E883" s="0" t="str">
        <f aca="false">INDEX(lot!$B$2:$B$1201,MATCH(B883,lot!$A$2:$A$1201,0))</f>
        <v>SUP-E</v>
      </c>
      <c r="F883" s="3" t="n">
        <f aca="false">YEAR(A883)*100+MONTH(A883)</f>
        <v>202604</v>
      </c>
    </row>
    <row r="884" customFormat="false" ht="15" hidden="false" customHeight="false" outlineLevel="0" collapsed="false">
      <c r="A884" s="2" t="n">
        <v>46122</v>
      </c>
      <c r="B884" s="3" t="s">
        <v>221</v>
      </c>
      <c r="C884" s="0" t="n">
        <v>137</v>
      </c>
      <c r="D884" s="0" t="n">
        <v>1</v>
      </c>
      <c r="E884" s="0" t="str">
        <f aca="false">INDEX(lot!$B$2:$B$1201,MATCH(B884,lot!$A$2:$A$1201,0))</f>
        <v>SUP-B</v>
      </c>
      <c r="F884" s="3" t="n">
        <f aca="false">YEAR(A884)*100+MONTH(A884)</f>
        <v>202604</v>
      </c>
    </row>
    <row r="885" customFormat="false" ht="15" hidden="false" customHeight="false" outlineLevel="0" collapsed="false">
      <c r="A885" s="2" t="n">
        <v>46122</v>
      </c>
      <c r="B885" s="3" t="s">
        <v>221</v>
      </c>
      <c r="C885" s="0" t="n">
        <v>142</v>
      </c>
      <c r="D885" s="0" t="n">
        <v>1</v>
      </c>
      <c r="E885" s="0" t="str">
        <f aca="false">INDEX(lot!$B$2:$B$1201,MATCH(B885,lot!$A$2:$A$1201,0))</f>
        <v>SUP-B</v>
      </c>
      <c r="F885" s="3" t="n">
        <f aca="false">YEAR(A885)*100+MONTH(A885)</f>
        <v>202604</v>
      </c>
    </row>
    <row r="886" customFormat="false" ht="15" hidden="false" customHeight="false" outlineLevel="0" collapsed="false">
      <c r="A886" s="2" t="n">
        <v>46122</v>
      </c>
      <c r="B886" s="3" t="s">
        <v>261</v>
      </c>
      <c r="C886" s="0" t="n">
        <v>119</v>
      </c>
      <c r="D886" s="0" t="n">
        <v>2</v>
      </c>
      <c r="E886" s="0" t="str">
        <f aca="false">INDEX(lot!$B$2:$B$1201,MATCH(B886,lot!$A$2:$A$1201,0))</f>
        <v>SUP-E</v>
      </c>
      <c r="F886" s="3" t="n">
        <f aca="false">YEAR(A886)*100+MONTH(A886)</f>
        <v>202604</v>
      </c>
    </row>
    <row r="887" customFormat="false" ht="15" hidden="false" customHeight="false" outlineLevel="0" collapsed="false">
      <c r="A887" s="2" t="n">
        <v>46122</v>
      </c>
      <c r="B887" s="3" t="s">
        <v>265</v>
      </c>
      <c r="C887" s="0" t="n">
        <v>250</v>
      </c>
      <c r="D887" s="0" t="n">
        <v>2</v>
      </c>
      <c r="E887" s="0" t="str">
        <f aca="false">INDEX(lot!$B$2:$B$1201,MATCH(B887,lot!$A$2:$A$1201,0))</f>
        <v>SUP-E</v>
      </c>
      <c r="F887" s="3" t="n">
        <f aca="false">YEAR(A887)*100+MONTH(A887)</f>
        <v>202604</v>
      </c>
    </row>
    <row r="888" customFormat="false" ht="15" hidden="false" customHeight="false" outlineLevel="0" collapsed="false">
      <c r="A888" s="2" t="n">
        <v>46122</v>
      </c>
      <c r="B888" s="3" t="s">
        <v>315</v>
      </c>
      <c r="C888" s="0" t="n">
        <v>164</v>
      </c>
      <c r="D888" s="0" t="n">
        <v>1</v>
      </c>
      <c r="E888" s="0" t="str">
        <f aca="false">INDEX(lot!$B$2:$B$1201,MATCH(B888,lot!$A$2:$A$1201,0))</f>
        <v>SUP-A</v>
      </c>
      <c r="F888" s="3" t="n">
        <f aca="false">YEAR(A888)*100+MONTH(A888)</f>
        <v>202604</v>
      </c>
    </row>
    <row r="889" customFormat="false" ht="15" hidden="false" customHeight="false" outlineLevel="0" collapsed="false">
      <c r="A889" s="2" t="n">
        <v>46122</v>
      </c>
      <c r="B889" s="3" t="s">
        <v>448</v>
      </c>
      <c r="C889" s="0" t="n">
        <v>203</v>
      </c>
      <c r="D889" s="0" t="n">
        <v>1</v>
      </c>
      <c r="E889" s="0" t="str">
        <f aca="false">INDEX(lot!$B$2:$B$1201,MATCH(B889,lot!$A$2:$A$1201,0))</f>
        <v>SUP-D</v>
      </c>
      <c r="F889" s="3" t="n">
        <f aca="false">YEAR(A889)*100+MONTH(A889)</f>
        <v>202604</v>
      </c>
    </row>
    <row r="890" customFormat="false" ht="15" hidden="false" customHeight="false" outlineLevel="0" collapsed="false">
      <c r="A890" s="2" t="n">
        <v>46122</v>
      </c>
      <c r="B890" s="3" t="s">
        <v>448</v>
      </c>
      <c r="C890" s="0" t="n">
        <v>224</v>
      </c>
      <c r="D890" s="0" t="n">
        <v>0</v>
      </c>
      <c r="E890" s="0" t="str">
        <f aca="false">INDEX(lot!$B$2:$B$1201,MATCH(B890,lot!$A$2:$A$1201,0))</f>
        <v>SUP-D</v>
      </c>
      <c r="F890" s="3" t="n">
        <f aca="false">YEAR(A890)*100+MONTH(A890)</f>
        <v>202604</v>
      </c>
    </row>
    <row r="891" customFormat="false" ht="15" hidden="false" customHeight="false" outlineLevel="0" collapsed="false">
      <c r="A891" s="2" t="n">
        <v>46122</v>
      </c>
      <c r="B891" s="3" t="s">
        <v>472</v>
      </c>
      <c r="C891" s="0" t="n">
        <v>193</v>
      </c>
      <c r="D891" s="0" t="n">
        <v>3</v>
      </c>
      <c r="E891" s="0" t="str">
        <f aca="false">INDEX(lot!$B$2:$B$1201,MATCH(B891,lot!$A$2:$A$1201,0))</f>
        <v>SUP-C</v>
      </c>
      <c r="F891" s="3" t="n">
        <f aca="false">YEAR(A891)*100+MONTH(A891)</f>
        <v>202604</v>
      </c>
    </row>
    <row r="892" customFormat="false" ht="15" hidden="false" customHeight="false" outlineLevel="0" collapsed="false">
      <c r="A892" s="2" t="n">
        <v>46122</v>
      </c>
      <c r="B892" s="3" t="s">
        <v>472</v>
      </c>
      <c r="C892" s="0" t="n">
        <v>228</v>
      </c>
      <c r="D892" s="0" t="n">
        <v>5</v>
      </c>
      <c r="E892" s="0" t="str">
        <f aca="false">INDEX(lot!$B$2:$B$1201,MATCH(B892,lot!$A$2:$A$1201,0))</f>
        <v>SUP-C</v>
      </c>
      <c r="F892" s="3" t="n">
        <f aca="false">YEAR(A892)*100+MONTH(A892)</f>
        <v>202604</v>
      </c>
    </row>
    <row r="893" customFormat="false" ht="15" hidden="false" customHeight="false" outlineLevel="0" collapsed="false">
      <c r="A893" s="2" t="n">
        <v>46122</v>
      </c>
      <c r="B893" s="3" t="s">
        <v>543</v>
      </c>
      <c r="C893" s="0" t="n">
        <v>139</v>
      </c>
      <c r="D893" s="0" t="n">
        <v>0</v>
      </c>
      <c r="E893" s="0" t="str">
        <f aca="false">INDEX(lot!$B$2:$B$1201,MATCH(B893,lot!$A$2:$A$1201,0))</f>
        <v>SUP-E</v>
      </c>
      <c r="F893" s="3" t="n">
        <f aca="false">YEAR(A893)*100+MONTH(A893)</f>
        <v>202604</v>
      </c>
    </row>
    <row r="894" customFormat="false" ht="15" hidden="false" customHeight="false" outlineLevel="0" collapsed="false">
      <c r="A894" s="2" t="n">
        <v>46122</v>
      </c>
      <c r="B894" s="3" t="s">
        <v>562</v>
      </c>
      <c r="C894" s="0" t="n">
        <v>216</v>
      </c>
      <c r="D894" s="0" t="n">
        <v>36</v>
      </c>
      <c r="E894" s="0" t="str">
        <f aca="false">INDEX(lot!$B$2:$B$1201,MATCH(B894,lot!$A$2:$A$1201,0))</f>
        <v>SUP-C</v>
      </c>
      <c r="F894" s="3" t="n">
        <f aca="false">YEAR(A894)*100+MONTH(A894)</f>
        <v>202604</v>
      </c>
    </row>
    <row r="895" customFormat="false" ht="15" hidden="false" customHeight="false" outlineLevel="0" collapsed="false">
      <c r="A895" s="2" t="n">
        <v>46122</v>
      </c>
      <c r="B895" s="3" t="s">
        <v>562</v>
      </c>
      <c r="C895" s="0" t="n">
        <v>192</v>
      </c>
      <c r="D895" s="0" t="n">
        <v>40</v>
      </c>
      <c r="E895" s="0" t="str">
        <f aca="false">INDEX(lot!$B$2:$B$1201,MATCH(B895,lot!$A$2:$A$1201,0))</f>
        <v>SUP-C</v>
      </c>
      <c r="F895" s="3" t="n">
        <f aca="false">YEAR(A895)*100+MONTH(A895)</f>
        <v>202604</v>
      </c>
    </row>
    <row r="896" customFormat="false" ht="15" hidden="false" customHeight="false" outlineLevel="0" collapsed="false">
      <c r="A896" s="2" t="n">
        <v>46122</v>
      </c>
      <c r="B896" s="3" t="s">
        <v>619</v>
      </c>
      <c r="C896" s="0" t="n">
        <v>249</v>
      </c>
      <c r="D896" s="0" t="n">
        <v>11</v>
      </c>
      <c r="E896" s="0" t="str">
        <f aca="false">INDEX(lot!$B$2:$B$1201,MATCH(B896,lot!$A$2:$A$1201,0))</f>
        <v>SUP-C</v>
      </c>
      <c r="F896" s="3" t="n">
        <f aca="false">YEAR(A896)*100+MONTH(A896)</f>
        <v>202604</v>
      </c>
    </row>
    <row r="897" customFormat="false" ht="15" hidden="false" customHeight="false" outlineLevel="0" collapsed="false">
      <c r="A897" s="2" t="n">
        <v>46122</v>
      </c>
      <c r="B897" s="3" t="s">
        <v>706</v>
      </c>
      <c r="C897" s="0" t="n">
        <v>91</v>
      </c>
      <c r="D897" s="0" t="n">
        <v>1</v>
      </c>
      <c r="E897" s="0" t="str">
        <f aca="false">INDEX(lot!$B$2:$B$1201,MATCH(B897,lot!$A$2:$A$1201,0))</f>
        <v>SUP-C</v>
      </c>
      <c r="F897" s="3" t="n">
        <f aca="false">YEAR(A897)*100+MONTH(A897)</f>
        <v>202604</v>
      </c>
    </row>
    <row r="898" customFormat="false" ht="15" hidden="false" customHeight="false" outlineLevel="0" collapsed="false">
      <c r="A898" s="2" t="n">
        <v>46122</v>
      </c>
      <c r="B898" s="3" t="s">
        <v>739</v>
      </c>
      <c r="C898" s="0" t="n">
        <v>175</v>
      </c>
      <c r="D898" s="0" t="n">
        <v>2</v>
      </c>
      <c r="E898" s="0" t="str">
        <f aca="false">INDEX(lot!$B$2:$B$1201,MATCH(B898,lot!$A$2:$A$1201,0))</f>
        <v>SUP-E</v>
      </c>
      <c r="F898" s="3" t="n">
        <f aca="false">YEAR(A898)*100+MONTH(A898)</f>
        <v>202604</v>
      </c>
    </row>
    <row r="899" customFormat="false" ht="15" hidden="false" customHeight="false" outlineLevel="0" collapsed="false">
      <c r="A899" s="2" t="n">
        <v>46122</v>
      </c>
      <c r="B899" s="3" t="s">
        <v>739</v>
      </c>
      <c r="C899" s="0" t="n">
        <v>181</v>
      </c>
      <c r="D899" s="0" t="n">
        <v>0</v>
      </c>
      <c r="E899" s="0" t="str">
        <f aca="false">INDEX(lot!$B$2:$B$1201,MATCH(B899,lot!$A$2:$A$1201,0))</f>
        <v>SUP-E</v>
      </c>
      <c r="F899" s="3" t="n">
        <f aca="false">YEAR(A899)*100+MONTH(A899)</f>
        <v>202604</v>
      </c>
    </row>
    <row r="900" customFormat="false" ht="15" hidden="false" customHeight="false" outlineLevel="0" collapsed="false">
      <c r="A900" s="2" t="n">
        <v>46122</v>
      </c>
      <c r="B900" s="3" t="s">
        <v>745</v>
      </c>
      <c r="C900" s="0" t="n">
        <v>77</v>
      </c>
      <c r="D900" s="0" t="n">
        <v>0</v>
      </c>
      <c r="E900" s="0" t="str">
        <f aca="false">INDEX(lot!$B$2:$B$1201,MATCH(B900,lot!$A$2:$A$1201,0))</f>
        <v>SUP-D</v>
      </c>
      <c r="F900" s="3" t="n">
        <f aca="false">YEAR(A900)*100+MONTH(A900)</f>
        <v>202604</v>
      </c>
    </row>
    <row r="901" customFormat="false" ht="15" hidden="false" customHeight="false" outlineLevel="0" collapsed="false">
      <c r="A901" s="2" t="n">
        <v>46122</v>
      </c>
      <c r="B901" s="3" t="s">
        <v>745</v>
      </c>
      <c r="C901" s="0" t="n">
        <v>168</v>
      </c>
      <c r="D901" s="0" t="n">
        <v>2</v>
      </c>
      <c r="E901" s="0" t="str">
        <f aca="false">INDEX(lot!$B$2:$B$1201,MATCH(B901,lot!$A$2:$A$1201,0))</f>
        <v>SUP-D</v>
      </c>
      <c r="F901" s="3" t="n">
        <f aca="false">YEAR(A901)*100+MONTH(A901)</f>
        <v>202604</v>
      </c>
    </row>
    <row r="902" customFormat="false" ht="15" hidden="false" customHeight="false" outlineLevel="0" collapsed="false">
      <c r="A902" s="2" t="n">
        <v>46122</v>
      </c>
      <c r="B902" s="3" t="s">
        <v>759</v>
      </c>
      <c r="C902" s="0" t="n">
        <v>90</v>
      </c>
      <c r="D902" s="0" t="n">
        <v>1</v>
      </c>
      <c r="E902" s="0" t="str">
        <f aca="false">INDEX(lot!$B$2:$B$1201,MATCH(B902,lot!$A$2:$A$1201,0))</f>
        <v>SUP-C</v>
      </c>
      <c r="F902" s="3" t="n">
        <f aca="false">YEAR(A902)*100+MONTH(A902)</f>
        <v>202604</v>
      </c>
    </row>
    <row r="903" customFormat="false" ht="15" hidden="false" customHeight="false" outlineLevel="0" collapsed="false">
      <c r="A903" s="2" t="n">
        <v>46122</v>
      </c>
      <c r="B903" s="3" t="s">
        <v>791</v>
      </c>
      <c r="C903" s="0" t="n">
        <v>150</v>
      </c>
      <c r="D903" s="0" t="n">
        <v>6</v>
      </c>
      <c r="E903" s="0" t="str">
        <f aca="false">INDEX(lot!$B$2:$B$1201,MATCH(B903,lot!$A$2:$A$1201,0))</f>
        <v>SUP-C</v>
      </c>
      <c r="F903" s="3" t="n">
        <f aca="false">YEAR(A903)*100+MONTH(A903)</f>
        <v>202604</v>
      </c>
    </row>
    <row r="904" customFormat="false" ht="15" hidden="false" customHeight="false" outlineLevel="0" collapsed="false">
      <c r="A904" s="2" t="n">
        <v>46122</v>
      </c>
      <c r="B904" s="3" t="s">
        <v>791</v>
      </c>
      <c r="C904" s="0" t="n">
        <v>166</v>
      </c>
      <c r="D904" s="0" t="n">
        <v>6</v>
      </c>
      <c r="E904" s="0" t="str">
        <f aca="false">INDEX(lot!$B$2:$B$1201,MATCH(B904,lot!$A$2:$A$1201,0))</f>
        <v>SUP-C</v>
      </c>
      <c r="F904" s="3" t="n">
        <f aca="false">YEAR(A904)*100+MONTH(A904)</f>
        <v>202604</v>
      </c>
    </row>
    <row r="905" customFormat="false" ht="15" hidden="false" customHeight="false" outlineLevel="0" collapsed="false">
      <c r="A905" s="2" t="n">
        <v>46122</v>
      </c>
      <c r="B905" s="3" t="s">
        <v>853</v>
      </c>
      <c r="C905" s="0" t="n">
        <v>215</v>
      </c>
      <c r="D905" s="0" t="n">
        <v>1</v>
      </c>
      <c r="E905" s="0" t="str">
        <f aca="false">INDEX(lot!$B$2:$B$1201,MATCH(B905,lot!$A$2:$A$1201,0))</f>
        <v>SUP-E</v>
      </c>
      <c r="F905" s="3" t="n">
        <f aca="false">YEAR(A905)*100+MONTH(A905)</f>
        <v>202604</v>
      </c>
    </row>
    <row r="906" customFormat="false" ht="15" hidden="false" customHeight="false" outlineLevel="0" collapsed="false">
      <c r="A906" s="2" t="n">
        <v>46122</v>
      </c>
      <c r="B906" s="3" t="s">
        <v>857</v>
      </c>
      <c r="C906" s="0" t="n">
        <v>240</v>
      </c>
      <c r="D906" s="0" t="n">
        <v>8</v>
      </c>
      <c r="E906" s="0" t="str">
        <f aca="false">INDEX(lot!$B$2:$B$1201,MATCH(B906,lot!$A$2:$A$1201,0))</f>
        <v>SUP-C</v>
      </c>
      <c r="F906" s="3" t="n">
        <f aca="false">YEAR(A906)*100+MONTH(A906)</f>
        <v>202604</v>
      </c>
    </row>
    <row r="907" customFormat="false" ht="15" hidden="false" customHeight="false" outlineLevel="0" collapsed="false">
      <c r="A907" s="2" t="n">
        <v>46122</v>
      </c>
      <c r="B907" s="3" t="s">
        <v>857</v>
      </c>
      <c r="C907" s="0" t="n">
        <v>142</v>
      </c>
      <c r="D907" s="0" t="n">
        <v>5</v>
      </c>
      <c r="E907" s="0" t="str">
        <f aca="false">INDEX(lot!$B$2:$B$1201,MATCH(B907,lot!$A$2:$A$1201,0))</f>
        <v>SUP-C</v>
      </c>
      <c r="F907" s="3" t="n">
        <f aca="false">YEAR(A907)*100+MONTH(A907)</f>
        <v>202604</v>
      </c>
    </row>
    <row r="908" customFormat="false" ht="15" hidden="false" customHeight="false" outlineLevel="0" collapsed="false">
      <c r="A908" s="2" t="n">
        <v>46122</v>
      </c>
      <c r="B908" s="3" t="s">
        <v>905</v>
      </c>
      <c r="C908" s="0" t="n">
        <v>91</v>
      </c>
      <c r="D908" s="0" t="n">
        <v>0</v>
      </c>
      <c r="E908" s="0" t="str">
        <f aca="false">INDEX(lot!$B$2:$B$1201,MATCH(B908,lot!$A$2:$A$1201,0))</f>
        <v>SUP-B</v>
      </c>
      <c r="F908" s="3" t="n">
        <f aca="false">YEAR(A908)*100+MONTH(A908)</f>
        <v>202604</v>
      </c>
    </row>
    <row r="909" customFormat="false" ht="15" hidden="false" customHeight="false" outlineLevel="0" collapsed="false">
      <c r="A909" s="2" t="n">
        <v>46122</v>
      </c>
      <c r="B909" s="3" t="s">
        <v>1029</v>
      </c>
      <c r="C909" s="0" t="n">
        <v>182</v>
      </c>
      <c r="D909" s="0" t="n">
        <v>1</v>
      </c>
      <c r="E909" s="0" t="str">
        <f aca="false">INDEX(lot!$B$2:$B$1201,MATCH(B909,lot!$A$2:$A$1201,0))</f>
        <v>SUP-E</v>
      </c>
      <c r="F909" s="3" t="n">
        <f aca="false">YEAR(A909)*100+MONTH(A909)</f>
        <v>202604</v>
      </c>
    </row>
    <row r="910" customFormat="false" ht="15" hidden="false" customHeight="false" outlineLevel="0" collapsed="false">
      <c r="A910" s="2" t="n">
        <v>46122</v>
      </c>
      <c r="B910" s="3" t="s">
        <v>1029</v>
      </c>
      <c r="C910" s="0" t="n">
        <v>148</v>
      </c>
      <c r="D910" s="0" t="n">
        <v>1</v>
      </c>
      <c r="E910" s="0" t="str">
        <f aca="false">INDEX(lot!$B$2:$B$1201,MATCH(B910,lot!$A$2:$A$1201,0))</f>
        <v>SUP-E</v>
      </c>
      <c r="F910" s="3" t="n">
        <f aca="false">YEAR(A910)*100+MONTH(A910)</f>
        <v>202604</v>
      </c>
    </row>
    <row r="911" customFormat="false" ht="15" hidden="false" customHeight="false" outlineLevel="0" collapsed="false">
      <c r="A911" s="2" t="n">
        <v>46122</v>
      </c>
      <c r="B911" s="3" t="s">
        <v>1055</v>
      </c>
      <c r="C911" s="0" t="n">
        <v>143</v>
      </c>
      <c r="D911" s="0" t="n">
        <v>3</v>
      </c>
      <c r="E911" s="0" t="str">
        <f aca="false">INDEX(lot!$B$2:$B$1201,MATCH(B911,lot!$A$2:$A$1201,0))</f>
        <v>SUP-C</v>
      </c>
      <c r="F911" s="3" t="n">
        <f aca="false">YEAR(A911)*100+MONTH(A911)</f>
        <v>202604</v>
      </c>
    </row>
    <row r="912" customFormat="false" ht="15" hidden="false" customHeight="false" outlineLevel="0" collapsed="false">
      <c r="A912" s="2" t="n">
        <v>46122</v>
      </c>
      <c r="B912" s="3" t="s">
        <v>1074</v>
      </c>
      <c r="C912" s="0" t="n">
        <v>221</v>
      </c>
      <c r="D912" s="0" t="n">
        <v>2</v>
      </c>
      <c r="E912" s="0" t="str">
        <f aca="false">INDEX(lot!$B$2:$B$1201,MATCH(B912,lot!$A$2:$A$1201,0))</f>
        <v>SUP-A</v>
      </c>
      <c r="F912" s="3" t="n">
        <f aca="false">YEAR(A912)*100+MONTH(A912)</f>
        <v>202604</v>
      </c>
    </row>
    <row r="913" customFormat="false" ht="15" hidden="false" customHeight="false" outlineLevel="0" collapsed="false">
      <c r="A913" s="2" t="n">
        <v>46122</v>
      </c>
      <c r="B913" s="3" t="s">
        <v>1135</v>
      </c>
      <c r="C913" s="0" t="n">
        <v>201</v>
      </c>
      <c r="D913" s="0" t="n">
        <v>2</v>
      </c>
      <c r="E913" s="0" t="str">
        <f aca="false">INDEX(lot!$B$2:$B$1201,MATCH(B913,lot!$A$2:$A$1201,0))</f>
        <v>SUP-D</v>
      </c>
      <c r="F913" s="3" t="n">
        <f aca="false">YEAR(A913)*100+MONTH(A913)</f>
        <v>202604</v>
      </c>
    </row>
    <row r="914" customFormat="false" ht="15" hidden="false" customHeight="false" outlineLevel="0" collapsed="false">
      <c r="A914" s="2" t="n">
        <v>46122</v>
      </c>
      <c r="B914" s="3" t="s">
        <v>1136</v>
      </c>
      <c r="C914" s="0" t="n">
        <v>135</v>
      </c>
      <c r="D914" s="0" t="n">
        <v>3</v>
      </c>
      <c r="E914" s="0" t="str">
        <f aca="false">INDEX(lot!$B$2:$B$1201,MATCH(B914,lot!$A$2:$A$1201,0))</f>
        <v>SUP-E</v>
      </c>
      <c r="F914" s="3" t="n">
        <f aca="false">YEAR(A914)*100+MONTH(A914)</f>
        <v>202604</v>
      </c>
    </row>
    <row r="915" customFormat="false" ht="15" hidden="false" customHeight="false" outlineLevel="0" collapsed="false">
      <c r="A915" s="2" t="n">
        <v>46122</v>
      </c>
      <c r="B915" s="3" t="s">
        <v>1136</v>
      </c>
      <c r="C915" s="0" t="n">
        <v>239</v>
      </c>
      <c r="D915" s="0" t="n">
        <v>2</v>
      </c>
      <c r="E915" s="0" t="str">
        <f aca="false">INDEX(lot!$B$2:$B$1201,MATCH(B915,lot!$A$2:$A$1201,0))</f>
        <v>SUP-E</v>
      </c>
      <c r="F915" s="3" t="n">
        <f aca="false">YEAR(A915)*100+MONTH(A915)</f>
        <v>202604</v>
      </c>
    </row>
    <row r="916" customFormat="false" ht="15" hidden="false" customHeight="false" outlineLevel="0" collapsed="false">
      <c r="A916" s="2" t="n">
        <v>46122</v>
      </c>
      <c r="B916" s="3" t="s">
        <v>1207</v>
      </c>
      <c r="C916" s="0" t="n">
        <v>133</v>
      </c>
      <c r="D916" s="0" t="n">
        <v>2</v>
      </c>
      <c r="E916" s="0" t="str">
        <f aca="false">INDEX(lot!$B$2:$B$1201,MATCH(B916,lot!$A$2:$A$1201,0))</f>
        <v>SUP-A</v>
      </c>
      <c r="F916" s="3" t="n">
        <f aca="false">YEAR(A916)*100+MONTH(A916)</f>
        <v>202604</v>
      </c>
    </row>
    <row r="917" customFormat="false" ht="15" hidden="false" customHeight="false" outlineLevel="0" collapsed="false">
      <c r="A917" s="2" t="n">
        <v>46122</v>
      </c>
      <c r="B917" s="3" t="s">
        <v>1207</v>
      </c>
      <c r="C917" s="0" t="n">
        <v>118</v>
      </c>
      <c r="D917" s="0" t="n">
        <v>2</v>
      </c>
      <c r="E917" s="0" t="str">
        <f aca="false">INDEX(lot!$B$2:$B$1201,MATCH(B917,lot!$A$2:$A$1201,0))</f>
        <v>SUP-A</v>
      </c>
      <c r="F917" s="3" t="n">
        <f aca="false">YEAR(A917)*100+MONTH(A917)</f>
        <v>202604</v>
      </c>
    </row>
    <row r="918" customFormat="false" ht="15" hidden="false" customHeight="false" outlineLevel="0" collapsed="false">
      <c r="A918" s="2" t="n">
        <v>46125</v>
      </c>
      <c r="B918" s="3" t="s">
        <v>26</v>
      </c>
      <c r="C918" s="0" t="n">
        <v>139</v>
      </c>
      <c r="D918" s="0" t="n">
        <v>1</v>
      </c>
      <c r="E918" s="0" t="str">
        <f aca="false">INDEX(lot!$B$2:$B$1201,MATCH(B918,lot!$A$2:$A$1201,0))</f>
        <v>SUP-E</v>
      </c>
      <c r="F918" s="3" t="n">
        <f aca="false">YEAR(A918)*100+MONTH(A918)</f>
        <v>202604</v>
      </c>
    </row>
    <row r="919" customFormat="false" ht="15" hidden="false" customHeight="false" outlineLevel="0" collapsed="false">
      <c r="A919" s="2" t="n">
        <v>46125</v>
      </c>
      <c r="B919" s="3" t="s">
        <v>26</v>
      </c>
      <c r="C919" s="0" t="n">
        <v>79</v>
      </c>
      <c r="D919" s="0" t="n">
        <v>1</v>
      </c>
      <c r="E919" s="0" t="str">
        <f aca="false">INDEX(lot!$B$2:$B$1201,MATCH(B919,lot!$A$2:$A$1201,0))</f>
        <v>SUP-E</v>
      </c>
      <c r="F919" s="3" t="n">
        <f aca="false">YEAR(A919)*100+MONTH(A919)</f>
        <v>202604</v>
      </c>
    </row>
    <row r="920" customFormat="false" ht="15" hidden="false" customHeight="false" outlineLevel="0" collapsed="false">
      <c r="A920" s="2" t="n">
        <v>46125</v>
      </c>
      <c r="B920" s="3" t="s">
        <v>75</v>
      </c>
      <c r="C920" s="0" t="n">
        <v>211</v>
      </c>
      <c r="D920" s="0" t="n">
        <v>3</v>
      </c>
      <c r="E920" s="0" t="str">
        <f aca="false">INDEX(lot!$B$2:$B$1201,MATCH(B920,lot!$A$2:$A$1201,0))</f>
        <v>SUP-A</v>
      </c>
      <c r="F920" s="3" t="n">
        <f aca="false">YEAR(A920)*100+MONTH(A920)</f>
        <v>202604</v>
      </c>
    </row>
    <row r="921" customFormat="false" ht="15" hidden="false" customHeight="false" outlineLevel="0" collapsed="false">
      <c r="A921" s="2" t="n">
        <v>46125</v>
      </c>
      <c r="B921" s="3" t="s">
        <v>75</v>
      </c>
      <c r="C921" s="0" t="n">
        <v>176</v>
      </c>
      <c r="D921" s="0" t="n">
        <v>2</v>
      </c>
      <c r="E921" s="0" t="str">
        <f aca="false">INDEX(lot!$B$2:$B$1201,MATCH(B921,lot!$A$2:$A$1201,0))</f>
        <v>SUP-A</v>
      </c>
      <c r="F921" s="3" t="n">
        <f aca="false">YEAR(A921)*100+MONTH(A921)</f>
        <v>202604</v>
      </c>
    </row>
    <row r="922" customFormat="false" ht="15" hidden="false" customHeight="false" outlineLevel="0" collapsed="false">
      <c r="A922" s="2" t="n">
        <v>46125</v>
      </c>
      <c r="B922" s="3" t="s">
        <v>145</v>
      </c>
      <c r="C922" s="0" t="n">
        <v>194</v>
      </c>
      <c r="D922" s="0" t="n">
        <v>1</v>
      </c>
      <c r="E922" s="0" t="str">
        <f aca="false">INDEX(lot!$B$2:$B$1201,MATCH(B922,lot!$A$2:$A$1201,0))</f>
        <v>SUP-A</v>
      </c>
      <c r="F922" s="3" t="n">
        <f aca="false">YEAR(A922)*100+MONTH(A922)</f>
        <v>202604</v>
      </c>
    </row>
    <row r="923" customFormat="false" ht="15" hidden="false" customHeight="false" outlineLevel="0" collapsed="false">
      <c r="A923" s="2" t="n">
        <v>46125</v>
      </c>
      <c r="B923" s="3" t="s">
        <v>167</v>
      </c>
      <c r="C923" s="0" t="n">
        <v>70</v>
      </c>
      <c r="D923" s="0" t="n">
        <v>3</v>
      </c>
      <c r="E923" s="0" t="str">
        <f aca="false">INDEX(lot!$B$2:$B$1201,MATCH(B923,lot!$A$2:$A$1201,0))</f>
        <v>SUP-C</v>
      </c>
      <c r="F923" s="3" t="n">
        <f aca="false">YEAR(A923)*100+MONTH(A923)</f>
        <v>202604</v>
      </c>
    </row>
    <row r="924" customFormat="false" ht="15" hidden="false" customHeight="false" outlineLevel="0" collapsed="false">
      <c r="A924" s="2" t="n">
        <v>46125</v>
      </c>
      <c r="B924" s="3" t="s">
        <v>167</v>
      </c>
      <c r="C924" s="0" t="n">
        <v>231</v>
      </c>
      <c r="D924" s="0" t="n">
        <v>9</v>
      </c>
      <c r="E924" s="0" t="str">
        <f aca="false">INDEX(lot!$B$2:$B$1201,MATCH(B924,lot!$A$2:$A$1201,0))</f>
        <v>SUP-C</v>
      </c>
      <c r="F924" s="3" t="n">
        <f aca="false">YEAR(A924)*100+MONTH(A924)</f>
        <v>202604</v>
      </c>
    </row>
    <row r="925" customFormat="false" ht="15" hidden="false" customHeight="false" outlineLevel="0" collapsed="false">
      <c r="A925" s="2" t="n">
        <v>46125</v>
      </c>
      <c r="B925" s="3" t="s">
        <v>169</v>
      </c>
      <c r="C925" s="0" t="n">
        <v>108</v>
      </c>
      <c r="D925" s="0" t="n">
        <v>0</v>
      </c>
      <c r="E925" s="0" t="str">
        <f aca="false">INDEX(lot!$B$2:$B$1201,MATCH(B925,lot!$A$2:$A$1201,0))</f>
        <v>SUP-E</v>
      </c>
      <c r="F925" s="3" t="n">
        <f aca="false">YEAR(A925)*100+MONTH(A925)</f>
        <v>202604</v>
      </c>
    </row>
    <row r="926" customFormat="false" ht="15" hidden="false" customHeight="false" outlineLevel="0" collapsed="false">
      <c r="A926" s="2" t="n">
        <v>46125</v>
      </c>
      <c r="B926" s="3" t="s">
        <v>169</v>
      </c>
      <c r="C926" s="0" t="n">
        <v>95</v>
      </c>
      <c r="D926" s="0" t="n">
        <v>1</v>
      </c>
      <c r="E926" s="0" t="str">
        <f aca="false">INDEX(lot!$B$2:$B$1201,MATCH(B926,lot!$A$2:$A$1201,0))</f>
        <v>SUP-E</v>
      </c>
      <c r="F926" s="3" t="n">
        <f aca="false">YEAR(A926)*100+MONTH(A926)</f>
        <v>202604</v>
      </c>
    </row>
    <row r="927" customFormat="false" ht="15" hidden="false" customHeight="false" outlineLevel="0" collapsed="false">
      <c r="A927" s="2" t="n">
        <v>46125</v>
      </c>
      <c r="B927" s="3" t="s">
        <v>178</v>
      </c>
      <c r="C927" s="0" t="n">
        <v>213</v>
      </c>
      <c r="D927" s="0" t="n">
        <v>2</v>
      </c>
      <c r="E927" s="0" t="str">
        <f aca="false">INDEX(lot!$B$2:$B$1201,MATCH(B927,lot!$A$2:$A$1201,0))</f>
        <v>SUP-B</v>
      </c>
      <c r="F927" s="3" t="n">
        <f aca="false">YEAR(A927)*100+MONTH(A927)</f>
        <v>202604</v>
      </c>
    </row>
    <row r="928" customFormat="false" ht="15" hidden="false" customHeight="false" outlineLevel="0" collapsed="false">
      <c r="A928" s="2" t="n">
        <v>46125</v>
      </c>
      <c r="B928" s="3" t="s">
        <v>211</v>
      </c>
      <c r="C928" s="0" t="n">
        <v>176</v>
      </c>
      <c r="D928" s="0" t="n">
        <v>2</v>
      </c>
      <c r="E928" s="0" t="str">
        <f aca="false">INDEX(lot!$B$2:$B$1201,MATCH(B928,lot!$A$2:$A$1201,0))</f>
        <v>SUP-E</v>
      </c>
      <c r="F928" s="3" t="n">
        <f aca="false">YEAR(A928)*100+MONTH(A928)</f>
        <v>202604</v>
      </c>
    </row>
    <row r="929" customFormat="false" ht="15" hidden="false" customHeight="false" outlineLevel="0" collapsed="false">
      <c r="A929" s="2" t="n">
        <v>46125</v>
      </c>
      <c r="B929" s="3" t="s">
        <v>211</v>
      </c>
      <c r="C929" s="0" t="n">
        <v>147</v>
      </c>
      <c r="D929" s="0" t="n">
        <v>0</v>
      </c>
      <c r="E929" s="0" t="str">
        <f aca="false">INDEX(lot!$B$2:$B$1201,MATCH(B929,lot!$A$2:$A$1201,0))</f>
        <v>SUP-E</v>
      </c>
      <c r="F929" s="3" t="n">
        <f aca="false">YEAR(A929)*100+MONTH(A929)</f>
        <v>202604</v>
      </c>
    </row>
    <row r="930" customFormat="false" ht="15" hidden="false" customHeight="false" outlineLevel="0" collapsed="false">
      <c r="A930" s="2" t="n">
        <v>46125</v>
      </c>
      <c r="B930" s="3" t="s">
        <v>221</v>
      </c>
      <c r="C930" s="0" t="n">
        <v>129</v>
      </c>
      <c r="D930" s="0" t="n">
        <v>2</v>
      </c>
      <c r="E930" s="0" t="str">
        <f aca="false">INDEX(lot!$B$2:$B$1201,MATCH(B930,lot!$A$2:$A$1201,0))</f>
        <v>SUP-B</v>
      </c>
      <c r="F930" s="3" t="n">
        <f aca="false">YEAR(A930)*100+MONTH(A930)</f>
        <v>202604</v>
      </c>
    </row>
    <row r="931" customFormat="false" ht="15" hidden="false" customHeight="false" outlineLevel="0" collapsed="false">
      <c r="A931" s="2" t="n">
        <v>46125</v>
      </c>
      <c r="B931" s="3" t="s">
        <v>222</v>
      </c>
      <c r="C931" s="0" t="n">
        <v>102</v>
      </c>
      <c r="D931" s="0" t="n">
        <v>4</v>
      </c>
      <c r="E931" s="0" t="str">
        <f aca="false">INDEX(lot!$B$2:$B$1201,MATCH(B931,lot!$A$2:$A$1201,0))</f>
        <v>SUP-C</v>
      </c>
      <c r="F931" s="3" t="n">
        <f aca="false">YEAR(A931)*100+MONTH(A931)</f>
        <v>202604</v>
      </c>
    </row>
    <row r="932" customFormat="false" ht="15" hidden="false" customHeight="false" outlineLevel="0" collapsed="false">
      <c r="A932" s="2" t="n">
        <v>46125</v>
      </c>
      <c r="B932" s="3" t="s">
        <v>222</v>
      </c>
      <c r="C932" s="0" t="n">
        <v>111</v>
      </c>
      <c r="D932" s="0" t="n">
        <v>3</v>
      </c>
      <c r="E932" s="0" t="str">
        <f aca="false">INDEX(lot!$B$2:$B$1201,MATCH(B932,lot!$A$2:$A$1201,0))</f>
        <v>SUP-C</v>
      </c>
      <c r="F932" s="3" t="n">
        <f aca="false">YEAR(A932)*100+MONTH(A932)</f>
        <v>202604</v>
      </c>
    </row>
    <row r="933" customFormat="false" ht="15" hidden="false" customHeight="false" outlineLevel="0" collapsed="false">
      <c r="A933" s="2" t="n">
        <v>46125</v>
      </c>
      <c r="B933" s="3" t="s">
        <v>229</v>
      </c>
      <c r="C933" s="0" t="n">
        <v>148</v>
      </c>
      <c r="D933" s="0" t="n">
        <v>0</v>
      </c>
      <c r="E933" s="0" t="str">
        <f aca="false">INDEX(lot!$B$2:$B$1201,MATCH(B933,lot!$A$2:$A$1201,0))</f>
        <v>SUP-A</v>
      </c>
      <c r="F933" s="3" t="n">
        <f aca="false">YEAR(A933)*100+MONTH(A933)</f>
        <v>202604</v>
      </c>
    </row>
    <row r="934" customFormat="false" ht="15" hidden="false" customHeight="false" outlineLevel="0" collapsed="false">
      <c r="A934" s="2" t="n">
        <v>46125</v>
      </c>
      <c r="B934" s="3" t="s">
        <v>261</v>
      </c>
      <c r="C934" s="0" t="n">
        <v>142</v>
      </c>
      <c r="D934" s="0" t="n">
        <v>0</v>
      </c>
      <c r="E934" s="0" t="str">
        <f aca="false">INDEX(lot!$B$2:$B$1201,MATCH(B934,lot!$A$2:$A$1201,0))</f>
        <v>SUP-E</v>
      </c>
      <c r="F934" s="3" t="n">
        <f aca="false">YEAR(A934)*100+MONTH(A934)</f>
        <v>202604</v>
      </c>
    </row>
    <row r="935" customFormat="false" ht="15" hidden="false" customHeight="false" outlineLevel="0" collapsed="false">
      <c r="A935" s="2" t="n">
        <v>46125</v>
      </c>
      <c r="B935" s="3" t="s">
        <v>265</v>
      </c>
      <c r="C935" s="0" t="n">
        <v>129</v>
      </c>
      <c r="D935" s="0" t="n">
        <v>0</v>
      </c>
      <c r="E935" s="0" t="str">
        <f aca="false">INDEX(lot!$B$2:$B$1201,MATCH(B935,lot!$A$2:$A$1201,0))</f>
        <v>SUP-E</v>
      </c>
      <c r="F935" s="3" t="n">
        <f aca="false">YEAR(A935)*100+MONTH(A935)</f>
        <v>202604</v>
      </c>
    </row>
    <row r="936" customFormat="false" ht="15" hidden="false" customHeight="false" outlineLevel="0" collapsed="false">
      <c r="A936" s="2" t="n">
        <v>46125</v>
      </c>
      <c r="B936" s="3" t="s">
        <v>265</v>
      </c>
      <c r="C936" s="0" t="n">
        <v>142</v>
      </c>
      <c r="D936" s="0" t="n">
        <v>0</v>
      </c>
      <c r="E936" s="0" t="str">
        <f aca="false">INDEX(lot!$B$2:$B$1201,MATCH(B936,lot!$A$2:$A$1201,0))</f>
        <v>SUP-E</v>
      </c>
      <c r="F936" s="3" t="n">
        <f aca="false">YEAR(A936)*100+MONTH(A936)</f>
        <v>202604</v>
      </c>
    </row>
    <row r="937" customFormat="false" ht="15" hidden="false" customHeight="false" outlineLevel="0" collapsed="false">
      <c r="A937" s="2" t="n">
        <v>46125</v>
      </c>
      <c r="B937" s="3" t="s">
        <v>439</v>
      </c>
      <c r="C937" s="0" t="n">
        <v>133</v>
      </c>
      <c r="D937" s="0" t="n">
        <v>2</v>
      </c>
      <c r="E937" s="0" t="str">
        <f aca="false">INDEX(lot!$B$2:$B$1201,MATCH(B937,lot!$A$2:$A$1201,0))</f>
        <v>SUP-E</v>
      </c>
      <c r="F937" s="3" t="n">
        <f aca="false">YEAR(A937)*100+MONTH(A937)</f>
        <v>202604</v>
      </c>
    </row>
    <row r="938" customFormat="false" ht="15" hidden="false" customHeight="false" outlineLevel="0" collapsed="false">
      <c r="A938" s="2" t="n">
        <v>46125</v>
      </c>
      <c r="B938" s="3" t="s">
        <v>439</v>
      </c>
      <c r="C938" s="0" t="n">
        <v>245</v>
      </c>
      <c r="D938" s="0" t="n">
        <v>1</v>
      </c>
      <c r="E938" s="0" t="str">
        <f aca="false">INDEX(lot!$B$2:$B$1201,MATCH(B938,lot!$A$2:$A$1201,0))</f>
        <v>SUP-E</v>
      </c>
      <c r="F938" s="3" t="n">
        <f aca="false">YEAR(A938)*100+MONTH(A938)</f>
        <v>202604</v>
      </c>
    </row>
    <row r="939" customFormat="false" ht="15" hidden="false" customHeight="false" outlineLevel="0" collapsed="false">
      <c r="A939" s="2" t="n">
        <v>46125</v>
      </c>
      <c r="B939" s="3" t="s">
        <v>448</v>
      </c>
      <c r="C939" s="0" t="n">
        <v>237</v>
      </c>
      <c r="D939" s="0" t="n">
        <v>4</v>
      </c>
      <c r="E939" s="0" t="str">
        <f aca="false">INDEX(lot!$B$2:$B$1201,MATCH(B939,lot!$A$2:$A$1201,0))</f>
        <v>SUP-D</v>
      </c>
      <c r="F939" s="3" t="n">
        <f aca="false">YEAR(A939)*100+MONTH(A939)</f>
        <v>202604</v>
      </c>
    </row>
    <row r="940" customFormat="false" ht="15" hidden="false" customHeight="false" outlineLevel="0" collapsed="false">
      <c r="A940" s="2" t="n">
        <v>46125</v>
      </c>
      <c r="B940" s="3" t="s">
        <v>472</v>
      </c>
      <c r="C940" s="0" t="n">
        <v>153</v>
      </c>
      <c r="D940" s="0" t="n">
        <v>7</v>
      </c>
      <c r="E940" s="0" t="str">
        <f aca="false">INDEX(lot!$B$2:$B$1201,MATCH(B940,lot!$A$2:$A$1201,0))</f>
        <v>SUP-C</v>
      </c>
      <c r="F940" s="3" t="n">
        <f aca="false">YEAR(A940)*100+MONTH(A940)</f>
        <v>202604</v>
      </c>
    </row>
    <row r="941" customFormat="false" ht="15" hidden="false" customHeight="false" outlineLevel="0" collapsed="false">
      <c r="A941" s="2" t="n">
        <v>46125</v>
      </c>
      <c r="B941" s="3" t="s">
        <v>472</v>
      </c>
      <c r="C941" s="0" t="n">
        <v>244</v>
      </c>
      <c r="D941" s="0" t="n">
        <v>7</v>
      </c>
      <c r="E941" s="0" t="str">
        <f aca="false">INDEX(lot!$B$2:$B$1201,MATCH(B941,lot!$A$2:$A$1201,0))</f>
        <v>SUP-C</v>
      </c>
      <c r="F941" s="3" t="n">
        <f aca="false">YEAR(A941)*100+MONTH(A941)</f>
        <v>202604</v>
      </c>
    </row>
    <row r="942" customFormat="false" ht="15" hidden="false" customHeight="false" outlineLevel="0" collapsed="false">
      <c r="A942" s="2" t="n">
        <v>46125</v>
      </c>
      <c r="B942" s="3" t="s">
        <v>562</v>
      </c>
      <c r="C942" s="0" t="n">
        <v>170</v>
      </c>
      <c r="D942" s="0" t="n">
        <v>29</v>
      </c>
      <c r="E942" s="0" t="str">
        <f aca="false">INDEX(lot!$B$2:$B$1201,MATCH(B942,lot!$A$2:$A$1201,0))</f>
        <v>SUP-C</v>
      </c>
      <c r="F942" s="3" t="n">
        <f aca="false">YEAR(A942)*100+MONTH(A942)</f>
        <v>202604</v>
      </c>
    </row>
    <row r="943" customFormat="false" ht="15" hidden="false" customHeight="false" outlineLevel="0" collapsed="false">
      <c r="A943" s="2" t="n">
        <v>46125</v>
      </c>
      <c r="B943" s="3" t="s">
        <v>590</v>
      </c>
      <c r="C943" s="0" t="n">
        <v>149</v>
      </c>
      <c r="D943" s="0" t="n">
        <v>1</v>
      </c>
      <c r="E943" s="0" t="str">
        <f aca="false">INDEX(lot!$B$2:$B$1201,MATCH(B943,lot!$A$2:$A$1201,0))</f>
        <v>SUP-D</v>
      </c>
      <c r="F943" s="3" t="n">
        <f aca="false">YEAR(A943)*100+MONTH(A943)</f>
        <v>202604</v>
      </c>
    </row>
    <row r="944" customFormat="false" ht="15" hidden="false" customHeight="false" outlineLevel="0" collapsed="false">
      <c r="A944" s="2" t="n">
        <v>46125</v>
      </c>
      <c r="B944" s="3" t="s">
        <v>619</v>
      </c>
      <c r="C944" s="0" t="n">
        <v>95</v>
      </c>
      <c r="D944" s="0" t="n">
        <v>2</v>
      </c>
      <c r="E944" s="0" t="str">
        <f aca="false">INDEX(lot!$B$2:$B$1201,MATCH(B944,lot!$A$2:$A$1201,0))</f>
        <v>SUP-C</v>
      </c>
      <c r="F944" s="3" t="n">
        <f aca="false">YEAR(A944)*100+MONTH(A944)</f>
        <v>202604</v>
      </c>
    </row>
    <row r="945" customFormat="false" ht="15" hidden="false" customHeight="false" outlineLevel="0" collapsed="false">
      <c r="A945" s="2" t="n">
        <v>46125</v>
      </c>
      <c r="B945" s="3" t="s">
        <v>718</v>
      </c>
      <c r="C945" s="0" t="n">
        <v>75</v>
      </c>
      <c r="D945" s="0" t="n">
        <v>0</v>
      </c>
      <c r="E945" s="0" t="str">
        <f aca="false">INDEX(lot!$B$2:$B$1201,MATCH(B945,lot!$A$2:$A$1201,0))</f>
        <v>SUP-E</v>
      </c>
      <c r="F945" s="3" t="n">
        <f aca="false">YEAR(A945)*100+MONTH(A945)</f>
        <v>202604</v>
      </c>
    </row>
    <row r="946" customFormat="false" ht="15" hidden="false" customHeight="false" outlineLevel="0" collapsed="false">
      <c r="A946" s="2" t="n">
        <v>46125</v>
      </c>
      <c r="B946" s="3" t="s">
        <v>718</v>
      </c>
      <c r="C946" s="0" t="n">
        <v>68</v>
      </c>
      <c r="D946" s="0" t="n">
        <v>0</v>
      </c>
      <c r="E946" s="0" t="str">
        <f aca="false">INDEX(lot!$B$2:$B$1201,MATCH(B946,lot!$A$2:$A$1201,0))</f>
        <v>SUP-E</v>
      </c>
      <c r="F946" s="3" t="n">
        <f aca="false">YEAR(A946)*100+MONTH(A946)</f>
        <v>202604</v>
      </c>
    </row>
    <row r="947" customFormat="false" ht="15" hidden="false" customHeight="false" outlineLevel="0" collapsed="false">
      <c r="A947" s="2" t="n">
        <v>46125</v>
      </c>
      <c r="B947" s="3" t="s">
        <v>745</v>
      </c>
      <c r="C947" s="0" t="n">
        <v>175</v>
      </c>
      <c r="D947" s="0" t="n">
        <v>2</v>
      </c>
      <c r="E947" s="0" t="str">
        <f aca="false">INDEX(lot!$B$2:$B$1201,MATCH(B947,lot!$A$2:$A$1201,0))</f>
        <v>SUP-D</v>
      </c>
      <c r="F947" s="3" t="n">
        <f aca="false">YEAR(A947)*100+MONTH(A947)</f>
        <v>202604</v>
      </c>
    </row>
    <row r="948" customFormat="false" ht="15" hidden="false" customHeight="false" outlineLevel="0" collapsed="false">
      <c r="A948" s="2" t="n">
        <v>46125</v>
      </c>
      <c r="B948" s="3" t="s">
        <v>791</v>
      </c>
      <c r="C948" s="0" t="n">
        <v>136</v>
      </c>
      <c r="D948" s="0" t="n">
        <v>3</v>
      </c>
      <c r="E948" s="0" t="str">
        <f aca="false">INDEX(lot!$B$2:$B$1201,MATCH(B948,lot!$A$2:$A$1201,0))</f>
        <v>SUP-C</v>
      </c>
      <c r="F948" s="3" t="n">
        <f aca="false">YEAR(A948)*100+MONTH(A948)</f>
        <v>202604</v>
      </c>
    </row>
    <row r="949" customFormat="false" ht="15" hidden="false" customHeight="false" outlineLevel="0" collapsed="false">
      <c r="A949" s="2" t="n">
        <v>46125</v>
      </c>
      <c r="B949" s="3" t="s">
        <v>792</v>
      </c>
      <c r="C949" s="0" t="n">
        <v>234</v>
      </c>
      <c r="D949" s="0" t="n">
        <v>7</v>
      </c>
      <c r="E949" s="0" t="str">
        <f aca="false">INDEX(lot!$B$2:$B$1201,MATCH(B949,lot!$A$2:$A$1201,0))</f>
        <v>SUP-C</v>
      </c>
      <c r="F949" s="3" t="n">
        <f aca="false">YEAR(A949)*100+MONTH(A949)</f>
        <v>202604</v>
      </c>
    </row>
    <row r="950" customFormat="false" ht="15" hidden="false" customHeight="false" outlineLevel="0" collapsed="false">
      <c r="A950" s="2" t="n">
        <v>46125</v>
      </c>
      <c r="B950" s="3" t="s">
        <v>798</v>
      </c>
      <c r="C950" s="0" t="n">
        <v>80</v>
      </c>
      <c r="D950" s="0" t="n">
        <v>3</v>
      </c>
      <c r="E950" s="0" t="str">
        <f aca="false">INDEX(lot!$B$2:$B$1201,MATCH(B950,lot!$A$2:$A$1201,0))</f>
        <v>SUP-C</v>
      </c>
      <c r="F950" s="3" t="n">
        <f aca="false">YEAR(A950)*100+MONTH(A950)</f>
        <v>202604</v>
      </c>
    </row>
    <row r="951" customFormat="false" ht="15" hidden="false" customHeight="false" outlineLevel="0" collapsed="false">
      <c r="A951" s="2" t="n">
        <v>46125</v>
      </c>
      <c r="B951" s="3" t="s">
        <v>798</v>
      </c>
      <c r="C951" s="0" t="n">
        <v>223</v>
      </c>
      <c r="D951" s="0" t="n">
        <v>6</v>
      </c>
      <c r="E951" s="0" t="str">
        <f aca="false">INDEX(lot!$B$2:$B$1201,MATCH(B951,lot!$A$2:$A$1201,0))</f>
        <v>SUP-C</v>
      </c>
      <c r="F951" s="3" t="n">
        <f aca="false">YEAR(A951)*100+MONTH(A951)</f>
        <v>202604</v>
      </c>
    </row>
    <row r="952" customFormat="false" ht="15" hidden="false" customHeight="false" outlineLevel="0" collapsed="false">
      <c r="A952" s="2" t="n">
        <v>46125</v>
      </c>
      <c r="B952" s="3" t="s">
        <v>818</v>
      </c>
      <c r="C952" s="0" t="n">
        <v>210</v>
      </c>
      <c r="D952" s="0" t="n">
        <v>1</v>
      </c>
      <c r="E952" s="0" t="str">
        <f aca="false">INDEX(lot!$B$2:$B$1201,MATCH(B952,lot!$A$2:$A$1201,0))</f>
        <v>SUP-E</v>
      </c>
      <c r="F952" s="3" t="n">
        <f aca="false">YEAR(A952)*100+MONTH(A952)</f>
        <v>202604</v>
      </c>
    </row>
    <row r="953" customFormat="false" ht="15" hidden="false" customHeight="false" outlineLevel="0" collapsed="false">
      <c r="A953" s="2" t="n">
        <v>46125</v>
      </c>
      <c r="B953" s="3" t="s">
        <v>1062</v>
      </c>
      <c r="C953" s="0" t="n">
        <v>87</v>
      </c>
      <c r="D953" s="0" t="n">
        <v>0</v>
      </c>
      <c r="E953" s="0" t="str">
        <f aca="false">INDEX(lot!$B$2:$B$1201,MATCH(B953,lot!$A$2:$A$1201,0))</f>
        <v>SUP-E</v>
      </c>
      <c r="F953" s="3" t="n">
        <f aca="false">YEAR(A953)*100+MONTH(A953)</f>
        <v>202604</v>
      </c>
    </row>
    <row r="954" customFormat="false" ht="15" hidden="false" customHeight="false" outlineLevel="0" collapsed="false">
      <c r="A954" s="2" t="n">
        <v>46125</v>
      </c>
      <c r="B954" s="3" t="s">
        <v>1207</v>
      </c>
      <c r="C954" s="0" t="n">
        <v>219</v>
      </c>
      <c r="D954" s="0" t="n">
        <v>0</v>
      </c>
      <c r="E954" s="0" t="str">
        <f aca="false">INDEX(lot!$B$2:$B$1201,MATCH(B954,lot!$A$2:$A$1201,0))</f>
        <v>SUP-A</v>
      </c>
      <c r="F954" s="3" t="n">
        <f aca="false">YEAR(A954)*100+MONTH(A954)</f>
        <v>202604</v>
      </c>
    </row>
    <row r="955" customFormat="false" ht="15" hidden="false" customHeight="false" outlineLevel="0" collapsed="false">
      <c r="A955" s="2" t="n">
        <v>46126</v>
      </c>
      <c r="B955" s="3" t="s">
        <v>75</v>
      </c>
      <c r="C955" s="0" t="n">
        <v>190</v>
      </c>
      <c r="D955" s="0" t="n">
        <v>3</v>
      </c>
      <c r="E955" s="0" t="str">
        <f aca="false">INDEX(lot!$B$2:$B$1201,MATCH(B955,lot!$A$2:$A$1201,0))</f>
        <v>SUP-A</v>
      </c>
      <c r="F955" s="3" t="n">
        <f aca="false">YEAR(A955)*100+MONTH(A955)</f>
        <v>202604</v>
      </c>
    </row>
    <row r="956" customFormat="false" ht="15" hidden="false" customHeight="false" outlineLevel="0" collapsed="false">
      <c r="A956" s="2" t="n">
        <v>46126</v>
      </c>
      <c r="B956" s="3" t="s">
        <v>145</v>
      </c>
      <c r="C956" s="0" t="n">
        <v>139</v>
      </c>
      <c r="D956" s="0" t="n">
        <v>2</v>
      </c>
      <c r="E956" s="0" t="str">
        <f aca="false">INDEX(lot!$B$2:$B$1201,MATCH(B956,lot!$A$2:$A$1201,0))</f>
        <v>SUP-A</v>
      </c>
      <c r="F956" s="3" t="n">
        <f aca="false">YEAR(A956)*100+MONTH(A956)</f>
        <v>202604</v>
      </c>
    </row>
    <row r="957" customFormat="false" ht="15" hidden="false" customHeight="false" outlineLevel="0" collapsed="false">
      <c r="A957" s="2" t="n">
        <v>46126</v>
      </c>
      <c r="B957" s="3" t="s">
        <v>167</v>
      </c>
      <c r="C957" s="0" t="n">
        <v>178</v>
      </c>
      <c r="D957" s="0" t="n">
        <v>3</v>
      </c>
      <c r="E957" s="0" t="str">
        <f aca="false">INDEX(lot!$B$2:$B$1201,MATCH(B957,lot!$A$2:$A$1201,0))</f>
        <v>SUP-C</v>
      </c>
      <c r="F957" s="3" t="n">
        <f aca="false">YEAR(A957)*100+MONTH(A957)</f>
        <v>202604</v>
      </c>
    </row>
    <row r="958" customFormat="false" ht="15" hidden="false" customHeight="false" outlineLevel="0" collapsed="false">
      <c r="A958" s="2" t="n">
        <v>46126</v>
      </c>
      <c r="B958" s="3" t="s">
        <v>221</v>
      </c>
      <c r="C958" s="0" t="n">
        <v>215</v>
      </c>
      <c r="D958" s="0" t="n">
        <v>1</v>
      </c>
      <c r="E958" s="0" t="str">
        <f aca="false">INDEX(lot!$B$2:$B$1201,MATCH(B958,lot!$A$2:$A$1201,0))</f>
        <v>SUP-B</v>
      </c>
      <c r="F958" s="3" t="n">
        <f aca="false">YEAR(A958)*100+MONTH(A958)</f>
        <v>202604</v>
      </c>
    </row>
    <row r="959" customFormat="false" ht="15" hidden="false" customHeight="false" outlineLevel="0" collapsed="false">
      <c r="A959" s="2" t="n">
        <v>46126</v>
      </c>
      <c r="B959" s="3" t="s">
        <v>222</v>
      </c>
      <c r="C959" s="0" t="n">
        <v>161</v>
      </c>
      <c r="D959" s="0" t="n">
        <v>5</v>
      </c>
      <c r="E959" s="0" t="str">
        <f aca="false">INDEX(lot!$B$2:$B$1201,MATCH(B959,lot!$A$2:$A$1201,0))</f>
        <v>SUP-C</v>
      </c>
      <c r="F959" s="3" t="n">
        <f aca="false">YEAR(A959)*100+MONTH(A959)</f>
        <v>202604</v>
      </c>
    </row>
    <row r="960" customFormat="false" ht="15" hidden="false" customHeight="false" outlineLevel="0" collapsed="false">
      <c r="A960" s="2" t="n">
        <v>46126</v>
      </c>
      <c r="B960" s="3" t="s">
        <v>339</v>
      </c>
      <c r="C960" s="0" t="n">
        <v>156</v>
      </c>
      <c r="D960" s="0" t="n">
        <v>1</v>
      </c>
      <c r="E960" s="0" t="str">
        <f aca="false">INDEX(lot!$B$2:$B$1201,MATCH(B960,lot!$A$2:$A$1201,0))</f>
        <v>SUP-A</v>
      </c>
      <c r="F960" s="3" t="n">
        <f aca="false">YEAR(A960)*100+MONTH(A960)</f>
        <v>202604</v>
      </c>
    </row>
    <row r="961" customFormat="false" ht="15" hidden="false" customHeight="false" outlineLevel="0" collapsed="false">
      <c r="A961" s="2" t="n">
        <v>46126</v>
      </c>
      <c r="B961" s="3" t="s">
        <v>339</v>
      </c>
      <c r="C961" s="0" t="n">
        <v>236</v>
      </c>
      <c r="D961" s="0" t="n">
        <v>4</v>
      </c>
      <c r="E961" s="0" t="str">
        <f aca="false">INDEX(lot!$B$2:$B$1201,MATCH(B961,lot!$A$2:$A$1201,0))</f>
        <v>SUP-A</v>
      </c>
      <c r="F961" s="3" t="n">
        <f aca="false">YEAR(A961)*100+MONTH(A961)</f>
        <v>202604</v>
      </c>
    </row>
    <row r="962" customFormat="false" ht="15" hidden="false" customHeight="false" outlineLevel="0" collapsed="false">
      <c r="A962" s="2" t="n">
        <v>46126</v>
      </c>
      <c r="B962" s="3" t="s">
        <v>439</v>
      </c>
      <c r="C962" s="0" t="n">
        <v>162</v>
      </c>
      <c r="D962" s="0" t="n">
        <v>2</v>
      </c>
      <c r="E962" s="0" t="str">
        <f aca="false">INDEX(lot!$B$2:$B$1201,MATCH(B962,lot!$A$2:$A$1201,0))</f>
        <v>SUP-E</v>
      </c>
      <c r="F962" s="3" t="n">
        <f aca="false">YEAR(A962)*100+MONTH(A962)</f>
        <v>202604</v>
      </c>
    </row>
    <row r="963" customFormat="false" ht="15" hidden="false" customHeight="false" outlineLevel="0" collapsed="false">
      <c r="A963" s="2" t="n">
        <v>46126</v>
      </c>
      <c r="B963" s="3" t="s">
        <v>448</v>
      </c>
      <c r="C963" s="0" t="n">
        <v>203</v>
      </c>
      <c r="D963" s="0" t="n">
        <v>1</v>
      </c>
      <c r="E963" s="0" t="str">
        <f aca="false">INDEX(lot!$B$2:$B$1201,MATCH(B963,lot!$A$2:$A$1201,0))</f>
        <v>SUP-D</v>
      </c>
      <c r="F963" s="3" t="n">
        <f aca="false">YEAR(A963)*100+MONTH(A963)</f>
        <v>202604</v>
      </c>
    </row>
    <row r="964" customFormat="false" ht="15" hidden="false" customHeight="false" outlineLevel="0" collapsed="false">
      <c r="A964" s="2" t="n">
        <v>46126</v>
      </c>
      <c r="B964" s="3" t="s">
        <v>454</v>
      </c>
      <c r="C964" s="0" t="n">
        <v>131</v>
      </c>
      <c r="D964" s="0" t="n">
        <v>0</v>
      </c>
      <c r="E964" s="0" t="str">
        <f aca="false">INDEX(lot!$B$2:$B$1201,MATCH(B964,lot!$A$2:$A$1201,0))</f>
        <v>SUP-B</v>
      </c>
      <c r="F964" s="3" t="n">
        <f aca="false">YEAR(A964)*100+MONTH(A964)</f>
        <v>202604</v>
      </c>
    </row>
    <row r="965" customFormat="false" ht="15" hidden="false" customHeight="false" outlineLevel="0" collapsed="false">
      <c r="A965" s="2" t="n">
        <v>46126</v>
      </c>
      <c r="B965" s="3" t="s">
        <v>454</v>
      </c>
      <c r="C965" s="0" t="n">
        <v>90</v>
      </c>
      <c r="D965" s="0" t="n">
        <v>1</v>
      </c>
      <c r="E965" s="0" t="str">
        <f aca="false">INDEX(lot!$B$2:$B$1201,MATCH(B965,lot!$A$2:$A$1201,0))</f>
        <v>SUP-B</v>
      </c>
      <c r="F965" s="3" t="n">
        <f aca="false">YEAR(A965)*100+MONTH(A965)</f>
        <v>202604</v>
      </c>
    </row>
    <row r="966" customFormat="false" ht="15" hidden="false" customHeight="false" outlineLevel="0" collapsed="false">
      <c r="A966" s="2" t="n">
        <v>46126</v>
      </c>
      <c r="B966" s="3" t="s">
        <v>481</v>
      </c>
      <c r="C966" s="0" t="n">
        <v>171</v>
      </c>
      <c r="D966" s="0" t="n">
        <v>2</v>
      </c>
      <c r="E966" s="0" t="str">
        <f aca="false">INDEX(lot!$B$2:$B$1201,MATCH(B966,lot!$A$2:$A$1201,0))</f>
        <v>SUP-C</v>
      </c>
      <c r="F966" s="3" t="n">
        <f aca="false">YEAR(A966)*100+MONTH(A966)</f>
        <v>202604</v>
      </c>
    </row>
    <row r="967" customFormat="false" ht="15" hidden="false" customHeight="false" outlineLevel="0" collapsed="false">
      <c r="A967" s="2" t="n">
        <v>46126</v>
      </c>
      <c r="B967" s="3" t="s">
        <v>481</v>
      </c>
      <c r="C967" s="0" t="n">
        <v>105</v>
      </c>
      <c r="D967" s="0" t="n">
        <v>2</v>
      </c>
      <c r="E967" s="0" t="str">
        <f aca="false">INDEX(lot!$B$2:$B$1201,MATCH(B967,lot!$A$2:$A$1201,0))</f>
        <v>SUP-C</v>
      </c>
      <c r="F967" s="3" t="n">
        <f aca="false">YEAR(A967)*100+MONTH(A967)</f>
        <v>202604</v>
      </c>
    </row>
    <row r="968" customFormat="false" ht="15" hidden="false" customHeight="false" outlineLevel="0" collapsed="false">
      <c r="A968" s="2" t="n">
        <v>46126</v>
      </c>
      <c r="B968" s="3" t="s">
        <v>500</v>
      </c>
      <c r="C968" s="0" t="n">
        <v>66</v>
      </c>
      <c r="D968" s="0" t="n">
        <v>1</v>
      </c>
      <c r="E968" s="0" t="str">
        <f aca="false">INDEX(lot!$B$2:$B$1201,MATCH(B968,lot!$A$2:$A$1201,0))</f>
        <v>SUP-E</v>
      </c>
      <c r="F968" s="3" t="n">
        <f aca="false">YEAR(A968)*100+MONTH(A968)</f>
        <v>202604</v>
      </c>
    </row>
    <row r="969" customFormat="false" ht="15" hidden="false" customHeight="false" outlineLevel="0" collapsed="false">
      <c r="A969" s="2" t="n">
        <v>46126</v>
      </c>
      <c r="B969" s="3" t="s">
        <v>500</v>
      </c>
      <c r="C969" s="0" t="n">
        <v>84</v>
      </c>
      <c r="D969" s="0" t="n">
        <v>0</v>
      </c>
      <c r="E969" s="0" t="str">
        <f aca="false">INDEX(lot!$B$2:$B$1201,MATCH(B969,lot!$A$2:$A$1201,0))</f>
        <v>SUP-E</v>
      </c>
      <c r="F969" s="3" t="n">
        <f aca="false">YEAR(A969)*100+MONTH(A969)</f>
        <v>202604</v>
      </c>
    </row>
    <row r="970" customFormat="false" ht="15" hidden="false" customHeight="false" outlineLevel="0" collapsed="false">
      <c r="A970" s="2" t="n">
        <v>46126</v>
      </c>
      <c r="B970" s="3" t="s">
        <v>547</v>
      </c>
      <c r="C970" s="0" t="n">
        <v>85</v>
      </c>
      <c r="D970" s="0" t="n">
        <v>2</v>
      </c>
      <c r="E970" s="0" t="str">
        <f aca="false">INDEX(lot!$B$2:$B$1201,MATCH(B970,lot!$A$2:$A$1201,0))</f>
        <v>SUP-E</v>
      </c>
      <c r="F970" s="3" t="n">
        <f aca="false">YEAR(A970)*100+MONTH(A970)</f>
        <v>202604</v>
      </c>
    </row>
    <row r="971" customFormat="false" ht="15" hidden="false" customHeight="false" outlineLevel="0" collapsed="false">
      <c r="A971" s="2" t="n">
        <v>46126</v>
      </c>
      <c r="B971" s="3" t="s">
        <v>547</v>
      </c>
      <c r="C971" s="0" t="n">
        <v>68</v>
      </c>
      <c r="D971" s="0" t="n">
        <v>7</v>
      </c>
      <c r="E971" s="0" t="str">
        <f aca="false">INDEX(lot!$B$2:$B$1201,MATCH(B971,lot!$A$2:$A$1201,0))</f>
        <v>SUP-E</v>
      </c>
      <c r="F971" s="3" t="n">
        <f aca="false">YEAR(A971)*100+MONTH(A971)</f>
        <v>202604</v>
      </c>
    </row>
    <row r="972" customFormat="false" ht="15" hidden="false" customHeight="false" outlineLevel="0" collapsed="false">
      <c r="A972" s="2" t="n">
        <v>46126</v>
      </c>
      <c r="B972" s="3" t="s">
        <v>590</v>
      </c>
      <c r="C972" s="0" t="n">
        <v>214</v>
      </c>
      <c r="D972" s="0" t="n">
        <v>4</v>
      </c>
      <c r="E972" s="0" t="str">
        <f aca="false">INDEX(lot!$B$2:$B$1201,MATCH(B972,lot!$A$2:$A$1201,0))</f>
        <v>SUP-D</v>
      </c>
      <c r="F972" s="3" t="n">
        <f aca="false">YEAR(A972)*100+MONTH(A972)</f>
        <v>202604</v>
      </c>
    </row>
    <row r="973" customFormat="false" ht="15" hidden="false" customHeight="false" outlineLevel="0" collapsed="false">
      <c r="A973" s="2" t="n">
        <v>46126</v>
      </c>
      <c r="B973" s="3" t="s">
        <v>745</v>
      </c>
      <c r="C973" s="0" t="n">
        <v>136</v>
      </c>
      <c r="D973" s="0" t="n">
        <v>2</v>
      </c>
      <c r="E973" s="0" t="str">
        <f aca="false">INDEX(lot!$B$2:$B$1201,MATCH(B973,lot!$A$2:$A$1201,0))</f>
        <v>SUP-D</v>
      </c>
      <c r="F973" s="3" t="n">
        <f aca="false">YEAR(A973)*100+MONTH(A973)</f>
        <v>202604</v>
      </c>
    </row>
    <row r="974" customFormat="false" ht="15" hidden="false" customHeight="false" outlineLevel="0" collapsed="false">
      <c r="A974" s="2" t="n">
        <v>46126</v>
      </c>
      <c r="B974" s="3" t="s">
        <v>745</v>
      </c>
      <c r="C974" s="0" t="n">
        <v>220</v>
      </c>
      <c r="D974" s="0" t="n">
        <v>2</v>
      </c>
      <c r="E974" s="0" t="str">
        <f aca="false">INDEX(lot!$B$2:$B$1201,MATCH(B974,lot!$A$2:$A$1201,0))</f>
        <v>SUP-D</v>
      </c>
      <c r="F974" s="3" t="n">
        <f aca="false">YEAR(A974)*100+MONTH(A974)</f>
        <v>202604</v>
      </c>
    </row>
    <row r="975" customFormat="false" ht="15" hidden="false" customHeight="false" outlineLevel="0" collapsed="false">
      <c r="A975" s="2" t="n">
        <v>46126</v>
      </c>
      <c r="B975" s="3" t="s">
        <v>792</v>
      </c>
      <c r="C975" s="0" t="n">
        <v>207</v>
      </c>
      <c r="D975" s="0" t="n">
        <v>3</v>
      </c>
      <c r="E975" s="0" t="str">
        <f aca="false">INDEX(lot!$B$2:$B$1201,MATCH(B975,lot!$A$2:$A$1201,0))</f>
        <v>SUP-C</v>
      </c>
      <c r="F975" s="3" t="n">
        <f aca="false">YEAR(A975)*100+MONTH(A975)</f>
        <v>202604</v>
      </c>
    </row>
    <row r="976" customFormat="false" ht="15" hidden="false" customHeight="false" outlineLevel="0" collapsed="false">
      <c r="A976" s="2" t="n">
        <v>46126</v>
      </c>
      <c r="B976" s="3" t="s">
        <v>805</v>
      </c>
      <c r="C976" s="0" t="n">
        <v>218</v>
      </c>
      <c r="D976" s="0" t="n">
        <v>3</v>
      </c>
      <c r="E976" s="0" t="str">
        <f aca="false">INDEX(lot!$B$2:$B$1201,MATCH(B976,lot!$A$2:$A$1201,0))</f>
        <v>SUP-C</v>
      </c>
      <c r="F976" s="3" t="n">
        <f aca="false">YEAR(A976)*100+MONTH(A976)</f>
        <v>202604</v>
      </c>
    </row>
    <row r="977" customFormat="false" ht="15" hidden="false" customHeight="false" outlineLevel="0" collapsed="false">
      <c r="A977" s="2" t="n">
        <v>46126</v>
      </c>
      <c r="B977" s="3" t="s">
        <v>818</v>
      </c>
      <c r="C977" s="0" t="n">
        <v>206</v>
      </c>
      <c r="D977" s="0" t="n">
        <v>3</v>
      </c>
      <c r="E977" s="0" t="str">
        <f aca="false">INDEX(lot!$B$2:$B$1201,MATCH(B977,lot!$A$2:$A$1201,0))</f>
        <v>SUP-E</v>
      </c>
      <c r="F977" s="3" t="n">
        <f aca="false">YEAR(A977)*100+MONTH(A977)</f>
        <v>202604</v>
      </c>
    </row>
    <row r="978" customFormat="false" ht="15" hidden="false" customHeight="false" outlineLevel="0" collapsed="false">
      <c r="A978" s="2" t="n">
        <v>46126</v>
      </c>
      <c r="B978" s="3" t="s">
        <v>826</v>
      </c>
      <c r="C978" s="0" t="n">
        <v>148</v>
      </c>
      <c r="D978" s="0" t="n">
        <v>5</v>
      </c>
      <c r="E978" s="0" t="str">
        <f aca="false">INDEX(lot!$B$2:$B$1201,MATCH(B978,lot!$A$2:$A$1201,0))</f>
        <v>SUP-E</v>
      </c>
      <c r="F978" s="3" t="n">
        <f aca="false">YEAR(A978)*100+MONTH(A978)</f>
        <v>202604</v>
      </c>
    </row>
    <row r="979" customFormat="false" ht="15" hidden="false" customHeight="false" outlineLevel="0" collapsed="false">
      <c r="A979" s="2" t="n">
        <v>46126</v>
      </c>
      <c r="B979" s="3" t="s">
        <v>826</v>
      </c>
      <c r="C979" s="0" t="n">
        <v>197</v>
      </c>
      <c r="D979" s="0" t="n">
        <v>16</v>
      </c>
      <c r="E979" s="0" t="str">
        <f aca="false">INDEX(lot!$B$2:$B$1201,MATCH(B979,lot!$A$2:$A$1201,0))</f>
        <v>SUP-E</v>
      </c>
      <c r="F979" s="3" t="n">
        <f aca="false">YEAR(A979)*100+MONTH(A979)</f>
        <v>202604</v>
      </c>
    </row>
    <row r="980" customFormat="false" ht="15" hidden="false" customHeight="false" outlineLevel="0" collapsed="false">
      <c r="A980" s="2" t="n">
        <v>46126</v>
      </c>
      <c r="B980" s="3" t="s">
        <v>873</v>
      </c>
      <c r="C980" s="0" t="n">
        <v>176</v>
      </c>
      <c r="D980" s="0" t="n">
        <v>0</v>
      </c>
      <c r="E980" s="0" t="str">
        <f aca="false">INDEX(lot!$B$2:$B$1201,MATCH(B980,lot!$A$2:$A$1201,0))</f>
        <v>SUP-D</v>
      </c>
      <c r="F980" s="3" t="n">
        <f aca="false">YEAR(A980)*100+MONTH(A980)</f>
        <v>202604</v>
      </c>
    </row>
    <row r="981" customFormat="false" ht="15" hidden="false" customHeight="false" outlineLevel="0" collapsed="false">
      <c r="A981" s="2" t="n">
        <v>46126</v>
      </c>
      <c r="B981" s="3" t="s">
        <v>873</v>
      </c>
      <c r="C981" s="0" t="n">
        <v>186</v>
      </c>
      <c r="D981" s="0" t="n">
        <v>4</v>
      </c>
      <c r="E981" s="0" t="str">
        <f aca="false">INDEX(lot!$B$2:$B$1201,MATCH(B981,lot!$A$2:$A$1201,0))</f>
        <v>SUP-D</v>
      </c>
      <c r="F981" s="3" t="n">
        <f aca="false">YEAR(A981)*100+MONTH(A981)</f>
        <v>202604</v>
      </c>
    </row>
    <row r="982" customFormat="false" ht="15" hidden="false" customHeight="false" outlineLevel="0" collapsed="false">
      <c r="A982" s="2" t="n">
        <v>46126</v>
      </c>
      <c r="B982" s="3" t="s">
        <v>894</v>
      </c>
      <c r="C982" s="0" t="n">
        <v>187</v>
      </c>
      <c r="D982" s="0" t="n">
        <v>25</v>
      </c>
      <c r="E982" s="0" t="str">
        <f aca="false">INDEX(lot!$B$2:$B$1201,MATCH(B982,lot!$A$2:$A$1201,0))</f>
        <v>SUP-C</v>
      </c>
      <c r="F982" s="3" t="n">
        <f aca="false">YEAR(A982)*100+MONTH(A982)</f>
        <v>202604</v>
      </c>
    </row>
    <row r="983" customFormat="false" ht="15" hidden="false" customHeight="false" outlineLevel="0" collapsed="false">
      <c r="A983" s="2" t="n">
        <v>46126</v>
      </c>
      <c r="B983" s="3" t="s">
        <v>936</v>
      </c>
      <c r="C983" s="0" t="n">
        <v>205</v>
      </c>
      <c r="D983" s="0" t="n">
        <v>2</v>
      </c>
      <c r="E983" s="0" t="str">
        <f aca="false">INDEX(lot!$B$2:$B$1201,MATCH(B983,lot!$A$2:$A$1201,0))</f>
        <v>SUP-D</v>
      </c>
      <c r="F983" s="3" t="n">
        <f aca="false">YEAR(A983)*100+MONTH(A983)</f>
        <v>202604</v>
      </c>
    </row>
    <row r="984" customFormat="false" ht="15" hidden="false" customHeight="false" outlineLevel="0" collapsed="false">
      <c r="A984" s="2" t="n">
        <v>46126</v>
      </c>
      <c r="B984" s="3" t="s">
        <v>1062</v>
      </c>
      <c r="C984" s="0" t="n">
        <v>105</v>
      </c>
      <c r="D984" s="0" t="n">
        <v>1</v>
      </c>
      <c r="E984" s="0" t="str">
        <f aca="false">INDEX(lot!$B$2:$B$1201,MATCH(B984,lot!$A$2:$A$1201,0))</f>
        <v>SUP-E</v>
      </c>
      <c r="F984" s="3" t="n">
        <f aca="false">YEAR(A984)*100+MONTH(A984)</f>
        <v>202604</v>
      </c>
    </row>
    <row r="985" customFormat="false" ht="15" hidden="false" customHeight="false" outlineLevel="0" collapsed="false">
      <c r="A985" s="2" t="n">
        <v>46126</v>
      </c>
      <c r="B985" s="3" t="s">
        <v>1062</v>
      </c>
      <c r="C985" s="0" t="n">
        <v>70</v>
      </c>
      <c r="D985" s="0" t="n">
        <v>0</v>
      </c>
      <c r="E985" s="0" t="str">
        <f aca="false">INDEX(lot!$B$2:$B$1201,MATCH(B985,lot!$A$2:$A$1201,0))</f>
        <v>SUP-E</v>
      </c>
      <c r="F985" s="3" t="n">
        <f aca="false">YEAR(A985)*100+MONTH(A985)</f>
        <v>202604</v>
      </c>
    </row>
    <row r="986" customFormat="false" ht="15" hidden="false" customHeight="false" outlineLevel="0" collapsed="false">
      <c r="A986" s="2" t="n">
        <v>46126</v>
      </c>
      <c r="B986" s="3" t="s">
        <v>1117</v>
      </c>
      <c r="C986" s="0" t="n">
        <v>108</v>
      </c>
      <c r="D986" s="0" t="n">
        <v>0</v>
      </c>
      <c r="E986" s="0" t="str">
        <f aca="false">INDEX(lot!$B$2:$B$1201,MATCH(B986,lot!$A$2:$A$1201,0))</f>
        <v>SUP-A</v>
      </c>
      <c r="F986" s="3" t="n">
        <f aca="false">YEAR(A986)*100+MONTH(A986)</f>
        <v>202604</v>
      </c>
    </row>
    <row r="987" customFormat="false" ht="15" hidden="false" customHeight="false" outlineLevel="0" collapsed="false">
      <c r="A987" s="2" t="n">
        <v>46126</v>
      </c>
      <c r="B987" s="3" t="s">
        <v>1117</v>
      </c>
      <c r="C987" s="0" t="n">
        <v>240</v>
      </c>
      <c r="D987" s="0" t="n">
        <v>2</v>
      </c>
      <c r="E987" s="0" t="str">
        <f aca="false">INDEX(lot!$B$2:$B$1201,MATCH(B987,lot!$A$2:$A$1201,0))</f>
        <v>SUP-A</v>
      </c>
      <c r="F987" s="3" t="n">
        <f aca="false">YEAR(A987)*100+MONTH(A987)</f>
        <v>202604</v>
      </c>
    </row>
    <row r="988" customFormat="false" ht="15" hidden="false" customHeight="false" outlineLevel="0" collapsed="false">
      <c r="A988" s="2" t="n">
        <v>46126</v>
      </c>
      <c r="B988" s="3" t="s">
        <v>1207</v>
      </c>
      <c r="C988" s="0" t="n">
        <v>217</v>
      </c>
      <c r="D988" s="0" t="n">
        <v>2</v>
      </c>
      <c r="E988" s="0" t="str">
        <f aca="false">INDEX(lot!$B$2:$B$1201,MATCH(B988,lot!$A$2:$A$1201,0))</f>
        <v>SUP-A</v>
      </c>
      <c r="F988" s="3" t="n">
        <f aca="false">YEAR(A988)*100+MONTH(A988)</f>
        <v>202604</v>
      </c>
    </row>
    <row r="989" customFormat="false" ht="15" hidden="false" customHeight="false" outlineLevel="0" collapsed="false">
      <c r="A989" s="2" t="n">
        <v>46126</v>
      </c>
      <c r="B989" s="3" t="s">
        <v>1207</v>
      </c>
      <c r="C989" s="0" t="n">
        <v>169</v>
      </c>
      <c r="D989" s="0" t="n">
        <v>2</v>
      </c>
      <c r="E989" s="0" t="str">
        <f aca="false">INDEX(lot!$B$2:$B$1201,MATCH(B989,lot!$A$2:$A$1201,0))</f>
        <v>SUP-A</v>
      </c>
      <c r="F989" s="3" t="n">
        <f aca="false">YEAR(A989)*100+MONTH(A989)</f>
        <v>202604</v>
      </c>
    </row>
    <row r="990" customFormat="false" ht="15" hidden="false" customHeight="false" outlineLevel="0" collapsed="false">
      <c r="A990" s="2" t="n">
        <v>46126</v>
      </c>
      <c r="B990" s="3" t="s">
        <v>1211</v>
      </c>
      <c r="C990" s="0" t="n">
        <v>231</v>
      </c>
      <c r="D990" s="0" t="n">
        <v>0</v>
      </c>
      <c r="E990" s="0" t="str">
        <f aca="false">INDEX(lot!$B$2:$B$1201,MATCH(B990,lot!$A$2:$A$1201,0))</f>
        <v>SUP-D</v>
      </c>
      <c r="F990" s="3" t="n">
        <f aca="false">YEAR(A990)*100+MONTH(A990)</f>
        <v>202604</v>
      </c>
    </row>
    <row r="991" customFormat="false" ht="15" hidden="false" customHeight="false" outlineLevel="0" collapsed="false">
      <c r="A991" s="2" t="n">
        <v>46126</v>
      </c>
      <c r="B991" s="3" t="s">
        <v>1211</v>
      </c>
      <c r="C991" s="0" t="n">
        <v>68</v>
      </c>
      <c r="D991" s="0" t="n">
        <v>1</v>
      </c>
      <c r="E991" s="0" t="str">
        <f aca="false">INDEX(lot!$B$2:$B$1201,MATCH(B991,lot!$A$2:$A$1201,0))</f>
        <v>SUP-D</v>
      </c>
      <c r="F991" s="3" t="n">
        <f aca="false">YEAR(A991)*100+MONTH(A991)</f>
        <v>202604</v>
      </c>
    </row>
    <row r="992" customFormat="false" ht="15" hidden="false" customHeight="false" outlineLevel="0" collapsed="false">
      <c r="A992" s="2" t="n">
        <v>46127</v>
      </c>
      <c r="B992" s="3" t="s">
        <v>35</v>
      </c>
      <c r="C992" s="0" t="n">
        <v>144</v>
      </c>
      <c r="D992" s="0" t="n">
        <v>2</v>
      </c>
      <c r="E992" s="0" t="str">
        <f aca="false">INDEX(lot!$B$2:$B$1201,MATCH(B992,lot!$A$2:$A$1201,0))</f>
        <v>SUP-B</v>
      </c>
      <c r="F992" s="3" t="n">
        <f aca="false">YEAR(A992)*100+MONTH(A992)</f>
        <v>202604</v>
      </c>
    </row>
    <row r="993" customFormat="false" ht="15" hidden="false" customHeight="false" outlineLevel="0" collapsed="false">
      <c r="A993" s="2" t="n">
        <v>46127</v>
      </c>
      <c r="B993" s="3" t="s">
        <v>35</v>
      </c>
      <c r="C993" s="0" t="n">
        <v>82</v>
      </c>
      <c r="D993" s="0" t="n">
        <v>0</v>
      </c>
      <c r="E993" s="0" t="str">
        <f aca="false">INDEX(lot!$B$2:$B$1201,MATCH(B993,lot!$A$2:$A$1201,0))</f>
        <v>SUP-B</v>
      </c>
      <c r="F993" s="3" t="n">
        <f aca="false">YEAR(A993)*100+MONTH(A993)</f>
        <v>202604</v>
      </c>
    </row>
    <row r="994" customFormat="false" ht="15" hidden="false" customHeight="false" outlineLevel="0" collapsed="false">
      <c r="A994" s="2" t="n">
        <v>46127</v>
      </c>
      <c r="B994" s="3" t="s">
        <v>75</v>
      </c>
      <c r="C994" s="0" t="n">
        <v>86</v>
      </c>
      <c r="D994" s="0" t="n">
        <v>0</v>
      </c>
      <c r="E994" s="0" t="str">
        <f aca="false">INDEX(lot!$B$2:$B$1201,MATCH(B994,lot!$A$2:$A$1201,0))</f>
        <v>SUP-A</v>
      </c>
      <c r="F994" s="3" t="n">
        <f aca="false">YEAR(A994)*100+MONTH(A994)</f>
        <v>202604</v>
      </c>
    </row>
    <row r="995" customFormat="false" ht="15" hidden="false" customHeight="false" outlineLevel="0" collapsed="false">
      <c r="A995" s="2" t="n">
        <v>46127</v>
      </c>
      <c r="B995" s="3" t="s">
        <v>112</v>
      </c>
      <c r="C995" s="0" t="n">
        <v>76</v>
      </c>
      <c r="D995" s="0" t="n">
        <v>0</v>
      </c>
      <c r="E995" s="0" t="str">
        <f aca="false">INDEX(lot!$B$2:$B$1201,MATCH(B995,lot!$A$2:$A$1201,0))</f>
        <v>SUP-B</v>
      </c>
      <c r="F995" s="3" t="n">
        <f aca="false">YEAR(A995)*100+MONTH(A995)</f>
        <v>202604</v>
      </c>
    </row>
    <row r="996" customFormat="false" ht="15" hidden="false" customHeight="false" outlineLevel="0" collapsed="false">
      <c r="A996" s="2" t="n">
        <v>46127</v>
      </c>
      <c r="B996" s="3" t="s">
        <v>112</v>
      </c>
      <c r="C996" s="0" t="n">
        <v>153</v>
      </c>
      <c r="D996" s="0" t="n">
        <v>1</v>
      </c>
      <c r="E996" s="0" t="str">
        <f aca="false">INDEX(lot!$B$2:$B$1201,MATCH(B996,lot!$A$2:$A$1201,0))</f>
        <v>SUP-B</v>
      </c>
      <c r="F996" s="3" t="n">
        <f aca="false">YEAR(A996)*100+MONTH(A996)</f>
        <v>202604</v>
      </c>
    </row>
    <row r="997" customFormat="false" ht="15" hidden="false" customHeight="false" outlineLevel="0" collapsed="false">
      <c r="A997" s="2" t="n">
        <v>46127</v>
      </c>
      <c r="B997" s="3" t="s">
        <v>339</v>
      </c>
      <c r="C997" s="0" t="n">
        <v>241</v>
      </c>
      <c r="D997" s="0" t="n">
        <v>3</v>
      </c>
      <c r="E997" s="0" t="str">
        <f aca="false">INDEX(lot!$B$2:$B$1201,MATCH(B997,lot!$A$2:$A$1201,0))</f>
        <v>SUP-A</v>
      </c>
      <c r="F997" s="3" t="n">
        <f aca="false">YEAR(A997)*100+MONTH(A997)</f>
        <v>202604</v>
      </c>
    </row>
    <row r="998" customFormat="false" ht="15" hidden="false" customHeight="false" outlineLevel="0" collapsed="false">
      <c r="A998" s="2" t="n">
        <v>46127</v>
      </c>
      <c r="B998" s="3" t="s">
        <v>454</v>
      </c>
      <c r="C998" s="0" t="n">
        <v>74</v>
      </c>
      <c r="D998" s="0" t="n">
        <v>0</v>
      </c>
      <c r="E998" s="0" t="str">
        <f aca="false">INDEX(lot!$B$2:$B$1201,MATCH(B998,lot!$A$2:$A$1201,0))</f>
        <v>SUP-B</v>
      </c>
      <c r="F998" s="3" t="n">
        <f aca="false">YEAR(A998)*100+MONTH(A998)</f>
        <v>202604</v>
      </c>
    </row>
    <row r="999" customFormat="false" ht="15" hidden="false" customHeight="false" outlineLevel="0" collapsed="false">
      <c r="A999" s="2" t="n">
        <v>46127</v>
      </c>
      <c r="B999" s="3" t="s">
        <v>478</v>
      </c>
      <c r="C999" s="0" t="n">
        <v>74</v>
      </c>
      <c r="D999" s="0" t="n">
        <v>1</v>
      </c>
      <c r="E999" s="0" t="str">
        <f aca="false">INDEX(lot!$B$2:$B$1201,MATCH(B999,lot!$A$2:$A$1201,0))</f>
        <v>SUP-D</v>
      </c>
      <c r="F999" s="3" t="n">
        <f aca="false">YEAR(A999)*100+MONTH(A999)</f>
        <v>202604</v>
      </c>
    </row>
    <row r="1000" customFormat="false" ht="15" hidden="false" customHeight="false" outlineLevel="0" collapsed="false">
      <c r="A1000" s="2" t="n">
        <v>46127</v>
      </c>
      <c r="B1000" s="3" t="s">
        <v>481</v>
      </c>
      <c r="C1000" s="0" t="n">
        <v>100</v>
      </c>
      <c r="D1000" s="0" t="n">
        <v>2</v>
      </c>
      <c r="E1000" s="0" t="str">
        <f aca="false">INDEX(lot!$B$2:$B$1201,MATCH(B1000,lot!$A$2:$A$1201,0))</f>
        <v>SUP-C</v>
      </c>
      <c r="F1000" s="3" t="n">
        <f aca="false">YEAR(A1000)*100+MONTH(A1000)</f>
        <v>202604</v>
      </c>
    </row>
    <row r="1001" customFormat="false" ht="15" hidden="false" customHeight="false" outlineLevel="0" collapsed="false">
      <c r="A1001" s="2" t="n">
        <v>46127</v>
      </c>
      <c r="B1001" s="3" t="s">
        <v>481</v>
      </c>
      <c r="C1001" s="0" t="n">
        <v>171</v>
      </c>
      <c r="D1001" s="0" t="n">
        <v>5</v>
      </c>
      <c r="E1001" s="0" t="str">
        <f aca="false">INDEX(lot!$B$2:$B$1201,MATCH(B1001,lot!$A$2:$A$1201,0))</f>
        <v>SUP-C</v>
      </c>
      <c r="F1001" s="3" t="n">
        <f aca="false">YEAR(A1001)*100+MONTH(A1001)</f>
        <v>202604</v>
      </c>
    </row>
    <row r="1002" customFormat="false" ht="15" hidden="false" customHeight="false" outlineLevel="0" collapsed="false">
      <c r="A1002" s="2" t="n">
        <v>46127</v>
      </c>
      <c r="B1002" s="3" t="s">
        <v>500</v>
      </c>
      <c r="C1002" s="0" t="n">
        <v>81</v>
      </c>
      <c r="D1002" s="0" t="n">
        <v>1</v>
      </c>
      <c r="E1002" s="0" t="str">
        <f aca="false">INDEX(lot!$B$2:$B$1201,MATCH(B1002,lot!$A$2:$A$1201,0))</f>
        <v>SUP-E</v>
      </c>
      <c r="F1002" s="3" t="n">
        <f aca="false">YEAR(A1002)*100+MONTH(A1002)</f>
        <v>202604</v>
      </c>
    </row>
    <row r="1003" customFormat="false" ht="15" hidden="false" customHeight="false" outlineLevel="0" collapsed="false">
      <c r="A1003" s="2" t="n">
        <v>46127</v>
      </c>
      <c r="B1003" s="3" t="s">
        <v>547</v>
      </c>
      <c r="C1003" s="0" t="n">
        <v>171</v>
      </c>
      <c r="D1003" s="0" t="n">
        <v>6</v>
      </c>
      <c r="E1003" s="0" t="str">
        <f aca="false">INDEX(lot!$B$2:$B$1201,MATCH(B1003,lot!$A$2:$A$1201,0))</f>
        <v>SUP-E</v>
      </c>
      <c r="F1003" s="3" t="n">
        <f aca="false">YEAR(A1003)*100+MONTH(A1003)</f>
        <v>202604</v>
      </c>
    </row>
    <row r="1004" customFormat="false" ht="15" hidden="false" customHeight="false" outlineLevel="0" collapsed="false">
      <c r="A1004" s="2" t="n">
        <v>46127</v>
      </c>
      <c r="B1004" s="3" t="s">
        <v>547</v>
      </c>
      <c r="C1004" s="0" t="n">
        <v>213</v>
      </c>
      <c r="D1004" s="0" t="n">
        <v>8</v>
      </c>
      <c r="E1004" s="0" t="str">
        <f aca="false">INDEX(lot!$B$2:$B$1201,MATCH(B1004,lot!$A$2:$A$1201,0))</f>
        <v>SUP-E</v>
      </c>
      <c r="F1004" s="3" t="n">
        <f aca="false">YEAR(A1004)*100+MONTH(A1004)</f>
        <v>202604</v>
      </c>
    </row>
    <row r="1005" customFormat="false" ht="15" hidden="false" customHeight="false" outlineLevel="0" collapsed="false">
      <c r="A1005" s="2" t="n">
        <v>46127</v>
      </c>
      <c r="B1005" s="3" t="s">
        <v>590</v>
      </c>
      <c r="C1005" s="0" t="n">
        <v>121</v>
      </c>
      <c r="D1005" s="0" t="n">
        <v>0</v>
      </c>
      <c r="E1005" s="0" t="str">
        <f aca="false">INDEX(lot!$B$2:$B$1201,MATCH(B1005,lot!$A$2:$A$1201,0))</f>
        <v>SUP-D</v>
      </c>
      <c r="F1005" s="3" t="n">
        <f aca="false">YEAR(A1005)*100+MONTH(A1005)</f>
        <v>202604</v>
      </c>
    </row>
    <row r="1006" customFormat="false" ht="15" hidden="false" customHeight="false" outlineLevel="0" collapsed="false">
      <c r="A1006" s="2" t="n">
        <v>46127</v>
      </c>
      <c r="B1006" s="3" t="s">
        <v>818</v>
      </c>
      <c r="C1006" s="0" t="n">
        <v>108</v>
      </c>
      <c r="D1006" s="0" t="n">
        <v>0</v>
      </c>
      <c r="E1006" s="0" t="str">
        <f aca="false">INDEX(lot!$B$2:$B$1201,MATCH(B1006,lot!$A$2:$A$1201,0))</f>
        <v>SUP-E</v>
      </c>
      <c r="F1006" s="3" t="n">
        <f aca="false">YEAR(A1006)*100+MONTH(A1006)</f>
        <v>202604</v>
      </c>
    </row>
    <row r="1007" customFormat="false" ht="15" hidden="false" customHeight="false" outlineLevel="0" collapsed="false">
      <c r="A1007" s="2" t="n">
        <v>46127</v>
      </c>
      <c r="B1007" s="3" t="s">
        <v>818</v>
      </c>
      <c r="C1007" s="0" t="n">
        <v>218</v>
      </c>
      <c r="D1007" s="0" t="n">
        <v>3</v>
      </c>
      <c r="E1007" s="0" t="str">
        <f aca="false">INDEX(lot!$B$2:$B$1201,MATCH(B1007,lot!$A$2:$A$1201,0))</f>
        <v>SUP-E</v>
      </c>
      <c r="F1007" s="3" t="n">
        <f aca="false">YEAR(A1007)*100+MONTH(A1007)</f>
        <v>202604</v>
      </c>
    </row>
    <row r="1008" customFormat="false" ht="15" hidden="false" customHeight="false" outlineLevel="0" collapsed="false">
      <c r="A1008" s="2" t="n">
        <v>46127</v>
      </c>
      <c r="B1008" s="3" t="s">
        <v>826</v>
      </c>
      <c r="C1008" s="0" t="n">
        <v>174</v>
      </c>
      <c r="D1008" s="0" t="n">
        <v>8</v>
      </c>
      <c r="E1008" s="0" t="str">
        <f aca="false">INDEX(lot!$B$2:$B$1201,MATCH(B1008,lot!$A$2:$A$1201,0))</f>
        <v>SUP-E</v>
      </c>
      <c r="F1008" s="3" t="n">
        <f aca="false">YEAR(A1008)*100+MONTH(A1008)</f>
        <v>202604</v>
      </c>
    </row>
    <row r="1009" customFormat="false" ht="15" hidden="false" customHeight="false" outlineLevel="0" collapsed="false">
      <c r="A1009" s="2" t="n">
        <v>46127</v>
      </c>
      <c r="B1009" s="3" t="s">
        <v>826</v>
      </c>
      <c r="C1009" s="0" t="n">
        <v>208</v>
      </c>
      <c r="D1009" s="0" t="n">
        <v>16</v>
      </c>
      <c r="E1009" s="0" t="str">
        <f aca="false">INDEX(lot!$B$2:$B$1201,MATCH(B1009,lot!$A$2:$A$1201,0))</f>
        <v>SUP-E</v>
      </c>
      <c r="F1009" s="3" t="n">
        <f aca="false">YEAR(A1009)*100+MONTH(A1009)</f>
        <v>202604</v>
      </c>
    </row>
    <row r="1010" customFormat="false" ht="15" hidden="false" customHeight="false" outlineLevel="0" collapsed="false">
      <c r="A1010" s="2" t="n">
        <v>46127</v>
      </c>
      <c r="B1010" s="3" t="s">
        <v>873</v>
      </c>
      <c r="C1010" s="0" t="n">
        <v>184</v>
      </c>
      <c r="D1010" s="0" t="n">
        <v>1</v>
      </c>
      <c r="E1010" s="0" t="str">
        <f aca="false">INDEX(lot!$B$2:$B$1201,MATCH(B1010,lot!$A$2:$A$1201,0))</f>
        <v>SUP-D</v>
      </c>
      <c r="F1010" s="3" t="n">
        <f aca="false">YEAR(A1010)*100+MONTH(A1010)</f>
        <v>202604</v>
      </c>
    </row>
    <row r="1011" customFormat="false" ht="15" hidden="false" customHeight="false" outlineLevel="0" collapsed="false">
      <c r="A1011" s="2" t="n">
        <v>46127</v>
      </c>
      <c r="B1011" s="3" t="s">
        <v>911</v>
      </c>
      <c r="C1011" s="0" t="n">
        <v>110</v>
      </c>
      <c r="D1011" s="0" t="n">
        <v>1</v>
      </c>
      <c r="E1011" s="0" t="str">
        <f aca="false">INDEX(lot!$B$2:$B$1201,MATCH(B1011,lot!$A$2:$A$1201,0))</f>
        <v>SUP-E</v>
      </c>
      <c r="F1011" s="3" t="n">
        <f aca="false">YEAR(A1011)*100+MONTH(A1011)</f>
        <v>202604</v>
      </c>
    </row>
    <row r="1012" customFormat="false" ht="15" hidden="false" customHeight="false" outlineLevel="0" collapsed="false">
      <c r="A1012" s="2" t="n">
        <v>46127</v>
      </c>
      <c r="B1012" s="3" t="s">
        <v>911</v>
      </c>
      <c r="C1012" s="0" t="n">
        <v>124</v>
      </c>
      <c r="D1012" s="0" t="n">
        <v>1</v>
      </c>
      <c r="E1012" s="0" t="str">
        <f aca="false">INDEX(lot!$B$2:$B$1201,MATCH(B1012,lot!$A$2:$A$1201,0))</f>
        <v>SUP-E</v>
      </c>
      <c r="F1012" s="3" t="n">
        <f aca="false">YEAR(A1012)*100+MONTH(A1012)</f>
        <v>202604</v>
      </c>
    </row>
    <row r="1013" customFormat="false" ht="15" hidden="false" customHeight="false" outlineLevel="0" collapsed="false">
      <c r="A1013" s="2" t="n">
        <v>46127</v>
      </c>
      <c r="B1013" s="3" t="s">
        <v>1059</v>
      </c>
      <c r="C1013" s="0" t="n">
        <v>85</v>
      </c>
      <c r="D1013" s="0" t="n">
        <v>2</v>
      </c>
      <c r="E1013" s="0" t="str">
        <f aca="false">INDEX(lot!$B$2:$B$1201,MATCH(B1013,lot!$A$2:$A$1201,0))</f>
        <v>SUP-A</v>
      </c>
      <c r="F1013" s="3" t="n">
        <f aca="false">YEAR(A1013)*100+MONTH(A1013)</f>
        <v>202604</v>
      </c>
    </row>
    <row r="1014" customFormat="false" ht="15" hidden="false" customHeight="false" outlineLevel="0" collapsed="false">
      <c r="A1014" s="2" t="n">
        <v>46127</v>
      </c>
      <c r="B1014" s="3" t="s">
        <v>1059</v>
      </c>
      <c r="C1014" s="0" t="n">
        <v>105</v>
      </c>
      <c r="D1014" s="0" t="n">
        <v>0</v>
      </c>
      <c r="E1014" s="0" t="str">
        <f aca="false">INDEX(lot!$B$2:$B$1201,MATCH(B1014,lot!$A$2:$A$1201,0))</f>
        <v>SUP-A</v>
      </c>
      <c r="F1014" s="3" t="n">
        <f aca="false">YEAR(A1014)*100+MONTH(A1014)</f>
        <v>202604</v>
      </c>
    </row>
    <row r="1015" customFormat="false" ht="15" hidden="false" customHeight="false" outlineLevel="0" collapsed="false">
      <c r="A1015" s="2" t="n">
        <v>46127</v>
      </c>
      <c r="B1015" s="3" t="s">
        <v>1072</v>
      </c>
      <c r="C1015" s="0" t="n">
        <v>251</v>
      </c>
      <c r="D1015" s="0" t="n">
        <v>3</v>
      </c>
      <c r="E1015" s="0" t="str">
        <f aca="false">INDEX(lot!$B$2:$B$1201,MATCH(B1015,lot!$A$2:$A$1201,0))</f>
        <v>SUP-C</v>
      </c>
      <c r="F1015" s="3" t="n">
        <f aca="false">YEAR(A1015)*100+MONTH(A1015)</f>
        <v>202604</v>
      </c>
    </row>
    <row r="1016" customFormat="false" ht="15" hidden="false" customHeight="false" outlineLevel="0" collapsed="false">
      <c r="A1016" s="2" t="n">
        <v>46127</v>
      </c>
      <c r="B1016" s="3" t="s">
        <v>1072</v>
      </c>
      <c r="C1016" s="0" t="n">
        <v>203</v>
      </c>
      <c r="D1016" s="0" t="n">
        <v>4</v>
      </c>
      <c r="E1016" s="0" t="str">
        <f aca="false">INDEX(lot!$B$2:$B$1201,MATCH(B1016,lot!$A$2:$A$1201,0))</f>
        <v>SUP-C</v>
      </c>
      <c r="F1016" s="3" t="n">
        <f aca="false">YEAR(A1016)*100+MONTH(A1016)</f>
        <v>202604</v>
      </c>
    </row>
    <row r="1017" customFormat="false" ht="15" hidden="false" customHeight="false" outlineLevel="0" collapsed="false">
      <c r="A1017" s="2" t="n">
        <v>46127</v>
      </c>
      <c r="B1017" s="3" t="s">
        <v>1117</v>
      </c>
      <c r="C1017" s="0" t="n">
        <v>90</v>
      </c>
      <c r="D1017" s="0" t="n">
        <v>1</v>
      </c>
      <c r="E1017" s="0" t="str">
        <f aca="false">INDEX(lot!$B$2:$B$1201,MATCH(B1017,lot!$A$2:$A$1201,0))</f>
        <v>SUP-A</v>
      </c>
      <c r="F1017" s="3" t="n">
        <f aca="false">YEAR(A1017)*100+MONTH(A1017)</f>
        <v>202604</v>
      </c>
    </row>
    <row r="1018" customFormat="false" ht="15" hidden="false" customHeight="false" outlineLevel="0" collapsed="false">
      <c r="A1018" s="2" t="n">
        <v>46127</v>
      </c>
      <c r="B1018" s="3" t="s">
        <v>1117</v>
      </c>
      <c r="C1018" s="0" t="n">
        <v>132</v>
      </c>
      <c r="D1018" s="0" t="n">
        <v>0</v>
      </c>
      <c r="E1018" s="0" t="str">
        <f aca="false">INDEX(lot!$B$2:$B$1201,MATCH(B1018,lot!$A$2:$A$1201,0))</f>
        <v>SUP-A</v>
      </c>
      <c r="F1018" s="3" t="n">
        <f aca="false">YEAR(A1018)*100+MONTH(A1018)</f>
        <v>202604</v>
      </c>
    </row>
    <row r="1019" customFormat="false" ht="15" hidden="false" customHeight="false" outlineLevel="0" collapsed="false">
      <c r="A1019" s="2" t="n">
        <v>46127</v>
      </c>
      <c r="B1019" s="3" t="s">
        <v>1150</v>
      </c>
      <c r="C1019" s="0" t="n">
        <v>186</v>
      </c>
      <c r="D1019" s="0" t="n">
        <v>0</v>
      </c>
      <c r="E1019" s="0" t="str">
        <f aca="false">INDEX(lot!$B$2:$B$1201,MATCH(B1019,lot!$A$2:$A$1201,0))</f>
        <v>SUP-E</v>
      </c>
      <c r="F1019" s="3" t="n">
        <f aca="false">YEAR(A1019)*100+MONTH(A1019)</f>
        <v>202604</v>
      </c>
    </row>
    <row r="1020" customFormat="false" ht="15" hidden="false" customHeight="false" outlineLevel="0" collapsed="false">
      <c r="A1020" s="2" t="n">
        <v>46127</v>
      </c>
      <c r="B1020" s="3" t="s">
        <v>1150</v>
      </c>
      <c r="C1020" s="0" t="n">
        <v>242</v>
      </c>
      <c r="D1020" s="0" t="n">
        <v>2</v>
      </c>
      <c r="E1020" s="0" t="str">
        <f aca="false">INDEX(lot!$B$2:$B$1201,MATCH(B1020,lot!$A$2:$A$1201,0))</f>
        <v>SUP-E</v>
      </c>
      <c r="F1020" s="3" t="n">
        <f aca="false">YEAR(A1020)*100+MONTH(A1020)</f>
        <v>202604</v>
      </c>
    </row>
    <row r="1021" customFormat="false" ht="15" hidden="false" customHeight="false" outlineLevel="0" collapsed="false">
      <c r="A1021" s="2" t="n">
        <v>46127</v>
      </c>
      <c r="B1021" s="3" t="s">
        <v>1208</v>
      </c>
      <c r="C1021" s="0" t="n">
        <v>191</v>
      </c>
      <c r="D1021" s="0" t="n">
        <v>2</v>
      </c>
      <c r="E1021" s="0" t="str">
        <f aca="false">INDEX(lot!$B$2:$B$1201,MATCH(B1021,lot!$A$2:$A$1201,0))</f>
        <v>SUP-D</v>
      </c>
      <c r="F1021" s="3" t="n">
        <f aca="false">YEAR(A1021)*100+MONTH(A1021)</f>
        <v>202604</v>
      </c>
    </row>
    <row r="1022" customFormat="false" ht="15" hidden="false" customHeight="false" outlineLevel="0" collapsed="false">
      <c r="A1022" s="2" t="n">
        <v>46127</v>
      </c>
      <c r="B1022" s="3" t="s">
        <v>1208</v>
      </c>
      <c r="C1022" s="0" t="n">
        <v>212</v>
      </c>
      <c r="D1022" s="0" t="n">
        <v>3</v>
      </c>
      <c r="E1022" s="0" t="str">
        <f aca="false">INDEX(lot!$B$2:$B$1201,MATCH(B1022,lot!$A$2:$A$1201,0))</f>
        <v>SUP-D</v>
      </c>
      <c r="F1022" s="3" t="n">
        <f aca="false">YEAR(A1022)*100+MONTH(A1022)</f>
        <v>202604</v>
      </c>
    </row>
    <row r="1023" customFormat="false" ht="15" hidden="false" customHeight="false" outlineLevel="0" collapsed="false">
      <c r="A1023" s="2" t="n">
        <v>46128</v>
      </c>
      <c r="B1023" s="3" t="s">
        <v>35</v>
      </c>
      <c r="C1023" s="0" t="n">
        <v>84</v>
      </c>
      <c r="D1023" s="0" t="n">
        <v>2</v>
      </c>
      <c r="E1023" s="0" t="str">
        <f aca="false">INDEX(lot!$B$2:$B$1201,MATCH(B1023,lot!$A$2:$A$1201,0))</f>
        <v>SUP-B</v>
      </c>
      <c r="F1023" s="3" t="n">
        <f aca="false">YEAR(A1023)*100+MONTH(A1023)</f>
        <v>202604</v>
      </c>
    </row>
    <row r="1024" customFormat="false" ht="15" hidden="false" customHeight="false" outlineLevel="0" collapsed="false">
      <c r="A1024" s="2" t="n">
        <v>46128</v>
      </c>
      <c r="B1024" s="3" t="s">
        <v>101</v>
      </c>
      <c r="C1024" s="0" t="n">
        <v>107</v>
      </c>
      <c r="D1024" s="0" t="n">
        <v>3</v>
      </c>
      <c r="E1024" s="0" t="str">
        <f aca="false">INDEX(lot!$B$2:$B$1201,MATCH(B1024,lot!$A$2:$A$1201,0))</f>
        <v>SUP-C</v>
      </c>
      <c r="F1024" s="3" t="n">
        <f aca="false">YEAR(A1024)*100+MONTH(A1024)</f>
        <v>202604</v>
      </c>
    </row>
    <row r="1025" customFormat="false" ht="15" hidden="false" customHeight="false" outlineLevel="0" collapsed="false">
      <c r="A1025" s="2" t="n">
        <v>46128</v>
      </c>
      <c r="B1025" s="3" t="s">
        <v>112</v>
      </c>
      <c r="C1025" s="0" t="n">
        <v>114</v>
      </c>
      <c r="D1025" s="0" t="n">
        <v>3</v>
      </c>
      <c r="E1025" s="0" t="str">
        <f aca="false">INDEX(lot!$B$2:$B$1201,MATCH(B1025,lot!$A$2:$A$1201,0))</f>
        <v>SUP-B</v>
      </c>
      <c r="F1025" s="3" t="n">
        <f aca="false">YEAR(A1025)*100+MONTH(A1025)</f>
        <v>202604</v>
      </c>
    </row>
    <row r="1026" customFormat="false" ht="15" hidden="false" customHeight="false" outlineLevel="0" collapsed="false">
      <c r="A1026" s="2" t="n">
        <v>46128</v>
      </c>
      <c r="B1026" s="3" t="s">
        <v>152</v>
      </c>
      <c r="C1026" s="0" t="n">
        <v>210</v>
      </c>
      <c r="D1026" s="0" t="n">
        <v>8</v>
      </c>
      <c r="E1026" s="0" t="str">
        <f aca="false">INDEX(lot!$B$2:$B$1201,MATCH(B1026,lot!$A$2:$A$1201,0))</f>
        <v>SUP-C</v>
      </c>
      <c r="F1026" s="3" t="n">
        <f aca="false">YEAR(A1026)*100+MONTH(A1026)</f>
        <v>202604</v>
      </c>
    </row>
    <row r="1027" customFormat="false" ht="15" hidden="false" customHeight="false" outlineLevel="0" collapsed="false">
      <c r="A1027" s="2" t="n">
        <v>46128</v>
      </c>
      <c r="B1027" s="3" t="s">
        <v>152</v>
      </c>
      <c r="C1027" s="0" t="n">
        <v>71</v>
      </c>
      <c r="D1027" s="0" t="n">
        <v>1</v>
      </c>
      <c r="E1027" s="0" t="str">
        <f aca="false">INDEX(lot!$B$2:$B$1201,MATCH(B1027,lot!$A$2:$A$1201,0))</f>
        <v>SUP-C</v>
      </c>
      <c r="F1027" s="3" t="n">
        <f aca="false">YEAR(A1027)*100+MONTH(A1027)</f>
        <v>202604</v>
      </c>
    </row>
    <row r="1028" customFormat="false" ht="15" hidden="false" customHeight="false" outlineLevel="0" collapsed="false">
      <c r="A1028" s="2" t="n">
        <v>46128</v>
      </c>
      <c r="B1028" s="3" t="s">
        <v>184</v>
      </c>
      <c r="C1028" s="0" t="n">
        <v>234</v>
      </c>
      <c r="D1028" s="0" t="n">
        <v>2</v>
      </c>
      <c r="E1028" s="0" t="str">
        <f aca="false">INDEX(lot!$B$2:$B$1201,MATCH(B1028,lot!$A$2:$A$1201,0))</f>
        <v>SUP-D</v>
      </c>
      <c r="F1028" s="3" t="n">
        <f aca="false">YEAR(A1028)*100+MONTH(A1028)</f>
        <v>202604</v>
      </c>
    </row>
    <row r="1029" customFormat="false" ht="15" hidden="false" customHeight="false" outlineLevel="0" collapsed="false">
      <c r="A1029" s="2" t="n">
        <v>46128</v>
      </c>
      <c r="B1029" s="3" t="s">
        <v>184</v>
      </c>
      <c r="C1029" s="0" t="n">
        <v>132</v>
      </c>
      <c r="D1029" s="0" t="n">
        <v>1</v>
      </c>
      <c r="E1029" s="0" t="str">
        <f aca="false">INDEX(lot!$B$2:$B$1201,MATCH(B1029,lot!$A$2:$A$1201,0))</f>
        <v>SUP-D</v>
      </c>
      <c r="F1029" s="3" t="n">
        <f aca="false">YEAR(A1029)*100+MONTH(A1029)</f>
        <v>202604</v>
      </c>
    </row>
    <row r="1030" customFormat="false" ht="15" hidden="false" customHeight="false" outlineLevel="0" collapsed="false">
      <c r="A1030" s="2" t="n">
        <v>46128</v>
      </c>
      <c r="B1030" s="3" t="s">
        <v>233</v>
      </c>
      <c r="C1030" s="0" t="n">
        <v>107</v>
      </c>
      <c r="D1030" s="0" t="n">
        <v>0</v>
      </c>
      <c r="E1030" s="0" t="str">
        <f aca="false">INDEX(lot!$B$2:$B$1201,MATCH(B1030,lot!$A$2:$A$1201,0))</f>
        <v>SUP-D</v>
      </c>
      <c r="F1030" s="3" t="n">
        <f aca="false">YEAR(A1030)*100+MONTH(A1030)</f>
        <v>202604</v>
      </c>
    </row>
    <row r="1031" customFormat="false" ht="15" hidden="false" customHeight="false" outlineLevel="0" collapsed="false">
      <c r="A1031" s="2" t="n">
        <v>46128</v>
      </c>
      <c r="B1031" s="3" t="s">
        <v>454</v>
      </c>
      <c r="C1031" s="0" t="n">
        <v>113</v>
      </c>
      <c r="D1031" s="0" t="n">
        <v>1</v>
      </c>
      <c r="E1031" s="0" t="str">
        <f aca="false">INDEX(lot!$B$2:$B$1201,MATCH(B1031,lot!$A$2:$A$1201,0))</f>
        <v>SUP-B</v>
      </c>
      <c r="F1031" s="3" t="n">
        <f aca="false">YEAR(A1031)*100+MONTH(A1031)</f>
        <v>202604</v>
      </c>
    </row>
    <row r="1032" customFormat="false" ht="15" hidden="false" customHeight="false" outlineLevel="0" collapsed="false">
      <c r="A1032" s="2" t="n">
        <v>46128</v>
      </c>
      <c r="B1032" s="3" t="s">
        <v>478</v>
      </c>
      <c r="C1032" s="0" t="n">
        <v>197</v>
      </c>
      <c r="D1032" s="0" t="n">
        <v>0</v>
      </c>
      <c r="E1032" s="0" t="str">
        <f aca="false">INDEX(lot!$B$2:$B$1201,MATCH(B1032,lot!$A$2:$A$1201,0))</f>
        <v>SUP-D</v>
      </c>
      <c r="F1032" s="3" t="n">
        <f aca="false">YEAR(A1032)*100+MONTH(A1032)</f>
        <v>202604</v>
      </c>
    </row>
    <row r="1033" customFormat="false" ht="15" hidden="false" customHeight="false" outlineLevel="0" collapsed="false">
      <c r="A1033" s="2" t="n">
        <v>46128</v>
      </c>
      <c r="B1033" s="3" t="s">
        <v>481</v>
      </c>
      <c r="C1033" s="0" t="n">
        <v>158</v>
      </c>
      <c r="D1033" s="0" t="n">
        <v>5</v>
      </c>
      <c r="E1033" s="0" t="str">
        <f aca="false">INDEX(lot!$B$2:$B$1201,MATCH(B1033,lot!$A$2:$A$1201,0))</f>
        <v>SUP-C</v>
      </c>
      <c r="F1033" s="3" t="n">
        <f aca="false">YEAR(A1033)*100+MONTH(A1033)</f>
        <v>202604</v>
      </c>
    </row>
    <row r="1034" customFormat="false" ht="15" hidden="false" customHeight="false" outlineLevel="0" collapsed="false">
      <c r="A1034" s="2" t="n">
        <v>46128</v>
      </c>
      <c r="B1034" s="3" t="s">
        <v>500</v>
      </c>
      <c r="C1034" s="0" t="n">
        <v>96</v>
      </c>
      <c r="D1034" s="0" t="n">
        <v>1</v>
      </c>
      <c r="E1034" s="0" t="str">
        <f aca="false">INDEX(lot!$B$2:$B$1201,MATCH(B1034,lot!$A$2:$A$1201,0))</f>
        <v>SUP-E</v>
      </c>
      <c r="F1034" s="3" t="n">
        <f aca="false">YEAR(A1034)*100+MONTH(A1034)</f>
        <v>202604</v>
      </c>
    </row>
    <row r="1035" customFormat="false" ht="15" hidden="false" customHeight="false" outlineLevel="0" collapsed="false">
      <c r="A1035" s="2" t="n">
        <v>46128</v>
      </c>
      <c r="B1035" s="3" t="s">
        <v>500</v>
      </c>
      <c r="C1035" s="0" t="n">
        <v>238</v>
      </c>
      <c r="D1035" s="0" t="n">
        <v>3</v>
      </c>
      <c r="E1035" s="0" t="str">
        <f aca="false">INDEX(lot!$B$2:$B$1201,MATCH(B1035,lot!$A$2:$A$1201,0))</f>
        <v>SUP-E</v>
      </c>
      <c r="F1035" s="3" t="n">
        <f aca="false">YEAR(A1035)*100+MONTH(A1035)</f>
        <v>202604</v>
      </c>
    </row>
    <row r="1036" customFormat="false" ht="15" hidden="false" customHeight="false" outlineLevel="0" collapsed="false">
      <c r="A1036" s="2" t="n">
        <v>46128</v>
      </c>
      <c r="B1036" s="3" t="s">
        <v>547</v>
      </c>
      <c r="C1036" s="0" t="n">
        <v>209</v>
      </c>
      <c r="D1036" s="0" t="n">
        <v>9</v>
      </c>
      <c r="E1036" s="0" t="str">
        <f aca="false">INDEX(lot!$B$2:$B$1201,MATCH(B1036,lot!$A$2:$A$1201,0))</f>
        <v>SUP-E</v>
      </c>
      <c r="F1036" s="3" t="n">
        <f aca="false">YEAR(A1036)*100+MONTH(A1036)</f>
        <v>202604</v>
      </c>
    </row>
    <row r="1037" customFormat="false" ht="15" hidden="false" customHeight="false" outlineLevel="0" collapsed="false">
      <c r="A1037" s="2" t="n">
        <v>46128</v>
      </c>
      <c r="B1037" s="3" t="s">
        <v>580</v>
      </c>
      <c r="C1037" s="0" t="n">
        <v>162</v>
      </c>
      <c r="D1037" s="0" t="n">
        <v>4</v>
      </c>
      <c r="E1037" s="0" t="str">
        <f aca="false">INDEX(lot!$B$2:$B$1201,MATCH(B1037,lot!$A$2:$A$1201,0))</f>
        <v>SUP-B</v>
      </c>
      <c r="F1037" s="3" t="n">
        <f aca="false">YEAR(A1037)*100+MONTH(A1037)</f>
        <v>202604</v>
      </c>
    </row>
    <row r="1038" customFormat="false" ht="15" hidden="false" customHeight="false" outlineLevel="0" collapsed="false">
      <c r="A1038" s="2" t="n">
        <v>46128</v>
      </c>
      <c r="B1038" s="3" t="s">
        <v>580</v>
      </c>
      <c r="C1038" s="0" t="n">
        <v>225</v>
      </c>
      <c r="D1038" s="0" t="n">
        <v>3</v>
      </c>
      <c r="E1038" s="0" t="str">
        <f aca="false">INDEX(lot!$B$2:$B$1201,MATCH(B1038,lot!$A$2:$A$1201,0))</f>
        <v>SUP-B</v>
      </c>
      <c r="F1038" s="3" t="n">
        <f aca="false">YEAR(A1038)*100+MONTH(A1038)</f>
        <v>202604</v>
      </c>
    </row>
    <row r="1039" customFormat="false" ht="15" hidden="false" customHeight="false" outlineLevel="0" collapsed="false">
      <c r="A1039" s="2" t="n">
        <v>46128</v>
      </c>
      <c r="B1039" s="3" t="s">
        <v>621</v>
      </c>
      <c r="C1039" s="0" t="n">
        <v>149</v>
      </c>
      <c r="D1039" s="0" t="n">
        <v>1</v>
      </c>
      <c r="E1039" s="0" t="str">
        <f aca="false">INDEX(lot!$B$2:$B$1201,MATCH(B1039,lot!$A$2:$A$1201,0))</f>
        <v>SUP-A</v>
      </c>
      <c r="F1039" s="3" t="n">
        <f aca="false">YEAR(A1039)*100+MONTH(A1039)</f>
        <v>202604</v>
      </c>
    </row>
    <row r="1040" customFormat="false" ht="15" hidden="false" customHeight="false" outlineLevel="0" collapsed="false">
      <c r="A1040" s="2" t="n">
        <v>46128</v>
      </c>
      <c r="B1040" s="3" t="s">
        <v>621</v>
      </c>
      <c r="C1040" s="0" t="n">
        <v>239</v>
      </c>
      <c r="D1040" s="0" t="n">
        <v>2</v>
      </c>
      <c r="E1040" s="0" t="str">
        <f aca="false">INDEX(lot!$B$2:$B$1201,MATCH(B1040,lot!$A$2:$A$1201,0))</f>
        <v>SUP-A</v>
      </c>
      <c r="F1040" s="3" t="n">
        <f aca="false">YEAR(A1040)*100+MONTH(A1040)</f>
        <v>202604</v>
      </c>
    </row>
    <row r="1041" customFormat="false" ht="15" hidden="false" customHeight="false" outlineLevel="0" collapsed="false">
      <c r="A1041" s="2" t="n">
        <v>46128</v>
      </c>
      <c r="B1041" s="3" t="s">
        <v>678</v>
      </c>
      <c r="C1041" s="0" t="n">
        <v>155</v>
      </c>
      <c r="D1041" s="0" t="n">
        <v>2</v>
      </c>
      <c r="E1041" s="0" t="str">
        <f aca="false">INDEX(lot!$B$2:$B$1201,MATCH(B1041,lot!$A$2:$A$1201,0))</f>
        <v>SUP-C</v>
      </c>
      <c r="F1041" s="3" t="n">
        <f aca="false">YEAR(A1041)*100+MONTH(A1041)</f>
        <v>202604</v>
      </c>
    </row>
    <row r="1042" customFormat="false" ht="15" hidden="false" customHeight="false" outlineLevel="0" collapsed="false">
      <c r="A1042" s="2" t="n">
        <v>46128</v>
      </c>
      <c r="B1042" s="3" t="s">
        <v>678</v>
      </c>
      <c r="C1042" s="0" t="n">
        <v>140</v>
      </c>
      <c r="D1042" s="0" t="n">
        <v>5</v>
      </c>
      <c r="E1042" s="0" t="str">
        <f aca="false">INDEX(lot!$B$2:$B$1201,MATCH(B1042,lot!$A$2:$A$1201,0))</f>
        <v>SUP-C</v>
      </c>
      <c r="F1042" s="3" t="n">
        <f aca="false">YEAR(A1042)*100+MONTH(A1042)</f>
        <v>202604</v>
      </c>
    </row>
    <row r="1043" customFormat="false" ht="15" hidden="false" customHeight="false" outlineLevel="0" collapsed="false">
      <c r="A1043" s="2" t="n">
        <v>46128</v>
      </c>
      <c r="B1043" s="3" t="s">
        <v>787</v>
      </c>
      <c r="C1043" s="0" t="n">
        <v>132</v>
      </c>
      <c r="D1043" s="0" t="n">
        <v>2</v>
      </c>
      <c r="E1043" s="0" t="str">
        <f aca="false">INDEX(lot!$B$2:$B$1201,MATCH(B1043,lot!$A$2:$A$1201,0))</f>
        <v>SUP-D</v>
      </c>
      <c r="F1043" s="3" t="n">
        <f aca="false">YEAR(A1043)*100+MONTH(A1043)</f>
        <v>202604</v>
      </c>
    </row>
    <row r="1044" customFormat="false" ht="15" hidden="false" customHeight="false" outlineLevel="0" collapsed="false">
      <c r="A1044" s="2" t="n">
        <v>46128</v>
      </c>
      <c r="B1044" s="3" t="s">
        <v>831</v>
      </c>
      <c r="C1044" s="0" t="n">
        <v>124</v>
      </c>
      <c r="D1044" s="0" t="n">
        <v>8</v>
      </c>
      <c r="E1044" s="0" t="str">
        <f aca="false">INDEX(lot!$B$2:$B$1201,MATCH(B1044,lot!$A$2:$A$1201,0))</f>
        <v>SUP-E</v>
      </c>
      <c r="F1044" s="3" t="n">
        <f aca="false">YEAR(A1044)*100+MONTH(A1044)</f>
        <v>202604</v>
      </c>
    </row>
    <row r="1045" customFormat="false" ht="15" hidden="false" customHeight="false" outlineLevel="0" collapsed="false">
      <c r="A1045" s="2" t="n">
        <v>46128</v>
      </c>
      <c r="B1045" s="3" t="s">
        <v>839</v>
      </c>
      <c r="C1045" s="0" t="n">
        <v>141</v>
      </c>
      <c r="D1045" s="0" t="n">
        <v>1</v>
      </c>
      <c r="E1045" s="0" t="str">
        <f aca="false">INDEX(lot!$B$2:$B$1201,MATCH(B1045,lot!$A$2:$A$1201,0))</f>
        <v>SUP-E</v>
      </c>
      <c r="F1045" s="3" t="n">
        <f aca="false">YEAR(A1045)*100+MONTH(A1045)</f>
        <v>202604</v>
      </c>
    </row>
    <row r="1046" customFormat="false" ht="15" hidden="false" customHeight="false" outlineLevel="0" collapsed="false">
      <c r="A1046" s="2" t="n">
        <v>46128</v>
      </c>
      <c r="B1046" s="3" t="s">
        <v>839</v>
      </c>
      <c r="C1046" s="0" t="n">
        <v>187</v>
      </c>
      <c r="D1046" s="0" t="n">
        <v>3</v>
      </c>
      <c r="E1046" s="0" t="str">
        <f aca="false">INDEX(lot!$B$2:$B$1201,MATCH(B1046,lot!$A$2:$A$1201,0))</f>
        <v>SUP-E</v>
      </c>
      <c r="F1046" s="3" t="n">
        <f aca="false">YEAR(A1046)*100+MONTH(A1046)</f>
        <v>202604</v>
      </c>
    </row>
    <row r="1047" customFormat="false" ht="15" hidden="false" customHeight="false" outlineLevel="0" collapsed="false">
      <c r="A1047" s="2" t="n">
        <v>46128</v>
      </c>
      <c r="B1047" s="3" t="s">
        <v>847</v>
      </c>
      <c r="C1047" s="0" t="n">
        <v>70</v>
      </c>
      <c r="D1047" s="0" t="n">
        <v>1</v>
      </c>
      <c r="E1047" s="0" t="str">
        <f aca="false">INDEX(lot!$B$2:$B$1201,MATCH(B1047,lot!$A$2:$A$1201,0))</f>
        <v>SUP-E</v>
      </c>
      <c r="F1047" s="3" t="n">
        <f aca="false">YEAR(A1047)*100+MONTH(A1047)</f>
        <v>202604</v>
      </c>
    </row>
    <row r="1048" customFormat="false" ht="15" hidden="false" customHeight="false" outlineLevel="0" collapsed="false">
      <c r="A1048" s="2" t="n">
        <v>46128</v>
      </c>
      <c r="B1048" s="3" t="s">
        <v>911</v>
      </c>
      <c r="C1048" s="0" t="n">
        <v>73</v>
      </c>
      <c r="D1048" s="0" t="n">
        <v>0</v>
      </c>
      <c r="E1048" s="0" t="str">
        <f aca="false">INDEX(lot!$B$2:$B$1201,MATCH(B1048,lot!$A$2:$A$1201,0))</f>
        <v>SUP-E</v>
      </c>
      <c r="F1048" s="3" t="n">
        <f aca="false">YEAR(A1048)*100+MONTH(A1048)</f>
        <v>202604</v>
      </c>
    </row>
    <row r="1049" customFormat="false" ht="15" hidden="false" customHeight="false" outlineLevel="0" collapsed="false">
      <c r="A1049" s="2" t="n">
        <v>46128</v>
      </c>
      <c r="B1049" s="3" t="s">
        <v>997</v>
      </c>
      <c r="C1049" s="0" t="n">
        <v>76</v>
      </c>
      <c r="D1049" s="0" t="n">
        <v>0</v>
      </c>
      <c r="E1049" s="0" t="str">
        <f aca="false">INDEX(lot!$B$2:$B$1201,MATCH(B1049,lot!$A$2:$A$1201,0))</f>
        <v>SUP-E</v>
      </c>
      <c r="F1049" s="3" t="n">
        <f aca="false">YEAR(A1049)*100+MONTH(A1049)</f>
        <v>202604</v>
      </c>
    </row>
    <row r="1050" customFormat="false" ht="15" hidden="false" customHeight="false" outlineLevel="0" collapsed="false">
      <c r="A1050" s="2" t="n">
        <v>46128</v>
      </c>
      <c r="B1050" s="3" t="s">
        <v>1031</v>
      </c>
      <c r="C1050" s="0" t="n">
        <v>246</v>
      </c>
      <c r="D1050" s="0" t="n">
        <v>2</v>
      </c>
      <c r="E1050" s="0" t="str">
        <f aca="false">INDEX(lot!$B$2:$B$1201,MATCH(B1050,lot!$A$2:$A$1201,0))</f>
        <v>SUP-D</v>
      </c>
      <c r="F1050" s="3" t="n">
        <f aca="false">YEAR(A1050)*100+MONTH(A1050)</f>
        <v>202604</v>
      </c>
    </row>
    <row r="1051" customFormat="false" ht="15" hidden="false" customHeight="false" outlineLevel="0" collapsed="false">
      <c r="A1051" s="2" t="n">
        <v>46128</v>
      </c>
      <c r="B1051" s="3" t="s">
        <v>1072</v>
      </c>
      <c r="C1051" s="0" t="n">
        <v>117</v>
      </c>
      <c r="D1051" s="0" t="n">
        <v>1</v>
      </c>
      <c r="E1051" s="0" t="str">
        <f aca="false">INDEX(lot!$B$2:$B$1201,MATCH(B1051,lot!$A$2:$A$1201,0))</f>
        <v>SUP-C</v>
      </c>
      <c r="F1051" s="3" t="n">
        <f aca="false">YEAR(A1051)*100+MONTH(A1051)</f>
        <v>202604</v>
      </c>
    </row>
    <row r="1052" customFormat="false" ht="15" hidden="false" customHeight="false" outlineLevel="0" collapsed="false">
      <c r="A1052" s="2" t="n">
        <v>46128</v>
      </c>
      <c r="B1052" s="3" t="s">
        <v>1117</v>
      </c>
      <c r="C1052" s="0" t="n">
        <v>162</v>
      </c>
      <c r="D1052" s="0" t="n">
        <v>1</v>
      </c>
      <c r="E1052" s="0" t="str">
        <f aca="false">INDEX(lot!$B$2:$B$1201,MATCH(B1052,lot!$A$2:$A$1201,0))</f>
        <v>SUP-A</v>
      </c>
      <c r="F1052" s="3" t="n">
        <f aca="false">YEAR(A1052)*100+MONTH(A1052)</f>
        <v>202604</v>
      </c>
    </row>
    <row r="1053" customFormat="false" ht="15" hidden="false" customHeight="false" outlineLevel="0" collapsed="false">
      <c r="A1053" s="2" t="n">
        <v>46128</v>
      </c>
      <c r="B1053" s="3" t="s">
        <v>1117</v>
      </c>
      <c r="C1053" s="0" t="n">
        <v>161</v>
      </c>
      <c r="D1053" s="0" t="n">
        <v>2</v>
      </c>
      <c r="E1053" s="0" t="str">
        <f aca="false">INDEX(lot!$B$2:$B$1201,MATCH(B1053,lot!$A$2:$A$1201,0))</f>
        <v>SUP-A</v>
      </c>
      <c r="F1053" s="3" t="n">
        <f aca="false">YEAR(A1053)*100+MONTH(A1053)</f>
        <v>202604</v>
      </c>
    </row>
    <row r="1054" customFormat="false" ht="15" hidden="false" customHeight="false" outlineLevel="0" collapsed="false">
      <c r="A1054" s="2" t="n">
        <v>46128</v>
      </c>
      <c r="B1054" s="3" t="s">
        <v>1150</v>
      </c>
      <c r="C1054" s="0" t="n">
        <v>127</v>
      </c>
      <c r="D1054" s="0" t="n">
        <v>1</v>
      </c>
      <c r="E1054" s="0" t="str">
        <f aca="false">INDEX(lot!$B$2:$B$1201,MATCH(B1054,lot!$A$2:$A$1201,0))</f>
        <v>SUP-E</v>
      </c>
      <c r="F1054" s="3" t="n">
        <f aca="false">YEAR(A1054)*100+MONTH(A1054)</f>
        <v>202604</v>
      </c>
    </row>
    <row r="1055" customFormat="false" ht="15" hidden="false" customHeight="false" outlineLevel="0" collapsed="false">
      <c r="A1055" s="2" t="n">
        <v>46128</v>
      </c>
      <c r="B1055" s="3" t="s">
        <v>1150</v>
      </c>
      <c r="C1055" s="0" t="n">
        <v>231</v>
      </c>
      <c r="D1055" s="0" t="n">
        <v>1</v>
      </c>
      <c r="E1055" s="0" t="str">
        <f aca="false">INDEX(lot!$B$2:$B$1201,MATCH(B1055,lot!$A$2:$A$1201,0))</f>
        <v>SUP-E</v>
      </c>
      <c r="F1055" s="3" t="n">
        <f aca="false">YEAR(A1055)*100+MONTH(A1055)</f>
        <v>202604</v>
      </c>
    </row>
    <row r="1056" customFormat="false" ht="15" hidden="false" customHeight="false" outlineLevel="0" collapsed="false">
      <c r="A1056" s="2" t="n">
        <v>46128</v>
      </c>
      <c r="B1056" s="3" t="s">
        <v>1202</v>
      </c>
      <c r="C1056" s="0" t="n">
        <v>184</v>
      </c>
      <c r="D1056" s="0" t="n">
        <v>3</v>
      </c>
      <c r="E1056" s="0" t="str">
        <f aca="false">INDEX(lot!$B$2:$B$1201,MATCH(B1056,lot!$A$2:$A$1201,0))</f>
        <v>SUP-D</v>
      </c>
      <c r="F1056" s="3" t="n">
        <f aca="false">YEAR(A1056)*100+MONTH(A1056)</f>
        <v>202604</v>
      </c>
    </row>
    <row r="1057" customFormat="false" ht="15" hidden="false" customHeight="false" outlineLevel="0" collapsed="false">
      <c r="A1057" s="2" t="n">
        <v>46128</v>
      </c>
      <c r="B1057" s="3" t="s">
        <v>1202</v>
      </c>
      <c r="C1057" s="0" t="n">
        <v>129</v>
      </c>
      <c r="D1057" s="0" t="n">
        <v>0</v>
      </c>
      <c r="E1057" s="0" t="str">
        <f aca="false">INDEX(lot!$B$2:$B$1201,MATCH(B1057,lot!$A$2:$A$1201,0))</f>
        <v>SUP-D</v>
      </c>
      <c r="F1057" s="3" t="n">
        <f aca="false">YEAR(A1057)*100+MONTH(A1057)</f>
        <v>202604</v>
      </c>
    </row>
    <row r="1058" customFormat="false" ht="15" hidden="false" customHeight="false" outlineLevel="0" collapsed="false">
      <c r="A1058" s="2" t="n">
        <v>46129</v>
      </c>
      <c r="B1058" s="3" t="s">
        <v>35</v>
      </c>
      <c r="C1058" s="0" t="n">
        <v>203</v>
      </c>
      <c r="D1058" s="0" t="n">
        <v>1</v>
      </c>
      <c r="E1058" s="0" t="str">
        <f aca="false">INDEX(lot!$B$2:$B$1201,MATCH(B1058,lot!$A$2:$A$1201,0))</f>
        <v>SUP-B</v>
      </c>
      <c r="F1058" s="3" t="n">
        <f aca="false">YEAR(A1058)*100+MONTH(A1058)</f>
        <v>202604</v>
      </c>
    </row>
    <row r="1059" customFormat="false" ht="15" hidden="false" customHeight="false" outlineLevel="0" collapsed="false">
      <c r="A1059" s="2" t="n">
        <v>46129</v>
      </c>
      <c r="B1059" s="3" t="s">
        <v>101</v>
      </c>
      <c r="C1059" s="0" t="n">
        <v>207</v>
      </c>
      <c r="D1059" s="0" t="n">
        <v>6</v>
      </c>
      <c r="E1059" s="0" t="str">
        <f aca="false">INDEX(lot!$B$2:$B$1201,MATCH(B1059,lot!$A$2:$A$1201,0))</f>
        <v>SUP-C</v>
      </c>
      <c r="F1059" s="3" t="n">
        <f aca="false">YEAR(A1059)*100+MONTH(A1059)</f>
        <v>202604</v>
      </c>
    </row>
    <row r="1060" customFormat="false" ht="15" hidden="false" customHeight="false" outlineLevel="0" collapsed="false">
      <c r="A1060" s="2" t="n">
        <v>46129</v>
      </c>
      <c r="B1060" s="3" t="s">
        <v>101</v>
      </c>
      <c r="C1060" s="0" t="n">
        <v>231</v>
      </c>
      <c r="D1060" s="0" t="n">
        <v>10</v>
      </c>
      <c r="E1060" s="0" t="str">
        <f aca="false">INDEX(lot!$B$2:$B$1201,MATCH(B1060,lot!$A$2:$A$1201,0))</f>
        <v>SUP-C</v>
      </c>
      <c r="F1060" s="3" t="n">
        <f aca="false">YEAR(A1060)*100+MONTH(A1060)</f>
        <v>202604</v>
      </c>
    </row>
    <row r="1061" customFormat="false" ht="15" hidden="false" customHeight="false" outlineLevel="0" collapsed="false">
      <c r="A1061" s="2" t="n">
        <v>46129</v>
      </c>
      <c r="B1061" s="3" t="s">
        <v>152</v>
      </c>
      <c r="C1061" s="0" t="n">
        <v>205</v>
      </c>
      <c r="D1061" s="0" t="n">
        <v>3</v>
      </c>
      <c r="E1061" s="0" t="str">
        <f aca="false">INDEX(lot!$B$2:$B$1201,MATCH(B1061,lot!$A$2:$A$1201,0))</f>
        <v>SUP-C</v>
      </c>
      <c r="F1061" s="3" t="n">
        <f aca="false">YEAR(A1061)*100+MONTH(A1061)</f>
        <v>202604</v>
      </c>
    </row>
    <row r="1062" customFormat="false" ht="15" hidden="false" customHeight="false" outlineLevel="0" collapsed="false">
      <c r="A1062" s="2" t="n">
        <v>46129</v>
      </c>
      <c r="B1062" s="3" t="s">
        <v>184</v>
      </c>
      <c r="C1062" s="0" t="n">
        <v>234</v>
      </c>
      <c r="D1062" s="0" t="n">
        <v>1</v>
      </c>
      <c r="E1062" s="0" t="str">
        <f aca="false">INDEX(lot!$B$2:$B$1201,MATCH(B1062,lot!$A$2:$A$1201,0))</f>
        <v>SUP-D</v>
      </c>
      <c r="F1062" s="3" t="n">
        <f aca="false">YEAR(A1062)*100+MONTH(A1062)</f>
        <v>202604</v>
      </c>
    </row>
    <row r="1063" customFormat="false" ht="15" hidden="false" customHeight="false" outlineLevel="0" collapsed="false">
      <c r="A1063" s="2" t="n">
        <v>46129</v>
      </c>
      <c r="B1063" s="3" t="s">
        <v>233</v>
      </c>
      <c r="C1063" s="0" t="n">
        <v>231</v>
      </c>
      <c r="D1063" s="0" t="n">
        <v>3</v>
      </c>
      <c r="E1063" s="0" t="str">
        <f aca="false">INDEX(lot!$B$2:$B$1201,MATCH(B1063,lot!$A$2:$A$1201,0))</f>
        <v>SUP-D</v>
      </c>
      <c r="F1063" s="3" t="n">
        <f aca="false">YEAR(A1063)*100+MONTH(A1063)</f>
        <v>202604</v>
      </c>
    </row>
    <row r="1064" customFormat="false" ht="15" hidden="false" customHeight="false" outlineLevel="0" collapsed="false">
      <c r="A1064" s="2" t="n">
        <v>46129</v>
      </c>
      <c r="B1064" s="3" t="s">
        <v>233</v>
      </c>
      <c r="C1064" s="0" t="n">
        <v>127</v>
      </c>
      <c r="D1064" s="0" t="n">
        <v>3</v>
      </c>
      <c r="E1064" s="0" t="str">
        <f aca="false">INDEX(lot!$B$2:$B$1201,MATCH(B1064,lot!$A$2:$A$1201,0))</f>
        <v>SUP-D</v>
      </c>
      <c r="F1064" s="3" t="n">
        <f aca="false">YEAR(A1064)*100+MONTH(A1064)</f>
        <v>202604</v>
      </c>
    </row>
    <row r="1065" customFormat="false" ht="15" hidden="false" customHeight="false" outlineLevel="0" collapsed="false">
      <c r="A1065" s="2" t="n">
        <v>46129</v>
      </c>
      <c r="B1065" s="3" t="s">
        <v>341</v>
      </c>
      <c r="C1065" s="0" t="n">
        <v>97</v>
      </c>
      <c r="D1065" s="0" t="n">
        <v>1</v>
      </c>
      <c r="E1065" s="0" t="str">
        <f aca="false">INDEX(lot!$B$2:$B$1201,MATCH(B1065,lot!$A$2:$A$1201,0))</f>
        <v>SUP-E</v>
      </c>
      <c r="F1065" s="3" t="n">
        <f aca="false">YEAR(A1065)*100+MONTH(A1065)</f>
        <v>202604</v>
      </c>
    </row>
    <row r="1066" customFormat="false" ht="15" hidden="false" customHeight="false" outlineLevel="0" collapsed="false">
      <c r="A1066" s="2" t="n">
        <v>46129</v>
      </c>
      <c r="B1066" s="3" t="s">
        <v>421</v>
      </c>
      <c r="C1066" s="0" t="n">
        <v>228</v>
      </c>
      <c r="D1066" s="0" t="n">
        <v>15</v>
      </c>
      <c r="E1066" s="0" t="str">
        <f aca="false">INDEX(lot!$B$2:$B$1201,MATCH(B1066,lot!$A$2:$A$1201,0))</f>
        <v>SUP-D</v>
      </c>
      <c r="F1066" s="3" t="n">
        <f aca="false">YEAR(A1066)*100+MONTH(A1066)</f>
        <v>202604</v>
      </c>
    </row>
    <row r="1067" customFormat="false" ht="15" hidden="false" customHeight="false" outlineLevel="0" collapsed="false">
      <c r="A1067" s="2" t="n">
        <v>46129</v>
      </c>
      <c r="B1067" s="3" t="s">
        <v>421</v>
      </c>
      <c r="C1067" s="0" t="n">
        <v>210</v>
      </c>
      <c r="D1067" s="0" t="n">
        <v>6</v>
      </c>
      <c r="E1067" s="0" t="str">
        <f aca="false">INDEX(lot!$B$2:$B$1201,MATCH(B1067,lot!$A$2:$A$1201,0))</f>
        <v>SUP-D</v>
      </c>
      <c r="F1067" s="3" t="n">
        <f aca="false">YEAR(A1067)*100+MONTH(A1067)</f>
        <v>202604</v>
      </c>
    </row>
    <row r="1068" customFormat="false" ht="15" hidden="false" customHeight="false" outlineLevel="0" collapsed="false">
      <c r="A1068" s="2" t="n">
        <v>46129</v>
      </c>
      <c r="B1068" s="3" t="s">
        <v>621</v>
      </c>
      <c r="C1068" s="0" t="n">
        <v>114</v>
      </c>
      <c r="D1068" s="0" t="n">
        <v>2</v>
      </c>
      <c r="E1068" s="0" t="str">
        <f aca="false">INDEX(lot!$B$2:$B$1201,MATCH(B1068,lot!$A$2:$A$1201,0))</f>
        <v>SUP-A</v>
      </c>
      <c r="F1068" s="3" t="n">
        <f aca="false">YEAR(A1068)*100+MONTH(A1068)</f>
        <v>202604</v>
      </c>
    </row>
    <row r="1069" customFormat="false" ht="15" hidden="false" customHeight="false" outlineLevel="0" collapsed="false">
      <c r="A1069" s="2" t="n">
        <v>46129</v>
      </c>
      <c r="B1069" s="3" t="s">
        <v>641</v>
      </c>
      <c r="C1069" s="0" t="n">
        <v>103</v>
      </c>
      <c r="D1069" s="0" t="n">
        <v>0</v>
      </c>
      <c r="E1069" s="0" t="str">
        <f aca="false">INDEX(lot!$B$2:$B$1201,MATCH(B1069,lot!$A$2:$A$1201,0))</f>
        <v>SUP-B</v>
      </c>
      <c r="F1069" s="3" t="n">
        <f aca="false">YEAR(A1069)*100+MONTH(A1069)</f>
        <v>202604</v>
      </c>
    </row>
    <row r="1070" customFormat="false" ht="15" hidden="false" customHeight="false" outlineLevel="0" collapsed="false">
      <c r="A1070" s="2" t="n">
        <v>46129</v>
      </c>
      <c r="B1070" s="3" t="s">
        <v>754</v>
      </c>
      <c r="C1070" s="0" t="n">
        <v>191</v>
      </c>
      <c r="D1070" s="0" t="n">
        <v>0</v>
      </c>
      <c r="E1070" s="0" t="str">
        <f aca="false">INDEX(lot!$B$2:$B$1201,MATCH(B1070,lot!$A$2:$A$1201,0))</f>
        <v>SUP-E</v>
      </c>
      <c r="F1070" s="3" t="n">
        <f aca="false">YEAR(A1070)*100+MONTH(A1070)</f>
        <v>202604</v>
      </c>
    </row>
    <row r="1071" customFormat="false" ht="15" hidden="false" customHeight="false" outlineLevel="0" collapsed="false">
      <c r="A1071" s="2" t="n">
        <v>46129</v>
      </c>
      <c r="B1071" s="3" t="s">
        <v>787</v>
      </c>
      <c r="C1071" s="0" t="n">
        <v>81</v>
      </c>
      <c r="D1071" s="0" t="n">
        <v>1</v>
      </c>
      <c r="E1071" s="0" t="str">
        <f aca="false">INDEX(lot!$B$2:$B$1201,MATCH(B1071,lot!$A$2:$A$1201,0))</f>
        <v>SUP-D</v>
      </c>
      <c r="F1071" s="3" t="n">
        <f aca="false">YEAR(A1071)*100+MONTH(A1071)</f>
        <v>202604</v>
      </c>
    </row>
    <row r="1072" customFormat="false" ht="15" hidden="false" customHeight="false" outlineLevel="0" collapsed="false">
      <c r="A1072" s="2" t="n">
        <v>46129</v>
      </c>
      <c r="B1072" s="3" t="s">
        <v>814</v>
      </c>
      <c r="C1072" s="0" t="n">
        <v>145</v>
      </c>
      <c r="D1072" s="0" t="n">
        <v>1</v>
      </c>
      <c r="E1072" s="0" t="str">
        <f aca="false">INDEX(lot!$B$2:$B$1201,MATCH(B1072,lot!$A$2:$A$1201,0))</f>
        <v>SUP-E</v>
      </c>
      <c r="F1072" s="3" t="n">
        <f aca="false">YEAR(A1072)*100+MONTH(A1072)</f>
        <v>202604</v>
      </c>
    </row>
    <row r="1073" customFormat="false" ht="15" hidden="false" customHeight="false" outlineLevel="0" collapsed="false">
      <c r="A1073" s="2" t="n">
        <v>46129</v>
      </c>
      <c r="B1073" s="3" t="s">
        <v>847</v>
      </c>
      <c r="C1073" s="0" t="n">
        <v>104</v>
      </c>
      <c r="D1073" s="0" t="n">
        <v>1</v>
      </c>
      <c r="E1073" s="0" t="str">
        <f aca="false">INDEX(lot!$B$2:$B$1201,MATCH(B1073,lot!$A$2:$A$1201,0))</f>
        <v>SUP-E</v>
      </c>
      <c r="F1073" s="3" t="n">
        <f aca="false">YEAR(A1073)*100+MONTH(A1073)</f>
        <v>202604</v>
      </c>
    </row>
    <row r="1074" customFormat="false" ht="15" hidden="false" customHeight="false" outlineLevel="0" collapsed="false">
      <c r="A1074" s="2" t="n">
        <v>46129</v>
      </c>
      <c r="B1074" s="3" t="s">
        <v>847</v>
      </c>
      <c r="C1074" s="0" t="n">
        <v>247</v>
      </c>
      <c r="D1074" s="0" t="n">
        <v>1</v>
      </c>
      <c r="E1074" s="0" t="str">
        <f aca="false">INDEX(lot!$B$2:$B$1201,MATCH(B1074,lot!$A$2:$A$1201,0))</f>
        <v>SUP-E</v>
      </c>
      <c r="F1074" s="3" t="n">
        <f aca="false">YEAR(A1074)*100+MONTH(A1074)</f>
        <v>202604</v>
      </c>
    </row>
    <row r="1075" customFormat="false" ht="15" hidden="false" customHeight="false" outlineLevel="0" collapsed="false">
      <c r="A1075" s="2" t="n">
        <v>46129</v>
      </c>
      <c r="B1075" s="3" t="s">
        <v>911</v>
      </c>
      <c r="C1075" s="0" t="n">
        <v>248</v>
      </c>
      <c r="D1075" s="0" t="n">
        <v>3</v>
      </c>
      <c r="E1075" s="0" t="str">
        <f aca="false">INDEX(lot!$B$2:$B$1201,MATCH(B1075,lot!$A$2:$A$1201,0))</f>
        <v>SUP-E</v>
      </c>
      <c r="F1075" s="3" t="n">
        <f aca="false">YEAR(A1075)*100+MONTH(A1075)</f>
        <v>202604</v>
      </c>
    </row>
    <row r="1076" customFormat="false" ht="15" hidden="false" customHeight="false" outlineLevel="0" collapsed="false">
      <c r="A1076" s="2" t="n">
        <v>46129</v>
      </c>
      <c r="B1076" s="3" t="s">
        <v>977</v>
      </c>
      <c r="C1076" s="0" t="n">
        <v>202</v>
      </c>
      <c r="D1076" s="0" t="n">
        <v>2</v>
      </c>
      <c r="E1076" s="0" t="str">
        <f aca="false">INDEX(lot!$B$2:$B$1201,MATCH(B1076,lot!$A$2:$A$1201,0))</f>
        <v>SUP-D</v>
      </c>
      <c r="F1076" s="3" t="n">
        <f aca="false">YEAR(A1076)*100+MONTH(A1076)</f>
        <v>202604</v>
      </c>
    </row>
    <row r="1077" customFormat="false" ht="15" hidden="false" customHeight="false" outlineLevel="0" collapsed="false">
      <c r="A1077" s="2" t="n">
        <v>46129</v>
      </c>
      <c r="B1077" s="3" t="s">
        <v>990</v>
      </c>
      <c r="C1077" s="0" t="n">
        <v>102</v>
      </c>
      <c r="D1077" s="0" t="n">
        <v>0</v>
      </c>
      <c r="E1077" s="0" t="str">
        <f aca="false">INDEX(lot!$B$2:$B$1201,MATCH(B1077,lot!$A$2:$A$1201,0))</f>
        <v>SUP-A</v>
      </c>
      <c r="F1077" s="3" t="n">
        <f aca="false">YEAR(A1077)*100+MONTH(A1077)</f>
        <v>202604</v>
      </c>
    </row>
    <row r="1078" customFormat="false" ht="15" hidden="false" customHeight="false" outlineLevel="0" collapsed="false">
      <c r="A1078" s="2" t="n">
        <v>46129</v>
      </c>
      <c r="B1078" s="3" t="s">
        <v>1031</v>
      </c>
      <c r="C1078" s="0" t="n">
        <v>134</v>
      </c>
      <c r="D1078" s="0" t="n">
        <v>1</v>
      </c>
      <c r="E1078" s="0" t="str">
        <f aca="false">INDEX(lot!$B$2:$B$1201,MATCH(B1078,lot!$A$2:$A$1201,0))</f>
        <v>SUP-D</v>
      </c>
      <c r="F1078" s="3" t="n">
        <f aca="false">YEAR(A1078)*100+MONTH(A1078)</f>
        <v>202604</v>
      </c>
    </row>
    <row r="1079" customFormat="false" ht="15" hidden="false" customHeight="false" outlineLevel="0" collapsed="false">
      <c r="A1079" s="2" t="n">
        <v>46129</v>
      </c>
      <c r="B1079" s="3" t="s">
        <v>1072</v>
      </c>
      <c r="C1079" s="0" t="n">
        <v>186</v>
      </c>
      <c r="D1079" s="0" t="n">
        <v>2</v>
      </c>
      <c r="E1079" s="0" t="str">
        <f aca="false">INDEX(lot!$B$2:$B$1201,MATCH(B1079,lot!$A$2:$A$1201,0))</f>
        <v>SUP-C</v>
      </c>
      <c r="F1079" s="3" t="n">
        <f aca="false">YEAR(A1079)*100+MONTH(A1079)</f>
        <v>202604</v>
      </c>
    </row>
    <row r="1080" customFormat="false" ht="15" hidden="false" customHeight="false" outlineLevel="0" collapsed="false">
      <c r="A1080" s="2" t="n">
        <v>46129</v>
      </c>
      <c r="B1080" s="3" t="s">
        <v>1072</v>
      </c>
      <c r="C1080" s="0" t="n">
        <v>193</v>
      </c>
      <c r="D1080" s="0" t="n">
        <v>3</v>
      </c>
      <c r="E1080" s="0" t="str">
        <f aca="false">INDEX(lot!$B$2:$B$1201,MATCH(B1080,lot!$A$2:$A$1201,0))</f>
        <v>SUP-C</v>
      </c>
      <c r="F1080" s="3" t="n">
        <f aca="false">YEAR(A1080)*100+MONTH(A1080)</f>
        <v>202604</v>
      </c>
    </row>
    <row r="1081" customFormat="false" ht="15" hidden="false" customHeight="false" outlineLevel="0" collapsed="false">
      <c r="A1081" s="2" t="n">
        <v>46129</v>
      </c>
      <c r="B1081" s="3" t="s">
        <v>1164</v>
      </c>
      <c r="C1081" s="0" t="n">
        <v>65</v>
      </c>
      <c r="D1081" s="0" t="n">
        <v>0</v>
      </c>
      <c r="E1081" s="0" t="str">
        <f aca="false">INDEX(lot!$B$2:$B$1201,MATCH(B1081,lot!$A$2:$A$1201,0))</f>
        <v>SUP-D</v>
      </c>
      <c r="F1081" s="3" t="n">
        <f aca="false">YEAR(A1081)*100+MONTH(A1081)</f>
        <v>202604</v>
      </c>
    </row>
    <row r="1082" customFormat="false" ht="15" hidden="false" customHeight="false" outlineLevel="0" collapsed="false">
      <c r="A1082" s="2" t="n">
        <v>46129</v>
      </c>
      <c r="B1082" s="3" t="s">
        <v>1164</v>
      </c>
      <c r="C1082" s="0" t="n">
        <v>223</v>
      </c>
      <c r="D1082" s="0" t="n">
        <v>2</v>
      </c>
      <c r="E1082" s="0" t="str">
        <f aca="false">INDEX(lot!$B$2:$B$1201,MATCH(B1082,lot!$A$2:$A$1201,0))</f>
        <v>SUP-D</v>
      </c>
      <c r="F1082" s="3" t="n">
        <f aca="false">YEAR(A1082)*100+MONTH(A1082)</f>
        <v>202604</v>
      </c>
    </row>
    <row r="1083" customFormat="false" ht="15" hidden="false" customHeight="false" outlineLevel="0" collapsed="false">
      <c r="A1083" s="2" t="n">
        <v>46129</v>
      </c>
      <c r="B1083" s="3" t="s">
        <v>1171</v>
      </c>
      <c r="C1083" s="0" t="n">
        <v>121</v>
      </c>
      <c r="D1083" s="0" t="n">
        <v>5</v>
      </c>
      <c r="E1083" s="0" t="str">
        <f aca="false">INDEX(lot!$B$2:$B$1201,MATCH(B1083,lot!$A$2:$A$1201,0))</f>
        <v>SUP-C</v>
      </c>
      <c r="F1083" s="3" t="n">
        <f aca="false">YEAR(A1083)*100+MONTH(A1083)</f>
        <v>202604</v>
      </c>
    </row>
    <row r="1084" customFormat="false" ht="15" hidden="false" customHeight="false" outlineLevel="0" collapsed="false">
      <c r="A1084" s="2" t="n">
        <v>46129</v>
      </c>
      <c r="B1084" s="3" t="s">
        <v>1171</v>
      </c>
      <c r="C1084" s="0" t="n">
        <v>123</v>
      </c>
      <c r="D1084" s="0" t="n">
        <v>4</v>
      </c>
      <c r="E1084" s="0" t="str">
        <f aca="false">INDEX(lot!$B$2:$B$1201,MATCH(B1084,lot!$A$2:$A$1201,0))</f>
        <v>SUP-C</v>
      </c>
      <c r="F1084" s="3" t="n">
        <f aca="false">YEAR(A1084)*100+MONTH(A1084)</f>
        <v>202604</v>
      </c>
    </row>
    <row r="1085" customFormat="false" ht="15" hidden="false" customHeight="false" outlineLevel="0" collapsed="false">
      <c r="A1085" s="2" t="n">
        <v>46129</v>
      </c>
      <c r="B1085" s="3" t="s">
        <v>1202</v>
      </c>
      <c r="C1085" s="0" t="n">
        <v>192</v>
      </c>
      <c r="D1085" s="0" t="n">
        <v>1</v>
      </c>
      <c r="E1085" s="0" t="str">
        <f aca="false">INDEX(lot!$B$2:$B$1201,MATCH(B1085,lot!$A$2:$A$1201,0))</f>
        <v>SUP-D</v>
      </c>
      <c r="F1085" s="3" t="n">
        <f aca="false">YEAR(A1085)*100+MONTH(A1085)</f>
        <v>202604</v>
      </c>
    </row>
    <row r="1086" customFormat="false" ht="15" hidden="false" customHeight="false" outlineLevel="0" collapsed="false">
      <c r="A1086" s="2" t="n">
        <v>46132</v>
      </c>
      <c r="B1086" s="3" t="s">
        <v>152</v>
      </c>
      <c r="C1086" s="0" t="n">
        <v>123</v>
      </c>
      <c r="D1086" s="0" t="n">
        <v>3</v>
      </c>
      <c r="E1086" s="0" t="str">
        <f aca="false">INDEX(lot!$B$2:$B$1201,MATCH(B1086,lot!$A$2:$A$1201,0))</f>
        <v>SUP-C</v>
      </c>
      <c r="F1086" s="3" t="n">
        <f aca="false">YEAR(A1086)*100+MONTH(A1086)</f>
        <v>202604</v>
      </c>
    </row>
    <row r="1087" customFormat="false" ht="15" hidden="false" customHeight="false" outlineLevel="0" collapsed="false">
      <c r="A1087" s="2" t="n">
        <v>46132</v>
      </c>
      <c r="B1087" s="3" t="s">
        <v>184</v>
      </c>
      <c r="C1087" s="0" t="n">
        <v>102</v>
      </c>
      <c r="D1087" s="0" t="n">
        <v>2</v>
      </c>
      <c r="E1087" s="0" t="str">
        <f aca="false">INDEX(lot!$B$2:$B$1201,MATCH(B1087,lot!$A$2:$A$1201,0))</f>
        <v>SUP-D</v>
      </c>
      <c r="F1087" s="3" t="n">
        <f aca="false">YEAR(A1087)*100+MONTH(A1087)</f>
        <v>202604</v>
      </c>
    </row>
    <row r="1088" customFormat="false" ht="15" hidden="false" customHeight="false" outlineLevel="0" collapsed="false">
      <c r="A1088" s="2" t="n">
        <v>46132</v>
      </c>
      <c r="B1088" s="3" t="s">
        <v>184</v>
      </c>
      <c r="C1088" s="0" t="n">
        <v>187</v>
      </c>
      <c r="D1088" s="0" t="n">
        <v>2</v>
      </c>
      <c r="E1088" s="0" t="str">
        <f aca="false">INDEX(lot!$B$2:$B$1201,MATCH(B1088,lot!$A$2:$A$1201,0))</f>
        <v>SUP-D</v>
      </c>
      <c r="F1088" s="3" t="n">
        <f aca="false">YEAR(A1088)*100+MONTH(A1088)</f>
        <v>202604</v>
      </c>
    </row>
    <row r="1089" customFormat="false" ht="15" hidden="false" customHeight="false" outlineLevel="0" collapsed="false">
      <c r="A1089" s="2" t="n">
        <v>46132</v>
      </c>
      <c r="B1089" s="3" t="s">
        <v>376</v>
      </c>
      <c r="C1089" s="0" t="n">
        <v>86</v>
      </c>
      <c r="D1089" s="0" t="n">
        <v>1</v>
      </c>
      <c r="E1089" s="0" t="str">
        <f aca="false">INDEX(lot!$B$2:$B$1201,MATCH(B1089,lot!$A$2:$A$1201,0))</f>
        <v>SUP-C</v>
      </c>
      <c r="F1089" s="3" t="n">
        <f aca="false">YEAR(A1089)*100+MONTH(A1089)</f>
        <v>202604</v>
      </c>
    </row>
    <row r="1090" customFormat="false" ht="15" hidden="false" customHeight="false" outlineLevel="0" collapsed="false">
      <c r="A1090" s="2" t="n">
        <v>46132</v>
      </c>
      <c r="B1090" s="3" t="s">
        <v>376</v>
      </c>
      <c r="C1090" s="0" t="n">
        <v>139</v>
      </c>
      <c r="D1090" s="0" t="n">
        <v>3</v>
      </c>
      <c r="E1090" s="0" t="str">
        <f aca="false">INDEX(lot!$B$2:$B$1201,MATCH(B1090,lot!$A$2:$A$1201,0))</f>
        <v>SUP-C</v>
      </c>
      <c r="F1090" s="3" t="n">
        <f aca="false">YEAR(A1090)*100+MONTH(A1090)</f>
        <v>202604</v>
      </c>
    </row>
    <row r="1091" customFormat="false" ht="15" hidden="false" customHeight="false" outlineLevel="0" collapsed="false">
      <c r="A1091" s="2" t="n">
        <v>46132</v>
      </c>
      <c r="B1091" s="3" t="s">
        <v>421</v>
      </c>
      <c r="C1091" s="0" t="n">
        <v>228</v>
      </c>
      <c r="D1091" s="0" t="n">
        <v>18</v>
      </c>
      <c r="E1091" s="0" t="str">
        <f aca="false">INDEX(lot!$B$2:$B$1201,MATCH(B1091,lot!$A$2:$A$1201,0))</f>
        <v>SUP-D</v>
      </c>
      <c r="F1091" s="3" t="n">
        <f aca="false">YEAR(A1091)*100+MONTH(A1091)</f>
        <v>202604</v>
      </c>
    </row>
    <row r="1092" customFormat="false" ht="15" hidden="false" customHeight="false" outlineLevel="0" collapsed="false">
      <c r="A1092" s="2" t="n">
        <v>46132</v>
      </c>
      <c r="B1092" s="3" t="s">
        <v>421</v>
      </c>
      <c r="C1092" s="0" t="n">
        <v>77</v>
      </c>
      <c r="D1092" s="0" t="n">
        <v>4</v>
      </c>
      <c r="E1092" s="0" t="str">
        <f aca="false">INDEX(lot!$B$2:$B$1201,MATCH(B1092,lot!$A$2:$A$1201,0))</f>
        <v>SUP-D</v>
      </c>
      <c r="F1092" s="3" t="n">
        <f aca="false">YEAR(A1092)*100+MONTH(A1092)</f>
        <v>202604</v>
      </c>
    </row>
    <row r="1093" customFormat="false" ht="15" hidden="false" customHeight="false" outlineLevel="0" collapsed="false">
      <c r="A1093" s="2" t="n">
        <v>46132</v>
      </c>
      <c r="B1093" s="3" t="s">
        <v>458</v>
      </c>
      <c r="C1093" s="0" t="n">
        <v>92</v>
      </c>
      <c r="D1093" s="0" t="n">
        <v>3</v>
      </c>
      <c r="E1093" s="0" t="str">
        <f aca="false">INDEX(lot!$B$2:$B$1201,MATCH(B1093,lot!$A$2:$A$1201,0))</f>
        <v>SUP-C</v>
      </c>
      <c r="F1093" s="3" t="n">
        <f aca="false">YEAR(A1093)*100+MONTH(A1093)</f>
        <v>202604</v>
      </c>
    </row>
    <row r="1094" customFormat="false" ht="15" hidden="false" customHeight="false" outlineLevel="0" collapsed="false">
      <c r="A1094" s="2" t="n">
        <v>46132</v>
      </c>
      <c r="B1094" s="3" t="s">
        <v>458</v>
      </c>
      <c r="C1094" s="0" t="n">
        <v>215</v>
      </c>
      <c r="D1094" s="0" t="n">
        <v>3</v>
      </c>
      <c r="E1094" s="0" t="str">
        <f aca="false">INDEX(lot!$B$2:$B$1201,MATCH(B1094,lot!$A$2:$A$1201,0))</f>
        <v>SUP-C</v>
      </c>
      <c r="F1094" s="3" t="n">
        <f aca="false">YEAR(A1094)*100+MONTH(A1094)</f>
        <v>202604</v>
      </c>
    </row>
    <row r="1095" customFormat="false" ht="15" hidden="false" customHeight="false" outlineLevel="0" collapsed="false">
      <c r="A1095" s="2" t="n">
        <v>46132</v>
      </c>
      <c r="B1095" s="3" t="s">
        <v>621</v>
      </c>
      <c r="C1095" s="0" t="n">
        <v>212</v>
      </c>
      <c r="D1095" s="0" t="n">
        <v>1</v>
      </c>
      <c r="E1095" s="0" t="str">
        <f aca="false">INDEX(lot!$B$2:$B$1201,MATCH(B1095,lot!$A$2:$A$1201,0))</f>
        <v>SUP-A</v>
      </c>
      <c r="F1095" s="3" t="n">
        <f aca="false">YEAR(A1095)*100+MONTH(A1095)</f>
        <v>202604</v>
      </c>
    </row>
    <row r="1096" customFormat="false" ht="15" hidden="false" customHeight="false" outlineLevel="0" collapsed="false">
      <c r="A1096" s="2" t="n">
        <v>46132</v>
      </c>
      <c r="B1096" s="3" t="s">
        <v>621</v>
      </c>
      <c r="C1096" s="0" t="n">
        <v>95</v>
      </c>
      <c r="D1096" s="0" t="n">
        <v>3</v>
      </c>
      <c r="E1096" s="0" t="str">
        <f aca="false">INDEX(lot!$B$2:$B$1201,MATCH(B1096,lot!$A$2:$A$1201,0))</f>
        <v>SUP-A</v>
      </c>
      <c r="F1096" s="3" t="n">
        <f aca="false">YEAR(A1096)*100+MONTH(A1096)</f>
        <v>202604</v>
      </c>
    </row>
    <row r="1097" customFormat="false" ht="15" hidden="false" customHeight="false" outlineLevel="0" collapsed="false">
      <c r="A1097" s="2" t="n">
        <v>46132</v>
      </c>
      <c r="B1097" s="3" t="s">
        <v>672</v>
      </c>
      <c r="C1097" s="0" t="n">
        <v>137</v>
      </c>
      <c r="D1097" s="0" t="n">
        <v>0</v>
      </c>
      <c r="E1097" s="0" t="str">
        <f aca="false">INDEX(lot!$B$2:$B$1201,MATCH(B1097,lot!$A$2:$A$1201,0))</f>
        <v>SUP-A</v>
      </c>
      <c r="F1097" s="3" t="n">
        <f aca="false">YEAR(A1097)*100+MONTH(A1097)</f>
        <v>202604</v>
      </c>
    </row>
    <row r="1098" customFormat="false" ht="15" hidden="false" customHeight="false" outlineLevel="0" collapsed="false">
      <c r="A1098" s="2" t="n">
        <v>46132</v>
      </c>
      <c r="B1098" s="3" t="s">
        <v>672</v>
      </c>
      <c r="C1098" s="0" t="n">
        <v>157</v>
      </c>
      <c r="D1098" s="0" t="n">
        <v>0</v>
      </c>
      <c r="E1098" s="0" t="str">
        <f aca="false">INDEX(lot!$B$2:$B$1201,MATCH(B1098,lot!$A$2:$A$1201,0))</f>
        <v>SUP-A</v>
      </c>
      <c r="F1098" s="3" t="n">
        <f aca="false">YEAR(A1098)*100+MONTH(A1098)</f>
        <v>202604</v>
      </c>
    </row>
    <row r="1099" customFormat="false" ht="15" hidden="false" customHeight="false" outlineLevel="0" collapsed="false">
      <c r="A1099" s="2" t="n">
        <v>46132</v>
      </c>
      <c r="B1099" s="3" t="s">
        <v>754</v>
      </c>
      <c r="C1099" s="0" t="n">
        <v>139</v>
      </c>
      <c r="D1099" s="0" t="n">
        <v>0</v>
      </c>
      <c r="E1099" s="0" t="str">
        <f aca="false">INDEX(lot!$B$2:$B$1201,MATCH(B1099,lot!$A$2:$A$1201,0))</f>
        <v>SUP-E</v>
      </c>
      <c r="F1099" s="3" t="n">
        <f aca="false">YEAR(A1099)*100+MONTH(A1099)</f>
        <v>202604</v>
      </c>
    </row>
    <row r="1100" customFormat="false" ht="15" hidden="false" customHeight="false" outlineLevel="0" collapsed="false">
      <c r="A1100" s="2" t="n">
        <v>46132</v>
      </c>
      <c r="B1100" s="3" t="s">
        <v>754</v>
      </c>
      <c r="C1100" s="0" t="n">
        <v>143</v>
      </c>
      <c r="D1100" s="0" t="n">
        <v>0</v>
      </c>
      <c r="E1100" s="0" t="str">
        <f aca="false">INDEX(lot!$B$2:$B$1201,MATCH(B1100,lot!$A$2:$A$1201,0))</f>
        <v>SUP-E</v>
      </c>
      <c r="F1100" s="3" t="n">
        <f aca="false">YEAR(A1100)*100+MONTH(A1100)</f>
        <v>202604</v>
      </c>
    </row>
    <row r="1101" customFormat="false" ht="15" hidden="false" customHeight="false" outlineLevel="0" collapsed="false">
      <c r="A1101" s="2" t="n">
        <v>46132</v>
      </c>
      <c r="B1101" s="3" t="s">
        <v>787</v>
      </c>
      <c r="C1101" s="0" t="n">
        <v>93</v>
      </c>
      <c r="D1101" s="0" t="n">
        <v>1</v>
      </c>
      <c r="E1101" s="0" t="str">
        <f aca="false">INDEX(lot!$B$2:$B$1201,MATCH(B1101,lot!$A$2:$A$1201,0))</f>
        <v>SUP-D</v>
      </c>
      <c r="F1101" s="3" t="n">
        <f aca="false">YEAR(A1101)*100+MONTH(A1101)</f>
        <v>202604</v>
      </c>
    </row>
    <row r="1102" customFormat="false" ht="15" hidden="false" customHeight="false" outlineLevel="0" collapsed="false">
      <c r="A1102" s="2" t="n">
        <v>46132</v>
      </c>
      <c r="B1102" s="3" t="s">
        <v>895</v>
      </c>
      <c r="C1102" s="0" t="n">
        <v>171</v>
      </c>
      <c r="D1102" s="0" t="n">
        <v>2</v>
      </c>
      <c r="E1102" s="0" t="str">
        <f aca="false">INDEX(lot!$B$2:$B$1201,MATCH(B1102,lot!$A$2:$A$1201,0))</f>
        <v>SUP-A</v>
      </c>
      <c r="F1102" s="3" t="n">
        <f aca="false">YEAR(A1102)*100+MONTH(A1102)</f>
        <v>202604</v>
      </c>
    </row>
    <row r="1103" customFormat="false" ht="15" hidden="false" customHeight="false" outlineLevel="0" collapsed="false">
      <c r="A1103" s="2" t="n">
        <v>46132</v>
      </c>
      <c r="B1103" s="3" t="s">
        <v>895</v>
      </c>
      <c r="C1103" s="0" t="n">
        <v>105</v>
      </c>
      <c r="D1103" s="0" t="n">
        <v>1</v>
      </c>
      <c r="E1103" s="0" t="str">
        <f aca="false">INDEX(lot!$B$2:$B$1201,MATCH(B1103,lot!$A$2:$A$1201,0))</f>
        <v>SUP-A</v>
      </c>
      <c r="F1103" s="3" t="n">
        <f aca="false">YEAR(A1103)*100+MONTH(A1103)</f>
        <v>202604</v>
      </c>
    </row>
    <row r="1104" customFormat="false" ht="15" hidden="false" customHeight="false" outlineLevel="0" collapsed="false">
      <c r="A1104" s="2" t="n">
        <v>46132</v>
      </c>
      <c r="B1104" s="3" t="s">
        <v>963</v>
      </c>
      <c r="C1104" s="0" t="n">
        <v>218</v>
      </c>
      <c r="D1104" s="0" t="n">
        <v>2</v>
      </c>
      <c r="E1104" s="0" t="str">
        <f aca="false">INDEX(lot!$B$2:$B$1201,MATCH(B1104,lot!$A$2:$A$1201,0))</f>
        <v>SUP-E</v>
      </c>
      <c r="F1104" s="3" t="n">
        <f aca="false">YEAR(A1104)*100+MONTH(A1104)</f>
        <v>202604</v>
      </c>
    </row>
    <row r="1105" customFormat="false" ht="15" hidden="false" customHeight="false" outlineLevel="0" collapsed="false">
      <c r="A1105" s="2" t="n">
        <v>46132</v>
      </c>
      <c r="B1105" s="3" t="s">
        <v>977</v>
      </c>
      <c r="C1105" s="0" t="n">
        <v>200</v>
      </c>
      <c r="D1105" s="0" t="n">
        <v>1</v>
      </c>
      <c r="E1105" s="0" t="str">
        <f aca="false">INDEX(lot!$B$2:$B$1201,MATCH(B1105,lot!$A$2:$A$1201,0))</f>
        <v>SUP-D</v>
      </c>
      <c r="F1105" s="3" t="n">
        <f aca="false">YEAR(A1105)*100+MONTH(A1105)</f>
        <v>202604</v>
      </c>
    </row>
    <row r="1106" customFormat="false" ht="15" hidden="false" customHeight="false" outlineLevel="0" collapsed="false">
      <c r="A1106" s="2" t="n">
        <v>46132</v>
      </c>
      <c r="B1106" s="3" t="s">
        <v>977</v>
      </c>
      <c r="C1106" s="0" t="n">
        <v>203</v>
      </c>
      <c r="D1106" s="0" t="n">
        <v>0</v>
      </c>
      <c r="E1106" s="0" t="str">
        <f aca="false">INDEX(lot!$B$2:$B$1201,MATCH(B1106,lot!$A$2:$A$1201,0))</f>
        <v>SUP-D</v>
      </c>
      <c r="F1106" s="3" t="n">
        <f aca="false">YEAR(A1106)*100+MONTH(A1106)</f>
        <v>202604</v>
      </c>
    </row>
    <row r="1107" customFormat="false" ht="15" hidden="false" customHeight="false" outlineLevel="0" collapsed="false">
      <c r="A1107" s="2" t="n">
        <v>46132</v>
      </c>
      <c r="B1107" s="3" t="s">
        <v>1031</v>
      </c>
      <c r="C1107" s="0" t="n">
        <v>228</v>
      </c>
      <c r="D1107" s="0" t="n">
        <v>2</v>
      </c>
      <c r="E1107" s="0" t="str">
        <f aca="false">INDEX(lot!$B$2:$B$1201,MATCH(B1107,lot!$A$2:$A$1201,0))</f>
        <v>SUP-D</v>
      </c>
      <c r="F1107" s="3" t="n">
        <f aca="false">YEAR(A1107)*100+MONTH(A1107)</f>
        <v>202604</v>
      </c>
    </row>
    <row r="1108" customFormat="false" ht="15" hidden="false" customHeight="false" outlineLevel="0" collapsed="false">
      <c r="A1108" s="2" t="n">
        <v>46132</v>
      </c>
      <c r="B1108" s="3" t="s">
        <v>1096</v>
      </c>
      <c r="C1108" s="0" t="n">
        <v>203</v>
      </c>
      <c r="D1108" s="0" t="n">
        <v>2</v>
      </c>
      <c r="E1108" s="0" t="str">
        <f aca="false">INDEX(lot!$B$2:$B$1201,MATCH(B1108,lot!$A$2:$A$1201,0))</f>
        <v>SUP-E</v>
      </c>
      <c r="F1108" s="3" t="n">
        <f aca="false">YEAR(A1108)*100+MONTH(A1108)</f>
        <v>202604</v>
      </c>
    </row>
    <row r="1109" customFormat="false" ht="15" hidden="false" customHeight="false" outlineLevel="0" collapsed="false">
      <c r="A1109" s="2" t="n">
        <v>46132</v>
      </c>
      <c r="B1109" s="3" t="s">
        <v>1157</v>
      </c>
      <c r="C1109" s="0" t="n">
        <v>108</v>
      </c>
      <c r="D1109" s="0" t="n">
        <v>0</v>
      </c>
      <c r="E1109" s="0" t="str">
        <f aca="false">INDEX(lot!$B$2:$B$1201,MATCH(B1109,lot!$A$2:$A$1201,0))</f>
        <v>SUP-E</v>
      </c>
      <c r="F1109" s="3" t="n">
        <f aca="false">YEAR(A1109)*100+MONTH(A1109)</f>
        <v>202604</v>
      </c>
    </row>
    <row r="1110" customFormat="false" ht="15" hidden="false" customHeight="false" outlineLevel="0" collapsed="false">
      <c r="A1110" s="2" t="n">
        <v>46132</v>
      </c>
      <c r="B1110" s="3" t="s">
        <v>1157</v>
      </c>
      <c r="C1110" s="0" t="n">
        <v>135</v>
      </c>
      <c r="D1110" s="0" t="n">
        <v>2</v>
      </c>
      <c r="E1110" s="0" t="str">
        <f aca="false">INDEX(lot!$B$2:$B$1201,MATCH(B1110,lot!$A$2:$A$1201,0))</f>
        <v>SUP-E</v>
      </c>
      <c r="F1110" s="3" t="n">
        <f aca="false">YEAR(A1110)*100+MONTH(A1110)</f>
        <v>202604</v>
      </c>
    </row>
    <row r="1111" customFormat="false" ht="15" hidden="false" customHeight="false" outlineLevel="0" collapsed="false">
      <c r="A1111" s="2" t="n">
        <v>46132</v>
      </c>
      <c r="B1111" s="3" t="s">
        <v>1179</v>
      </c>
      <c r="C1111" s="0" t="n">
        <v>87</v>
      </c>
      <c r="D1111" s="0" t="n">
        <v>1</v>
      </c>
      <c r="E1111" s="0" t="str">
        <f aca="false">INDEX(lot!$B$2:$B$1201,MATCH(B1111,lot!$A$2:$A$1201,0))</f>
        <v>SUP-C</v>
      </c>
      <c r="F1111" s="3" t="n">
        <f aca="false">YEAR(A1111)*100+MONTH(A1111)</f>
        <v>202604</v>
      </c>
    </row>
    <row r="1112" customFormat="false" ht="15" hidden="false" customHeight="false" outlineLevel="0" collapsed="false">
      <c r="A1112" s="2" t="n">
        <v>46132</v>
      </c>
      <c r="B1112" s="3" t="s">
        <v>1179</v>
      </c>
      <c r="C1112" s="0" t="n">
        <v>231</v>
      </c>
      <c r="D1112" s="0" t="n">
        <v>5</v>
      </c>
      <c r="E1112" s="0" t="str">
        <f aca="false">INDEX(lot!$B$2:$B$1201,MATCH(B1112,lot!$A$2:$A$1201,0))</f>
        <v>SUP-C</v>
      </c>
      <c r="F1112" s="3" t="n">
        <f aca="false">YEAR(A1112)*100+MONTH(A1112)</f>
        <v>202604</v>
      </c>
    </row>
    <row r="1113" customFormat="false" ht="15" hidden="false" customHeight="false" outlineLevel="0" collapsed="false">
      <c r="A1113" s="2" t="n">
        <v>46133</v>
      </c>
      <c r="B1113" s="3" t="s">
        <v>17</v>
      </c>
      <c r="C1113" s="0" t="n">
        <v>236</v>
      </c>
      <c r="D1113" s="0" t="n">
        <v>3</v>
      </c>
      <c r="E1113" s="0" t="str">
        <f aca="false">INDEX(lot!$B$2:$B$1201,MATCH(B1113,lot!$A$2:$A$1201,0))</f>
        <v>SUP-E</v>
      </c>
      <c r="F1113" s="3" t="n">
        <f aca="false">YEAR(A1113)*100+MONTH(A1113)</f>
        <v>202604</v>
      </c>
    </row>
    <row r="1114" customFormat="false" ht="15" hidden="false" customHeight="false" outlineLevel="0" collapsed="false">
      <c r="A1114" s="2" t="n">
        <v>46133</v>
      </c>
      <c r="B1114" s="3" t="s">
        <v>76</v>
      </c>
      <c r="C1114" s="0" t="n">
        <v>166</v>
      </c>
      <c r="D1114" s="0" t="n">
        <v>3</v>
      </c>
      <c r="E1114" s="0" t="str">
        <f aca="false">INDEX(lot!$B$2:$B$1201,MATCH(B1114,lot!$A$2:$A$1201,0))</f>
        <v>SUP-C</v>
      </c>
      <c r="F1114" s="3" t="n">
        <f aca="false">YEAR(A1114)*100+MONTH(A1114)</f>
        <v>202604</v>
      </c>
    </row>
    <row r="1115" customFormat="false" ht="15" hidden="false" customHeight="false" outlineLevel="0" collapsed="false">
      <c r="A1115" s="2" t="n">
        <v>46133</v>
      </c>
      <c r="B1115" s="3" t="s">
        <v>76</v>
      </c>
      <c r="C1115" s="0" t="n">
        <v>178</v>
      </c>
      <c r="D1115" s="0" t="n">
        <v>7</v>
      </c>
      <c r="E1115" s="0" t="str">
        <f aca="false">INDEX(lot!$B$2:$B$1201,MATCH(B1115,lot!$A$2:$A$1201,0))</f>
        <v>SUP-C</v>
      </c>
      <c r="F1115" s="3" t="n">
        <f aca="false">YEAR(A1115)*100+MONTH(A1115)</f>
        <v>202604</v>
      </c>
    </row>
    <row r="1116" customFormat="false" ht="15" hidden="false" customHeight="false" outlineLevel="0" collapsed="false">
      <c r="A1116" s="2" t="n">
        <v>46133</v>
      </c>
      <c r="B1116" s="3" t="s">
        <v>108</v>
      </c>
      <c r="C1116" s="0" t="n">
        <v>94</v>
      </c>
      <c r="D1116" s="0" t="n">
        <v>1</v>
      </c>
      <c r="E1116" s="0" t="str">
        <f aca="false">INDEX(lot!$B$2:$B$1201,MATCH(B1116,lot!$A$2:$A$1201,0))</f>
        <v>SUP-C</v>
      </c>
      <c r="F1116" s="3" t="n">
        <f aca="false">YEAR(A1116)*100+MONTH(A1116)</f>
        <v>202604</v>
      </c>
    </row>
    <row r="1117" customFormat="false" ht="15" hidden="false" customHeight="false" outlineLevel="0" collapsed="false">
      <c r="A1117" s="2" t="n">
        <v>46133</v>
      </c>
      <c r="B1117" s="3" t="s">
        <v>136</v>
      </c>
      <c r="C1117" s="0" t="n">
        <v>123</v>
      </c>
      <c r="D1117" s="0" t="n">
        <v>0</v>
      </c>
      <c r="E1117" s="0" t="str">
        <f aca="false">INDEX(lot!$B$2:$B$1201,MATCH(B1117,lot!$A$2:$A$1201,0))</f>
        <v>SUP-B</v>
      </c>
      <c r="F1117" s="3" t="n">
        <f aca="false">YEAR(A1117)*100+MONTH(A1117)</f>
        <v>202604</v>
      </c>
    </row>
    <row r="1118" customFormat="false" ht="15" hidden="false" customHeight="false" outlineLevel="0" collapsed="false">
      <c r="A1118" s="2" t="n">
        <v>46133</v>
      </c>
      <c r="B1118" s="3" t="s">
        <v>136</v>
      </c>
      <c r="C1118" s="0" t="n">
        <v>240</v>
      </c>
      <c r="D1118" s="0" t="n">
        <v>1</v>
      </c>
      <c r="E1118" s="0" t="str">
        <f aca="false">INDEX(lot!$B$2:$B$1201,MATCH(B1118,lot!$A$2:$A$1201,0))</f>
        <v>SUP-B</v>
      </c>
      <c r="F1118" s="3" t="n">
        <f aca="false">YEAR(A1118)*100+MONTH(A1118)</f>
        <v>202604</v>
      </c>
    </row>
    <row r="1119" customFormat="false" ht="15" hidden="false" customHeight="false" outlineLevel="0" collapsed="false">
      <c r="A1119" s="2" t="n">
        <v>46133</v>
      </c>
      <c r="B1119" s="3" t="s">
        <v>251</v>
      </c>
      <c r="C1119" s="0" t="n">
        <v>97</v>
      </c>
      <c r="D1119" s="0" t="n">
        <v>0</v>
      </c>
      <c r="E1119" s="0" t="str">
        <f aca="false">INDEX(lot!$B$2:$B$1201,MATCH(B1119,lot!$A$2:$A$1201,0))</f>
        <v>SUP-A</v>
      </c>
      <c r="F1119" s="3" t="n">
        <f aca="false">YEAR(A1119)*100+MONTH(A1119)</f>
        <v>202604</v>
      </c>
    </row>
    <row r="1120" customFormat="false" ht="15" hidden="false" customHeight="false" outlineLevel="0" collapsed="false">
      <c r="A1120" s="2" t="n">
        <v>46133</v>
      </c>
      <c r="B1120" s="3" t="s">
        <v>251</v>
      </c>
      <c r="C1120" s="0" t="n">
        <v>194</v>
      </c>
      <c r="D1120" s="0" t="n">
        <v>2</v>
      </c>
      <c r="E1120" s="0" t="str">
        <f aca="false">INDEX(lot!$B$2:$B$1201,MATCH(B1120,lot!$A$2:$A$1201,0))</f>
        <v>SUP-A</v>
      </c>
      <c r="F1120" s="3" t="n">
        <f aca="false">YEAR(A1120)*100+MONTH(A1120)</f>
        <v>202604</v>
      </c>
    </row>
    <row r="1121" customFormat="false" ht="15" hidden="false" customHeight="false" outlineLevel="0" collapsed="false">
      <c r="A1121" s="2" t="n">
        <v>46133</v>
      </c>
      <c r="B1121" s="3" t="s">
        <v>376</v>
      </c>
      <c r="C1121" s="0" t="n">
        <v>230</v>
      </c>
      <c r="D1121" s="0" t="n">
        <v>6</v>
      </c>
      <c r="E1121" s="0" t="str">
        <f aca="false">INDEX(lot!$B$2:$B$1201,MATCH(B1121,lot!$A$2:$A$1201,0))</f>
        <v>SUP-C</v>
      </c>
      <c r="F1121" s="3" t="n">
        <f aca="false">YEAR(A1121)*100+MONTH(A1121)</f>
        <v>202604</v>
      </c>
    </row>
    <row r="1122" customFormat="false" ht="15" hidden="false" customHeight="false" outlineLevel="0" collapsed="false">
      <c r="A1122" s="2" t="n">
        <v>46133</v>
      </c>
      <c r="B1122" s="3" t="s">
        <v>376</v>
      </c>
      <c r="C1122" s="0" t="n">
        <v>228</v>
      </c>
      <c r="D1122" s="0" t="n">
        <v>8</v>
      </c>
      <c r="E1122" s="0" t="str">
        <f aca="false">INDEX(lot!$B$2:$B$1201,MATCH(B1122,lot!$A$2:$A$1201,0))</f>
        <v>SUP-C</v>
      </c>
      <c r="F1122" s="3" t="n">
        <f aca="false">YEAR(A1122)*100+MONTH(A1122)</f>
        <v>202604</v>
      </c>
    </row>
    <row r="1123" customFormat="false" ht="15" hidden="false" customHeight="false" outlineLevel="0" collapsed="false">
      <c r="A1123" s="2" t="n">
        <v>46133</v>
      </c>
      <c r="B1123" s="3" t="s">
        <v>421</v>
      </c>
      <c r="C1123" s="0" t="n">
        <v>70</v>
      </c>
      <c r="D1123" s="0" t="n">
        <v>3</v>
      </c>
      <c r="E1123" s="0" t="str">
        <f aca="false">INDEX(lot!$B$2:$B$1201,MATCH(B1123,lot!$A$2:$A$1201,0))</f>
        <v>SUP-D</v>
      </c>
      <c r="F1123" s="3" t="n">
        <f aca="false">YEAR(A1123)*100+MONTH(A1123)</f>
        <v>202604</v>
      </c>
    </row>
    <row r="1124" customFormat="false" ht="15" hidden="false" customHeight="false" outlineLevel="0" collapsed="false">
      <c r="A1124" s="2" t="n">
        <v>46133</v>
      </c>
      <c r="B1124" s="3" t="s">
        <v>421</v>
      </c>
      <c r="C1124" s="0" t="n">
        <v>172</v>
      </c>
      <c r="D1124" s="0" t="n">
        <v>8</v>
      </c>
      <c r="E1124" s="0" t="str">
        <f aca="false">INDEX(lot!$B$2:$B$1201,MATCH(B1124,lot!$A$2:$A$1201,0))</f>
        <v>SUP-D</v>
      </c>
      <c r="F1124" s="3" t="n">
        <f aca="false">YEAR(A1124)*100+MONTH(A1124)</f>
        <v>202604</v>
      </c>
    </row>
    <row r="1125" customFormat="false" ht="15" hidden="false" customHeight="false" outlineLevel="0" collapsed="false">
      <c r="A1125" s="2" t="n">
        <v>46133</v>
      </c>
      <c r="B1125" s="3" t="s">
        <v>485</v>
      </c>
      <c r="C1125" s="0" t="n">
        <v>100</v>
      </c>
      <c r="D1125" s="0" t="n">
        <v>0</v>
      </c>
      <c r="E1125" s="0" t="str">
        <f aca="false">INDEX(lot!$B$2:$B$1201,MATCH(B1125,lot!$A$2:$A$1201,0))</f>
        <v>SUP-D</v>
      </c>
      <c r="F1125" s="3" t="n">
        <f aca="false">YEAR(A1125)*100+MONTH(A1125)</f>
        <v>202604</v>
      </c>
    </row>
    <row r="1126" customFormat="false" ht="15" hidden="false" customHeight="false" outlineLevel="0" collapsed="false">
      <c r="A1126" s="2" t="n">
        <v>46133</v>
      </c>
      <c r="B1126" s="3" t="s">
        <v>485</v>
      </c>
      <c r="C1126" s="0" t="n">
        <v>249</v>
      </c>
      <c r="D1126" s="0" t="n">
        <v>4</v>
      </c>
      <c r="E1126" s="0" t="str">
        <f aca="false">INDEX(lot!$B$2:$B$1201,MATCH(B1126,lot!$A$2:$A$1201,0))</f>
        <v>SUP-D</v>
      </c>
      <c r="F1126" s="3" t="n">
        <f aca="false">YEAR(A1126)*100+MONTH(A1126)</f>
        <v>202604</v>
      </c>
    </row>
    <row r="1127" customFormat="false" ht="15" hidden="false" customHeight="false" outlineLevel="0" collapsed="false">
      <c r="A1127" s="2" t="n">
        <v>46133</v>
      </c>
      <c r="B1127" s="3" t="s">
        <v>551</v>
      </c>
      <c r="C1127" s="0" t="n">
        <v>222</v>
      </c>
      <c r="D1127" s="0" t="n">
        <v>2</v>
      </c>
      <c r="E1127" s="0" t="str">
        <f aca="false">INDEX(lot!$B$2:$B$1201,MATCH(B1127,lot!$A$2:$A$1201,0))</f>
        <v>SUP-C</v>
      </c>
      <c r="F1127" s="3" t="n">
        <f aca="false">YEAR(A1127)*100+MONTH(A1127)</f>
        <v>202604</v>
      </c>
    </row>
    <row r="1128" customFormat="false" ht="15" hidden="false" customHeight="false" outlineLevel="0" collapsed="false">
      <c r="A1128" s="2" t="n">
        <v>46133</v>
      </c>
      <c r="B1128" s="3" t="s">
        <v>551</v>
      </c>
      <c r="C1128" s="0" t="n">
        <v>245</v>
      </c>
      <c r="D1128" s="0" t="n">
        <v>6</v>
      </c>
      <c r="E1128" s="0" t="str">
        <f aca="false">INDEX(lot!$B$2:$B$1201,MATCH(B1128,lot!$A$2:$A$1201,0))</f>
        <v>SUP-C</v>
      </c>
      <c r="F1128" s="3" t="n">
        <f aca="false">YEAR(A1128)*100+MONTH(A1128)</f>
        <v>202604</v>
      </c>
    </row>
    <row r="1129" customFormat="false" ht="15" hidden="false" customHeight="false" outlineLevel="0" collapsed="false">
      <c r="A1129" s="2" t="n">
        <v>46133</v>
      </c>
      <c r="B1129" s="3" t="s">
        <v>668</v>
      </c>
      <c r="C1129" s="0" t="n">
        <v>159</v>
      </c>
      <c r="D1129" s="0" t="n">
        <v>0</v>
      </c>
      <c r="E1129" s="0" t="str">
        <f aca="false">INDEX(lot!$B$2:$B$1201,MATCH(B1129,lot!$A$2:$A$1201,0))</f>
        <v>SUP-E</v>
      </c>
      <c r="F1129" s="3" t="n">
        <f aca="false">YEAR(A1129)*100+MONTH(A1129)</f>
        <v>202604</v>
      </c>
    </row>
    <row r="1130" customFormat="false" ht="15" hidden="false" customHeight="false" outlineLevel="0" collapsed="false">
      <c r="A1130" s="2" t="n">
        <v>46133</v>
      </c>
      <c r="B1130" s="3" t="s">
        <v>672</v>
      </c>
      <c r="C1130" s="0" t="n">
        <v>117</v>
      </c>
      <c r="D1130" s="0" t="n">
        <v>2</v>
      </c>
      <c r="E1130" s="0" t="str">
        <f aca="false">INDEX(lot!$B$2:$B$1201,MATCH(B1130,lot!$A$2:$A$1201,0))</f>
        <v>SUP-A</v>
      </c>
      <c r="F1130" s="3" t="n">
        <f aca="false">YEAR(A1130)*100+MONTH(A1130)</f>
        <v>202604</v>
      </c>
    </row>
    <row r="1131" customFormat="false" ht="15" hidden="false" customHeight="false" outlineLevel="0" collapsed="false">
      <c r="A1131" s="2" t="n">
        <v>46133</v>
      </c>
      <c r="B1131" s="3" t="s">
        <v>672</v>
      </c>
      <c r="C1131" s="0" t="n">
        <v>166</v>
      </c>
      <c r="D1131" s="0" t="n">
        <v>2</v>
      </c>
      <c r="E1131" s="0" t="str">
        <f aca="false">INDEX(lot!$B$2:$B$1201,MATCH(B1131,lot!$A$2:$A$1201,0))</f>
        <v>SUP-A</v>
      </c>
      <c r="F1131" s="3" t="n">
        <f aca="false">YEAR(A1131)*100+MONTH(A1131)</f>
        <v>202604</v>
      </c>
    </row>
    <row r="1132" customFormat="false" ht="15" hidden="false" customHeight="false" outlineLevel="0" collapsed="false">
      <c r="A1132" s="2" t="n">
        <v>46133</v>
      </c>
      <c r="B1132" s="3" t="s">
        <v>795</v>
      </c>
      <c r="C1132" s="0" t="n">
        <v>228</v>
      </c>
      <c r="D1132" s="0" t="n">
        <v>7</v>
      </c>
      <c r="E1132" s="0" t="str">
        <f aca="false">INDEX(lot!$B$2:$B$1201,MATCH(B1132,lot!$A$2:$A$1201,0))</f>
        <v>SUP-C</v>
      </c>
      <c r="F1132" s="3" t="n">
        <f aca="false">YEAR(A1132)*100+MONTH(A1132)</f>
        <v>202604</v>
      </c>
    </row>
    <row r="1133" customFormat="false" ht="15" hidden="false" customHeight="false" outlineLevel="0" collapsed="false">
      <c r="A1133" s="2" t="n">
        <v>46133</v>
      </c>
      <c r="B1133" s="3" t="s">
        <v>835</v>
      </c>
      <c r="C1133" s="0" t="n">
        <v>103</v>
      </c>
      <c r="D1133" s="0" t="n">
        <v>2</v>
      </c>
      <c r="E1133" s="0" t="str">
        <f aca="false">INDEX(lot!$B$2:$B$1201,MATCH(B1133,lot!$A$2:$A$1201,0))</f>
        <v>SUP-E</v>
      </c>
      <c r="F1133" s="3" t="n">
        <f aca="false">YEAR(A1133)*100+MONTH(A1133)</f>
        <v>202604</v>
      </c>
    </row>
    <row r="1134" customFormat="false" ht="15" hidden="false" customHeight="false" outlineLevel="0" collapsed="false">
      <c r="A1134" s="2" t="n">
        <v>46133</v>
      </c>
      <c r="B1134" s="3" t="s">
        <v>835</v>
      </c>
      <c r="C1134" s="0" t="n">
        <v>140</v>
      </c>
      <c r="D1134" s="0" t="n">
        <v>1</v>
      </c>
      <c r="E1134" s="0" t="str">
        <f aca="false">INDEX(lot!$B$2:$B$1201,MATCH(B1134,lot!$A$2:$A$1201,0))</f>
        <v>SUP-E</v>
      </c>
      <c r="F1134" s="3" t="n">
        <f aca="false">YEAR(A1134)*100+MONTH(A1134)</f>
        <v>202604</v>
      </c>
    </row>
    <row r="1135" customFormat="false" ht="15" hidden="false" customHeight="false" outlineLevel="0" collapsed="false">
      <c r="A1135" s="2" t="n">
        <v>46133</v>
      </c>
      <c r="B1135" s="3" t="s">
        <v>961</v>
      </c>
      <c r="C1135" s="0" t="n">
        <v>242</v>
      </c>
      <c r="D1135" s="0" t="n">
        <v>3</v>
      </c>
      <c r="E1135" s="0" t="str">
        <f aca="false">INDEX(lot!$B$2:$B$1201,MATCH(B1135,lot!$A$2:$A$1201,0))</f>
        <v>SUP-C</v>
      </c>
      <c r="F1135" s="3" t="n">
        <f aca="false">YEAR(A1135)*100+MONTH(A1135)</f>
        <v>202604</v>
      </c>
    </row>
    <row r="1136" customFormat="false" ht="15" hidden="false" customHeight="false" outlineLevel="0" collapsed="false">
      <c r="A1136" s="2" t="n">
        <v>46133</v>
      </c>
      <c r="B1136" s="3" t="s">
        <v>963</v>
      </c>
      <c r="C1136" s="0" t="n">
        <v>153</v>
      </c>
      <c r="D1136" s="0" t="n">
        <v>3</v>
      </c>
      <c r="E1136" s="0" t="str">
        <f aca="false">INDEX(lot!$B$2:$B$1201,MATCH(B1136,lot!$A$2:$A$1201,0))</f>
        <v>SUP-E</v>
      </c>
      <c r="F1136" s="3" t="n">
        <f aca="false">YEAR(A1136)*100+MONTH(A1136)</f>
        <v>202604</v>
      </c>
    </row>
    <row r="1137" customFormat="false" ht="15" hidden="false" customHeight="false" outlineLevel="0" collapsed="false">
      <c r="A1137" s="2" t="n">
        <v>46133</v>
      </c>
      <c r="B1137" s="3" t="s">
        <v>963</v>
      </c>
      <c r="C1137" s="0" t="n">
        <v>145</v>
      </c>
      <c r="D1137" s="0" t="n">
        <v>1</v>
      </c>
      <c r="E1137" s="0" t="str">
        <f aca="false">INDEX(lot!$B$2:$B$1201,MATCH(B1137,lot!$A$2:$A$1201,0))</f>
        <v>SUP-E</v>
      </c>
      <c r="F1137" s="3" t="n">
        <f aca="false">YEAR(A1137)*100+MONTH(A1137)</f>
        <v>202604</v>
      </c>
    </row>
    <row r="1138" customFormat="false" ht="15" hidden="false" customHeight="false" outlineLevel="0" collapsed="false">
      <c r="A1138" s="2" t="n">
        <v>46133</v>
      </c>
      <c r="B1138" s="3" t="s">
        <v>1044</v>
      </c>
      <c r="C1138" s="0" t="n">
        <v>77</v>
      </c>
      <c r="D1138" s="0" t="n">
        <v>4</v>
      </c>
      <c r="E1138" s="0" t="str">
        <f aca="false">INDEX(lot!$B$2:$B$1201,MATCH(B1138,lot!$A$2:$A$1201,0))</f>
        <v>SUP-E</v>
      </c>
      <c r="F1138" s="3" t="n">
        <f aca="false">YEAR(A1138)*100+MONTH(A1138)</f>
        <v>202604</v>
      </c>
    </row>
    <row r="1139" customFormat="false" ht="15" hidden="false" customHeight="false" outlineLevel="0" collapsed="false">
      <c r="A1139" s="2" t="n">
        <v>46133</v>
      </c>
      <c r="B1139" s="3" t="s">
        <v>1096</v>
      </c>
      <c r="C1139" s="0" t="n">
        <v>201</v>
      </c>
      <c r="D1139" s="0" t="n">
        <v>3</v>
      </c>
      <c r="E1139" s="0" t="str">
        <f aca="false">INDEX(lot!$B$2:$B$1201,MATCH(B1139,lot!$A$2:$A$1201,0))</f>
        <v>SUP-E</v>
      </c>
      <c r="F1139" s="3" t="n">
        <f aca="false">YEAR(A1139)*100+MONTH(A1139)</f>
        <v>202604</v>
      </c>
    </row>
    <row r="1140" customFormat="false" ht="15" hidden="false" customHeight="false" outlineLevel="0" collapsed="false">
      <c r="A1140" s="2" t="n">
        <v>46133</v>
      </c>
      <c r="B1140" s="3" t="s">
        <v>1116</v>
      </c>
      <c r="C1140" s="0" t="n">
        <v>111</v>
      </c>
      <c r="D1140" s="0" t="n">
        <v>0</v>
      </c>
      <c r="E1140" s="0" t="str">
        <f aca="false">INDEX(lot!$B$2:$B$1201,MATCH(B1140,lot!$A$2:$A$1201,0))</f>
        <v>SUP-D</v>
      </c>
      <c r="F1140" s="3" t="n">
        <f aca="false">YEAR(A1140)*100+MONTH(A1140)</f>
        <v>202604</v>
      </c>
    </row>
    <row r="1141" customFormat="false" ht="15" hidden="false" customHeight="false" outlineLevel="0" collapsed="false">
      <c r="A1141" s="2" t="n">
        <v>46133</v>
      </c>
      <c r="B1141" s="3" t="s">
        <v>1116</v>
      </c>
      <c r="C1141" s="0" t="n">
        <v>138</v>
      </c>
      <c r="D1141" s="0" t="n">
        <v>0</v>
      </c>
      <c r="E1141" s="0" t="str">
        <f aca="false">INDEX(lot!$B$2:$B$1201,MATCH(B1141,lot!$A$2:$A$1201,0))</f>
        <v>SUP-D</v>
      </c>
      <c r="F1141" s="3" t="n">
        <f aca="false">YEAR(A1141)*100+MONTH(A1141)</f>
        <v>202604</v>
      </c>
    </row>
    <row r="1142" customFormat="false" ht="15" hidden="false" customHeight="false" outlineLevel="0" collapsed="false">
      <c r="A1142" s="2" t="n">
        <v>46133</v>
      </c>
      <c r="B1142" s="3" t="s">
        <v>1179</v>
      </c>
      <c r="C1142" s="0" t="n">
        <v>79</v>
      </c>
      <c r="D1142" s="0" t="n">
        <v>1</v>
      </c>
      <c r="E1142" s="0" t="str">
        <f aca="false">INDEX(lot!$B$2:$B$1201,MATCH(B1142,lot!$A$2:$A$1201,0))</f>
        <v>SUP-C</v>
      </c>
      <c r="F1142" s="3" t="n">
        <f aca="false">YEAR(A1142)*100+MONTH(A1142)</f>
        <v>202604</v>
      </c>
    </row>
    <row r="1143" customFormat="false" ht="15" hidden="false" customHeight="false" outlineLevel="0" collapsed="false">
      <c r="A1143" s="2" t="n">
        <v>46133</v>
      </c>
      <c r="B1143" s="3" t="s">
        <v>1179</v>
      </c>
      <c r="C1143" s="0" t="n">
        <v>223</v>
      </c>
      <c r="D1143" s="0" t="n">
        <v>7</v>
      </c>
      <c r="E1143" s="0" t="str">
        <f aca="false">INDEX(lot!$B$2:$B$1201,MATCH(B1143,lot!$A$2:$A$1201,0))</f>
        <v>SUP-C</v>
      </c>
      <c r="F1143" s="3" t="n">
        <f aca="false">YEAR(A1143)*100+MONTH(A1143)</f>
        <v>202604</v>
      </c>
    </row>
    <row r="1144" customFormat="false" ht="15" hidden="false" customHeight="false" outlineLevel="0" collapsed="false">
      <c r="A1144" s="2" t="n">
        <v>46134</v>
      </c>
      <c r="B1144" s="3" t="s">
        <v>17</v>
      </c>
      <c r="C1144" s="0" t="n">
        <v>244</v>
      </c>
      <c r="D1144" s="0" t="n">
        <v>2</v>
      </c>
      <c r="E1144" s="0" t="str">
        <f aca="false">INDEX(lot!$B$2:$B$1201,MATCH(B1144,lot!$A$2:$A$1201,0))</f>
        <v>SUP-E</v>
      </c>
      <c r="F1144" s="3" t="n">
        <f aca="false">YEAR(A1144)*100+MONTH(A1144)</f>
        <v>202604</v>
      </c>
    </row>
    <row r="1145" customFormat="false" ht="15" hidden="false" customHeight="false" outlineLevel="0" collapsed="false">
      <c r="A1145" s="2" t="n">
        <v>46134</v>
      </c>
      <c r="B1145" s="3" t="s">
        <v>76</v>
      </c>
      <c r="C1145" s="0" t="n">
        <v>139</v>
      </c>
      <c r="D1145" s="0" t="n">
        <v>4</v>
      </c>
      <c r="E1145" s="0" t="str">
        <f aca="false">INDEX(lot!$B$2:$B$1201,MATCH(B1145,lot!$A$2:$A$1201,0))</f>
        <v>SUP-C</v>
      </c>
      <c r="F1145" s="3" t="n">
        <f aca="false">YEAR(A1145)*100+MONTH(A1145)</f>
        <v>202604</v>
      </c>
    </row>
    <row r="1146" customFormat="false" ht="15" hidden="false" customHeight="false" outlineLevel="0" collapsed="false">
      <c r="A1146" s="2" t="n">
        <v>46134</v>
      </c>
      <c r="B1146" s="3" t="s">
        <v>76</v>
      </c>
      <c r="C1146" s="0" t="n">
        <v>80</v>
      </c>
      <c r="D1146" s="0" t="n">
        <v>1</v>
      </c>
      <c r="E1146" s="0" t="str">
        <f aca="false">INDEX(lot!$B$2:$B$1201,MATCH(B1146,lot!$A$2:$A$1201,0))</f>
        <v>SUP-C</v>
      </c>
      <c r="F1146" s="3" t="n">
        <f aca="false">YEAR(A1146)*100+MONTH(A1146)</f>
        <v>202604</v>
      </c>
    </row>
    <row r="1147" customFormat="false" ht="15" hidden="false" customHeight="false" outlineLevel="0" collapsed="false">
      <c r="A1147" s="2" t="n">
        <v>46134</v>
      </c>
      <c r="B1147" s="3" t="s">
        <v>108</v>
      </c>
      <c r="C1147" s="0" t="n">
        <v>165</v>
      </c>
      <c r="D1147" s="0" t="n">
        <v>3</v>
      </c>
      <c r="E1147" s="0" t="str">
        <f aca="false">INDEX(lot!$B$2:$B$1201,MATCH(B1147,lot!$A$2:$A$1201,0))</f>
        <v>SUP-C</v>
      </c>
      <c r="F1147" s="3" t="n">
        <f aca="false">YEAR(A1147)*100+MONTH(A1147)</f>
        <v>202604</v>
      </c>
    </row>
    <row r="1148" customFormat="false" ht="15" hidden="false" customHeight="false" outlineLevel="0" collapsed="false">
      <c r="A1148" s="2" t="n">
        <v>46134</v>
      </c>
      <c r="B1148" s="3" t="s">
        <v>108</v>
      </c>
      <c r="C1148" s="0" t="n">
        <v>77</v>
      </c>
      <c r="D1148" s="0" t="n">
        <v>2</v>
      </c>
      <c r="E1148" s="0" t="str">
        <f aca="false">INDEX(lot!$B$2:$B$1201,MATCH(B1148,lot!$A$2:$A$1201,0))</f>
        <v>SUP-C</v>
      </c>
      <c r="F1148" s="3" t="n">
        <f aca="false">YEAR(A1148)*100+MONTH(A1148)</f>
        <v>202604</v>
      </c>
    </row>
    <row r="1149" customFormat="false" ht="15" hidden="false" customHeight="false" outlineLevel="0" collapsed="false">
      <c r="A1149" s="2" t="n">
        <v>46134</v>
      </c>
      <c r="B1149" s="3" t="s">
        <v>118</v>
      </c>
      <c r="C1149" s="0" t="n">
        <v>190</v>
      </c>
      <c r="D1149" s="0" t="n">
        <v>2</v>
      </c>
      <c r="E1149" s="0" t="str">
        <f aca="false">INDEX(lot!$B$2:$B$1201,MATCH(B1149,lot!$A$2:$A$1201,0))</f>
        <v>SUP-A</v>
      </c>
      <c r="F1149" s="3" t="n">
        <f aca="false">YEAR(A1149)*100+MONTH(A1149)</f>
        <v>202604</v>
      </c>
    </row>
    <row r="1150" customFormat="false" ht="15" hidden="false" customHeight="false" outlineLevel="0" collapsed="false">
      <c r="A1150" s="2" t="n">
        <v>46134</v>
      </c>
      <c r="B1150" s="3" t="s">
        <v>118</v>
      </c>
      <c r="C1150" s="0" t="n">
        <v>111</v>
      </c>
      <c r="D1150" s="0" t="n">
        <v>3</v>
      </c>
      <c r="E1150" s="0" t="str">
        <f aca="false">INDEX(lot!$B$2:$B$1201,MATCH(B1150,lot!$A$2:$A$1201,0))</f>
        <v>SUP-A</v>
      </c>
      <c r="F1150" s="3" t="n">
        <f aca="false">YEAR(A1150)*100+MONTH(A1150)</f>
        <v>202604</v>
      </c>
    </row>
    <row r="1151" customFormat="false" ht="15" hidden="false" customHeight="false" outlineLevel="0" collapsed="false">
      <c r="A1151" s="2" t="n">
        <v>46134</v>
      </c>
      <c r="B1151" s="3" t="s">
        <v>136</v>
      </c>
      <c r="C1151" s="0" t="n">
        <v>184</v>
      </c>
      <c r="D1151" s="0" t="n">
        <v>2</v>
      </c>
      <c r="E1151" s="0" t="str">
        <f aca="false">INDEX(lot!$B$2:$B$1201,MATCH(B1151,lot!$A$2:$A$1201,0))</f>
        <v>SUP-B</v>
      </c>
      <c r="F1151" s="3" t="n">
        <f aca="false">YEAR(A1151)*100+MONTH(A1151)</f>
        <v>202604</v>
      </c>
    </row>
    <row r="1152" customFormat="false" ht="15" hidden="false" customHeight="false" outlineLevel="0" collapsed="false">
      <c r="A1152" s="2" t="n">
        <v>46134</v>
      </c>
      <c r="B1152" s="3" t="s">
        <v>251</v>
      </c>
      <c r="C1152" s="0" t="n">
        <v>224</v>
      </c>
      <c r="D1152" s="0" t="n">
        <v>2</v>
      </c>
      <c r="E1152" s="0" t="str">
        <f aca="false">INDEX(lot!$B$2:$B$1201,MATCH(B1152,lot!$A$2:$A$1201,0))</f>
        <v>SUP-A</v>
      </c>
      <c r="F1152" s="3" t="n">
        <f aca="false">YEAR(A1152)*100+MONTH(A1152)</f>
        <v>202604</v>
      </c>
    </row>
    <row r="1153" customFormat="false" ht="15" hidden="false" customHeight="false" outlineLevel="0" collapsed="false">
      <c r="A1153" s="2" t="n">
        <v>46134</v>
      </c>
      <c r="B1153" s="3" t="s">
        <v>441</v>
      </c>
      <c r="C1153" s="0" t="n">
        <v>246</v>
      </c>
      <c r="D1153" s="0" t="n">
        <v>4</v>
      </c>
      <c r="E1153" s="0" t="str">
        <f aca="false">INDEX(lot!$B$2:$B$1201,MATCH(B1153,lot!$A$2:$A$1201,0))</f>
        <v>SUP-E</v>
      </c>
      <c r="F1153" s="3" t="n">
        <f aca="false">YEAR(A1153)*100+MONTH(A1153)</f>
        <v>202604</v>
      </c>
    </row>
    <row r="1154" customFormat="false" ht="15" hidden="false" customHeight="false" outlineLevel="0" collapsed="false">
      <c r="A1154" s="2" t="n">
        <v>46134</v>
      </c>
      <c r="B1154" s="3" t="s">
        <v>441</v>
      </c>
      <c r="C1154" s="0" t="n">
        <v>70</v>
      </c>
      <c r="D1154" s="0" t="n">
        <v>0</v>
      </c>
      <c r="E1154" s="0" t="str">
        <f aca="false">INDEX(lot!$B$2:$B$1201,MATCH(B1154,lot!$A$2:$A$1201,0))</f>
        <v>SUP-E</v>
      </c>
      <c r="F1154" s="3" t="n">
        <f aca="false">YEAR(A1154)*100+MONTH(A1154)</f>
        <v>202604</v>
      </c>
    </row>
    <row r="1155" customFormat="false" ht="15" hidden="false" customHeight="false" outlineLevel="0" collapsed="false">
      <c r="A1155" s="2" t="n">
        <v>46134</v>
      </c>
      <c r="B1155" s="3" t="s">
        <v>485</v>
      </c>
      <c r="C1155" s="0" t="n">
        <v>33</v>
      </c>
      <c r="D1155" s="0" t="n">
        <v>0</v>
      </c>
      <c r="E1155" s="0" t="str">
        <f aca="false">INDEX(lot!$B$2:$B$1201,MATCH(B1155,lot!$A$2:$A$1201,0))</f>
        <v>SUP-D</v>
      </c>
      <c r="F1155" s="3" t="n">
        <f aca="false">YEAR(A1155)*100+MONTH(A1155)</f>
        <v>202604</v>
      </c>
    </row>
    <row r="1156" customFormat="false" ht="15" hidden="false" customHeight="false" outlineLevel="0" collapsed="false">
      <c r="A1156" s="2" t="n">
        <v>46134</v>
      </c>
      <c r="B1156" s="3" t="s">
        <v>485</v>
      </c>
      <c r="C1156" s="0" t="n">
        <v>81</v>
      </c>
      <c r="D1156" s="0" t="n">
        <v>1</v>
      </c>
      <c r="E1156" s="0" t="str">
        <f aca="false">INDEX(lot!$B$2:$B$1201,MATCH(B1156,lot!$A$2:$A$1201,0))</f>
        <v>SUP-D</v>
      </c>
      <c r="F1156" s="3" t="n">
        <f aca="false">YEAR(A1156)*100+MONTH(A1156)</f>
        <v>202604</v>
      </c>
    </row>
    <row r="1157" customFormat="false" ht="15" hidden="false" customHeight="false" outlineLevel="0" collapsed="false">
      <c r="A1157" s="2" t="n">
        <v>46134</v>
      </c>
      <c r="B1157" s="3" t="s">
        <v>516</v>
      </c>
      <c r="C1157" s="0" t="n">
        <v>108</v>
      </c>
      <c r="D1157" s="0" t="n">
        <v>1</v>
      </c>
      <c r="E1157" s="0" t="str">
        <f aca="false">INDEX(lot!$B$2:$B$1201,MATCH(B1157,lot!$A$2:$A$1201,0))</f>
        <v>SUP-A</v>
      </c>
      <c r="F1157" s="3" t="n">
        <f aca="false">YEAR(A1157)*100+MONTH(A1157)</f>
        <v>202604</v>
      </c>
    </row>
    <row r="1158" customFormat="false" ht="15" hidden="false" customHeight="false" outlineLevel="0" collapsed="false">
      <c r="A1158" s="2" t="n">
        <v>46134</v>
      </c>
      <c r="B1158" s="3" t="s">
        <v>536</v>
      </c>
      <c r="C1158" s="0" t="n">
        <v>203</v>
      </c>
      <c r="D1158" s="0" t="n">
        <v>1</v>
      </c>
      <c r="E1158" s="0" t="str">
        <f aca="false">INDEX(lot!$B$2:$B$1201,MATCH(B1158,lot!$A$2:$A$1201,0))</f>
        <v>SUP-A</v>
      </c>
      <c r="F1158" s="3" t="n">
        <f aca="false">YEAR(A1158)*100+MONTH(A1158)</f>
        <v>202604</v>
      </c>
    </row>
    <row r="1159" customFormat="false" ht="15" hidden="false" customHeight="false" outlineLevel="0" collapsed="false">
      <c r="A1159" s="2" t="n">
        <v>46134</v>
      </c>
      <c r="B1159" s="3" t="s">
        <v>536</v>
      </c>
      <c r="C1159" s="0" t="n">
        <v>164</v>
      </c>
      <c r="D1159" s="0" t="n">
        <v>0</v>
      </c>
      <c r="E1159" s="0" t="str">
        <f aca="false">INDEX(lot!$B$2:$B$1201,MATCH(B1159,lot!$A$2:$A$1201,0))</f>
        <v>SUP-A</v>
      </c>
      <c r="F1159" s="3" t="n">
        <f aca="false">YEAR(A1159)*100+MONTH(A1159)</f>
        <v>202604</v>
      </c>
    </row>
    <row r="1160" customFormat="false" ht="15" hidden="false" customHeight="false" outlineLevel="0" collapsed="false">
      <c r="A1160" s="2" t="n">
        <v>46134</v>
      </c>
      <c r="B1160" s="3" t="s">
        <v>551</v>
      </c>
      <c r="C1160" s="0" t="n">
        <v>200</v>
      </c>
      <c r="D1160" s="0" t="n">
        <v>6</v>
      </c>
      <c r="E1160" s="0" t="str">
        <f aca="false">INDEX(lot!$B$2:$B$1201,MATCH(B1160,lot!$A$2:$A$1201,0))</f>
        <v>SUP-C</v>
      </c>
      <c r="F1160" s="3" t="n">
        <f aca="false">YEAR(A1160)*100+MONTH(A1160)</f>
        <v>202604</v>
      </c>
    </row>
    <row r="1161" customFormat="false" ht="15" hidden="false" customHeight="false" outlineLevel="0" collapsed="false">
      <c r="A1161" s="2" t="n">
        <v>46134</v>
      </c>
      <c r="B1161" s="3" t="s">
        <v>639</v>
      </c>
      <c r="C1161" s="0" t="n">
        <v>188</v>
      </c>
      <c r="D1161" s="0" t="n">
        <v>4</v>
      </c>
      <c r="E1161" s="0" t="str">
        <f aca="false">INDEX(lot!$B$2:$B$1201,MATCH(B1161,lot!$A$2:$A$1201,0))</f>
        <v>SUP-C</v>
      </c>
      <c r="F1161" s="3" t="n">
        <f aca="false">YEAR(A1161)*100+MONTH(A1161)</f>
        <v>202604</v>
      </c>
    </row>
    <row r="1162" customFormat="false" ht="15" hidden="false" customHeight="false" outlineLevel="0" collapsed="false">
      <c r="A1162" s="2" t="n">
        <v>46134</v>
      </c>
      <c r="B1162" s="3" t="s">
        <v>639</v>
      </c>
      <c r="C1162" s="0" t="n">
        <v>218</v>
      </c>
      <c r="D1162" s="0" t="n">
        <v>4</v>
      </c>
      <c r="E1162" s="0" t="str">
        <f aca="false">INDEX(lot!$B$2:$B$1201,MATCH(B1162,lot!$A$2:$A$1201,0))</f>
        <v>SUP-C</v>
      </c>
      <c r="F1162" s="3" t="n">
        <f aca="false">YEAR(A1162)*100+MONTH(A1162)</f>
        <v>202604</v>
      </c>
    </row>
    <row r="1163" customFormat="false" ht="15" hidden="false" customHeight="false" outlineLevel="0" collapsed="false">
      <c r="A1163" s="2" t="n">
        <v>46134</v>
      </c>
      <c r="B1163" s="3" t="s">
        <v>672</v>
      </c>
      <c r="C1163" s="0" t="n">
        <v>106</v>
      </c>
      <c r="D1163" s="0" t="n">
        <v>1</v>
      </c>
      <c r="E1163" s="0" t="str">
        <f aca="false">INDEX(lot!$B$2:$B$1201,MATCH(B1163,lot!$A$2:$A$1201,0))</f>
        <v>SUP-A</v>
      </c>
      <c r="F1163" s="3" t="n">
        <f aca="false">YEAR(A1163)*100+MONTH(A1163)</f>
        <v>202604</v>
      </c>
    </row>
    <row r="1164" customFormat="false" ht="15" hidden="false" customHeight="false" outlineLevel="0" collapsed="false">
      <c r="A1164" s="2" t="n">
        <v>46134</v>
      </c>
      <c r="B1164" s="3" t="s">
        <v>672</v>
      </c>
      <c r="C1164" s="0" t="n">
        <v>205</v>
      </c>
      <c r="D1164" s="0" t="n">
        <v>3</v>
      </c>
      <c r="E1164" s="0" t="str">
        <f aca="false">INDEX(lot!$B$2:$B$1201,MATCH(B1164,lot!$A$2:$A$1201,0))</f>
        <v>SUP-A</v>
      </c>
      <c r="F1164" s="3" t="n">
        <f aca="false">YEAR(A1164)*100+MONTH(A1164)</f>
        <v>202604</v>
      </c>
    </row>
    <row r="1165" customFormat="false" ht="15" hidden="false" customHeight="false" outlineLevel="0" collapsed="false">
      <c r="A1165" s="2" t="n">
        <v>46134</v>
      </c>
      <c r="B1165" s="3" t="s">
        <v>835</v>
      </c>
      <c r="C1165" s="0" t="n">
        <v>207</v>
      </c>
      <c r="D1165" s="0" t="n">
        <v>3</v>
      </c>
      <c r="E1165" s="0" t="str">
        <f aca="false">INDEX(lot!$B$2:$B$1201,MATCH(B1165,lot!$A$2:$A$1201,0))</f>
        <v>SUP-E</v>
      </c>
      <c r="F1165" s="3" t="n">
        <f aca="false">YEAR(A1165)*100+MONTH(A1165)</f>
        <v>202604</v>
      </c>
    </row>
    <row r="1166" customFormat="false" ht="15" hidden="false" customHeight="false" outlineLevel="0" collapsed="false">
      <c r="A1166" s="2" t="n">
        <v>46134</v>
      </c>
      <c r="B1166" s="3" t="s">
        <v>835</v>
      </c>
      <c r="C1166" s="0" t="n">
        <v>226</v>
      </c>
      <c r="D1166" s="0" t="n">
        <v>2</v>
      </c>
      <c r="E1166" s="0" t="str">
        <f aca="false">INDEX(lot!$B$2:$B$1201,MATCH(B1166,lot!$A$2:$A$1201,0))</f>
        <v>SUP-E</v>
      </c>
      <c r="F1166" s="3" t="n">
        <f aca="false">YEAR(A1166)*100+MONTH(A1166)</f>
        <v>202604</v>
      </c>
    </row>
    <row r="1167" customFormat="false" ht="15" hidden="false" customHeight="false" outlineLevel="0" collapsed="false">
      <c r="A1167" s="2" t="n">
        <v>46134</v>
      </c>
      <c r="B1167" s="3" t="s">
        <v>961</v>
      </c>
      <c r="C1167" s="0" t="n">
        <v>94</v>
      </c>
      <c r="D1167" s="0" t="n">
        <v>2</v>
      </c>
      <c r="E1167" s="0" t="str">
        <f aca="false">INDEX(lot!$B$2:$B$1201,MATCH(B1167,lot!$A$2:$A$1201,0))</f>
        <v>SUP-C</v>
      </c>
      <c r="F1167" s="3" t="n">
        <f aca="false">YEAR(A1167)*100+MONTH(A1167)</f>
        <v>202604</v>
      </c>
    </row>
    <row r="1168" customFormat="false" ht="15" hidden="false" customHeight="false" outlineLevel="0" collapsed="false">
      <c r="A1168" s="2" t="n">
        <v>46134</v>
      </c>
      <c r="B1168" s="3" t="s">
        <v>1091</v>
      </c>
      <c r="C1168" s="0" t="n">
        <v>71</v>
      </c>
      <c r="D1168" s="0" t="n">
        <v>1</v>
      </c>
      <c r="E1168" s="0" t="str">
        <f aca="false">INDEX(lot!$B$2:$B$1201,MATCH(B1168,lot!$A$2:$A$1201,0))</f>
        <v>SUP-C</v>
      </c>
      <c r="F1168" s="3" t="n">
        <f aca="false">YEAR(A1168)*100+MONTH(A1168)</f>
        <v>202604</v>
      </c>
    </row>
    <row r="1169" customFormat="false" ht="15" hidden="false" customHeight="false" outlineLevel="0" collapsed="false">
      <c r="A1169" s="2" t="n">
        <v>46134</v>
      </c>
      <c r="B1169" s="3" t="s">
        <v>1091</v>
      </c>
      <c r="C1169" s="0" t="n">
        <v>123</v>
      </c>
      <c r="D1169" s="0" t="n">
        <v>3</v>
      </c>
      <c r="E1169" s="0" t="str">
        <f aca="false">INDEX(lot!$B$2:$B$1201,MATCH(B1169,lot!$A$2:$A$1201,0))</f>
        <v>SUP-C</v>
      </c>
      <c r="F1169" s="3" t="n">
        <f aca="false">YEAR(A1169)*100+MONTH(A1169)</f>
        <v>202604</v>
      </c>
    </row>
    <row r="1170" customFormat="false" ht="15" hidden="false" customHeight="false" outlineLevel="0" collapsed="false">
      <c r="A1170" s="2" t="n">
        <v>46134</v>
      </c>
      <c r="B1170" s="3" t="s">
        <v>1096</v>
      </c>
      <c r="C1170" s="0" t="n">
        <v>76</v>
      </c>
      <c r="D1170" s="0" t="n">
        <v>1</v>
      </c>
      <c r="E1170" s="0" t="str">
        <f aca="false">INDEX(lot!$B$2:$B$1201,MATCH(B1170,lot!$A$2:$A$1201,0))</f>
        <v>SUP-E</v>
      </c>
      <c r="F1170" s="3" t="n">
        <f aca="false">YEAR(A1170)*100+MONTH(A1170)</f>
        <v>202604</v>
      </c>
    </row>
    <row r="1171" customFormat="false" ht="15" hidden="false" customHeight="false" outlineLevel="0" collapsed="false">
      <c r="A1171" s="2" t="n">
        <v>46134</v>
      </c>
      <c r="B1171" s="3" t="s">
        <v>1096</v>
      </c>
      <c r="C1171" s="0" t="n">
        <v>162</v>
      </c>
      <c r="D1171" s="0" t="n">
        <v>3</v>
      </c>
      <c r="E1171" s="0" t="str">
        <f aca="false">INDEX(lot!$B$2:$B$1201,MATCH(B1171,lot!$A$2:$A$1201,0))</f>
        <v>SUP-E</v>
      </c>
      <c r="F1171" s="3" t="n">
        <f aca="false">YEAR(A1171)*100+MONTH(A1171)</f>
        <v>202604</v>
      </c>
    </row>
    <row r="1172" customFormat="false" ht="15" hidden="false" customHeight="false" outlineLevel="0" collapsed="false">
      <c r="A1172" s="2" t="n">
        <v>46134</v>
      </c>
      <c r="B1172" s="3" t="s">
        <v>1137</v>
      </c>
      <c r="C1172" s="0" t="n">
        <v>71</v>
      </c>
      <c r="D1172" s="0" t="n">
        <v>0</v>
      </c>
      <c r="E1172" s="0" t="str">
        <f aca="false">INDEX(lot!$B$2:$B$1201,MATCH(B1172,lot!$A$2:$A$1201,0))</f>
        <v>SUP-A</v>
      </c>
      <c r="F1172" s="3" t="n">
        <f aca="false">YEAR(A1172)*100+MONTH(A1172)</f>
        <v>202604</v>
      </c>
    </row>
    <row r="1173" customFormat="false" ht="15" hidden="false" customHeight="false" outlineLevel="0" collapsed="false">
      <c r="A1173" s="2" t="n">
        <v>46134</v>
      </c>
      <c r="B1173" s="3" t="s">
        <v>1179</v>
      </c>
      <c r="C1173" s="0" t="n">
        <v>228</v>
      </c>
      <c r="D1173" s="0" t="n">
        <v>6</v>
      </c>
      <c r="E1173" s="0" t="str">
        <f aca="false">INDEX(lot!$B$2:$B$1201,MATCH(B1173,lot!$A$2:$A$1201,0))</f>
        <v>SUP-C</v>
      </c>
      <c r="F1173" s="3" t="n">
        <f aca="false">YEAR(A1173)*100+MONTH(A1173)</f>
        <v>202604</v>
      </c>
    </row>
    <row r="1174" customFormat="false" ht="15" hidden="false" customHeight="false" outlineLevel="0" collapsed="false">
      <c r="A1174" s="2" t="n">
        <v>46134</v>
      </c>
      <c r="B1174" s="3" t="s">
        <v>1179</v>
      </c>
      <c r="C1174" s="0" t="n">
        <v>251</v>
      </c>
      <c r="D1174" s="0" t="n">
        <v>5</v>
      </c>
      <c r="E1174" s="0" t="str">
        <f aca="false">INDEX(lot!$B$2:$B$1201,MATCH(B1174,lot!$A$2:$A$1201,0))</f>
        <v>SUP-C</v>
      </c>
      <c r="F1174" s="3" t="n">
        <f aca="false">YEAR(A1174)*100+MONTH(A1174)</f>
        <v>202604</v>
      </c>
    </row>
    <row r="1175" customFormat="false" ht="15" hidden="false" customHeight="false" outlineLevel="0" collapsed="false">
      <c r="A1175" s="2" t="n">
        <v>46135</v>
      </c>
      <c r="B1175" s="3" t="s">
        <v>17</v>
      </c>
      <c r="C1175" s="0" t="n">
        <v>88</v>
      </c>
      <c r="D1175" s="0" t="n">
        <v>0</v>
      </c>
      <c r="E1175" s="0" t="str">
        <f aca="false">INDEX(lot!$B$2:$B$1201,MATCH(B1175,lot!$A$2:$A$1201,0))</f>
        <v>SUP-E</v>
      </c>
      <c r="F1175" s="3" t="n">
        <f aca="false">YEAR(A1175)*100+MONTH(A1175)</f>
        <v>202604</v>
      </c>
    </row>
    <row r="1176" customFormat="false" ht="15" hidden="false" customHeight="false" outlineLevel="0" collapsed="false">
      <c r="A1176" s="2" t="n">
        <v>46135</v>
      </c>
      <c r="B1176" s="3" t="s">
        <v>17</v>
      </c>
      <c r="C1176" s="0" t="n">
        <v>20</v>
      </c>
      <c r="D1176" s="0" t="n">
        <v>0</v>
      </c>
      <c r="E1176" s="0" t="str">
        <f aca="false">INDEX(lot!$B$2:$B$1201,MATCH(B1176,lot!$A$2:$A$1201,0))</f>
        <v>SUP-E</v>
      </c>
      <c r="F1176" s="3" t="n">
        <f aca="false">YEAR(A1176)*100+MONTH(A1176)</f>
        <v>202604</v>
      </c>
    </row>
    <row r="1177" customFormat="false" ht="15" hidden="false" customHeight="false" outlineLevel="0" collapsed="false">
      <c r="A1177" s="2" t="n">
        <v>46135</v>
      </c>
      <c r="B1177" s="3" t="s">
        <v>51</v>
      </c>
      <c r="C1177" s="0" t="n">
        <v>198</v>
      </c>
      <c r="D1177" s="0" t="n">
        <v>6</v>
      </c>
      <c r="E1177" s="0" t="str">
        <f aca="false">INDEX(lot!$B$2:$B$1201,MATCH(B1177,lot!$A$2:$A$1201,0))</f>
        <v>SUP-C</v>
      </c>
      <c r="F1177" s="3" t="n">
        <f aca="false">YEAR(A1177)*100+MONTH(A1177)</f>
        <v>202604</v>
      </c>
    </row>
    <row r="1178" customFormat="false" ht="15" hidden="false" customHeight="false" outlineLevel="0" collapsed="false">
      <c r="A1178" s="2" t="n">
        <v>46135</v>
      </c>
      <c r="B1178" s="3" t="s">
        <v>76</v>
      </c>
      <c r="C1178" s="0" t="n">
        <v>230</v>
      </c>
      <c r="D1178" s="0" t="n">
        <v>6</v>
      </c>
      <c r="E1178" s="0" t="str">
        <f aca="false">INDEX(lot!$B$2:$B$1201,MATCH(B1178,lot!$A$2:$A$1201,0))</f>
        <v>SUP-C</v>
      </c>
      <c r="F1178" s="3" t="n">
        <f aca="false">YEAR(A1178)*100+MONTH(A1178)</f>
        <v>202604</v>
      </c>
    </row>
    <row r="1179" customFormat="false" ht="15" hidden="false" customHeight="false" outlineLevel="0" collapsed="false">
      <c r="A1179" s="2" t="n">
        <v>46135</v>
      </c>
      <c r="B1179" s="3" t="s">
        <v>89</v>
      </c>
      <c r="C1179" s="0" t="n">
        <v>130</v>
      </c>
      <c r="D1179" s="0" t="n">
        <v>1</v>
      </c>
      <c r="E1179" s="0" t="str">
        <f aca="false">INDEX(lot!$B$2:$B$1201,MATCH(B1179,lot!$A$2:$A$1201,0))</f>
        <v>SUP-E</v>
      </c>
      <c r="F1179" s="3" t="n">
        <f aca="false">YEAR(A1179)*100+MONTH(A1179)</f>
        <v>202604</v>
      </c>
    </row>
    <row r="1180" customFormat="false" ht="15" hidden="false" customHeight="false" outlineLevel="0" collapsed="false">
      <c r="A1180" s="2" t="n">
        <v>46135</v>
      </c>
      <c r="B1180" s="3" t="s">
        <v>91</v>
      </c>
      <c r="C1180" s="0" t="n">
        <v>79</v>
      </c>
      <c r="D1180" s="0" t="n">
        <v>1</v>
      </c>
      <c r="E1180" s="0" t="str">
        <f aca="false">INDEX(lot!$B$2:$B$1201,MATCH(B1180,lot!$A$2:$A$1201,0))</f>
        <v>SUP-B</v>
      </c>
      <c r="F1180" s="3" t="n">
        <f aca="false">YEAR(A1180)*100+MONTH(A1180)</f>
        <v>202604</v>
      </c>
    </row>
    <row r="1181" customFormat="false" ht="15" hidden="false" customHeight="false" outlineLevel="0" collapsed="false">
      <c r="A1181" s="2" t="n">
        <v>46135</v>
      </c>
      <c r="B1181" s="3" t="s">
        <v>91</v>
      </c>
      <c r="C1181" s="0" t="n">
        <v>182</v>
      </c>
      <c r="D1181" s="0" t="n">
        <v>0</v>
      </c>
      <c r="E1181" s="0" t="str">
        <f aca="false">INDEX(lot!$B$2:$B$1201,MATCH(B1181,lot!$A$2:$A$1201,0))</f>
        <v>SUP-B</v>
      </c>
      <c r="F1181" s="3" t="n">
        <f aca="false">YEAR(A1181)*100+MONTH(A1181)</f>
        <v>202604</v>
      </c>
    </row>
    <row r="1182" customFormat="false" ht="15" hidden="false" customHeight="false" outlineLevel="0" collapsed="false">
      <c r="A1182" s="2" t="n">
        <v>46135</v>
      </c>
      <c r="B1182" s="3" t="s">
        <v>136</v>
      </c>
      <c r="C1182" s="0" t="n">
        <v>250</v>
      </c>
      <c r="D1182" s="0" t="n">
        <v>3</v>
      </c>
      <c r="E1182" s="0" t="str">
        <f aca="false">INDEX(lot!$B$2:$B$1201,MATCH(B1182,lot!$A$2:$A$1201,0))</f>
        <v>SUP-B</v>
      </c>
      <c r="F1182" s="3" t="n">
        <f aca="false">YEAR(A1182)*100+MONTH(A1182)</f>
        <v>202604</v>
      </c>
    </row>
    <row r="1183" customFormat="false" ht="15" hidden="false" customHeight="false" outlineLevel="0" collapsed="false">
      <c r="A1183" s="2" t="n">
        <v>46135</v>
      </c>
      <c r="B1183" s="3" t="s">
        <v>426</v>
      </c>
      <c r="C1183" s="0" t="n">
        <v>199</v>
      </c>
      <c r="D1183" s="0" t="n">
        <v>3</v>
      </c>
      <c r="E1183" s="0" t="str">
        <f aca="false">INDEX(lot!$B$2:$B$1201,MATCH(B1183,lot!$A$2:$A$1201,0))</f>
        <v>SUP-D</v>
      </c>
      <c r="F1183" s="3" t="n">
        <f aca="false">YEAR(A1183)*100+MONTH(A1183)</f>
        <v>202604</v>
      </c>
    </row>
    <row r="1184" customFormat="false" ht="15" hidden="false" customHeight="false" outlineLevel="0" collapsed="false">
      <c r="A1184" s="2" t="n">
        <v>46135</v>
      </c>
      <c r="B1184" s="3" t="s">
        <v>434</v>
      </c>
      <c r="C1184" s="0" t="n">
        <v>157</v>
      </c>
      <c r="D1184" s="0" t="n">
        <v>2</v>
      </c>
      <c r="E1184" s="0" t="str">
        <f aca="false">INDEX(lot!$B$2:$B$1201,MATCH(B1184,lot!$A$2:$A$1201,0))</f>
        <v>SUP-A</v>
      </c>
      <c r="F1184" s="3" t="n">
        <f aca="false">YEAR(A1184)*100+MONTH(A1184)</f>
        <v>202604</v>
      </c>
    </row>
    <row r="1185" customFormat="false" ht="15" hidden="false" customHeight="false" outlineLevel="0" collapsed="false">
      <c r="A1185" s="2" t="n">
        <v>46135</v>
      </c>
      <c r="B1185" s="3" t="s">
        <v>496</v>
      </c>
      <c r="C1185" s="0" t="n">
        <v>211</v>
      </c>
      <c r="D1185" s="0" t="n">
        <v>7</v>
      </c>
      <c r="E1185" s="0" t="str">
        <f aca="false">INDEX(lot!$B$2:$B$1201,MATCH(B1185,lot!$A$2:$A$1201,0))</f>
        <v>SUP-D</v>
      </c>
      <c r="F1185" s="3" t="n">
        <f aca="false">YEAR(A1185)*100+MONTH(A1185)</f>
        <v>202604</v>
      </c>
    </row>
    <row r="1186" customFormat="false" ht="15" hidden="false" customHeight="false" outlineLevel="0" collapsed="false">
      <c r="A1186" s="2" t="n">
        <v>46135</v>
      </c>
      <c r="B1186" s="3" t="s">
        <v>516</v>
      </c>
      <c r="C1186" s="0" t="n">
        <v>207</v>
      </c>
      <c r="D1186" s="0" t="n">
        <v>2</v>
      </c>
      <c r="E1186" s="0" t="str">
        <f aca="false">INDEX(lot!$B$2:$B$1201,MATCH(B1186,lot!$A$2:$A$1201,0))</f>
        <v>SUP-A</v>
      </c>
      <c r="F1186" s="3" t="n">
        <f aca="false">YEAR(A1186)*100+MONTH(A1186)</f>
        <v>202604</v>
      </c>
    </row>
    <row r="1187" customFormat="false" ht="15" hidden="false" customHeight="false" outlineLevel="0" collapsed="false">
      <c r="A1187" s="2" t="n">
        <v>46135</v>
      </c>
      <c r="B1187" s="3" t="s">
        <v>516</v>
      </c>
      <c r="C1187" s="0" t="n">
        <v>213</v>
      </c>
      <c r="D1187" s="0" t="n">
        <v>3</v>
      </c>
      <c r="E1187" s="0" t="str">
        <f aca="false">INDEX(lot!$B$2:$B$1201,MATCH(B1187,lot!$A$2:$A$1201,0))</f>
        <v>SUP-A</v>
      </c>
      <c r="F1187" s="3" t="n">
        <f aca="false">YEAR(A1187)*100+MONTH(A1187)</f>
        <v>202604</v>
      </c>
    </row>
    <row r="1188" customFormat="false" ht="15" hidden="false" customHeight="false" outlineLevel="0" collapsed="false">
      <c r="A1188" s="2" t="n">
        <v>46135</v>
      </c>
      <c r="B1188" s="3" t="s">
        <v>551</v>
      </c>
      <c r="C1188" s="0" t="n">
        <v>154</v>
      </c>
      <c r="D1188" s="0" t="n">
        <v>2</v>
      </c>
      <c r="E1188" s="0" t="str">
        <f aca="false">INDEX(lot!$B$2:$B$1201,MATCH(B1188,lot!$A$2:$A$1201,0))</f>
        <v>SUP-C</v>
      </c>
      <c r="F1188" s="3" t="n">
        <f aca="false">YEAR(A1188)*100+MONTH(A1188)</f>
        <v>202604</v>
      </c>
    </row>
    <row r="1189" customFormat="false" ht="15" hidden="false" customHeight="false" outlineLevel="0" collapsed="false">
      <c r="A1189" s="2" t="n">
        <v>46135</v>
      </c>
      <c r="B1189" s="3" t="s">
        <v>551</v>
      </c>
      <c r="C1189" s="0" t="n">
        <v>252</v>
      </c>
      <c r="D1189" s="0" t="n">
        <v>7</v>
      </c>
      <c r="E1189" s="0" t="str">
        <f aca="false">INDEX(lot!$B$2:$B$1201,MATCH(B1189,lot!$A$2:$A$1201,0))</f>
        <v>SUP-C</v>
      </c>
      <c r="F1189" s="3" t="n">
        <f aca="false">YEAR(A1189)*100+MONTH(A1189)</f>
        <v>202604</v>
      </c>
    </row>
    <row r="1190" customFormat="false" ht="15" hidden="false" customHeight="false" outlineLevel="0" collapsed="false">
      <c r="A1190" s="2" t="n">
        <v>46135</v>
      </c>
      <c r="B1190" s="3" t="s">
        <v>628</v>
      </c>
      <c r="C1190" s="0" t="n">
        <v>90</v>
      </c>
      <c r="D1190" s="0" t="n">
        <v>1</v>
      </c>
      <c r="E1190" s="0" t="str">
        <f aca="false">INDEX(lot!$B$2:$B$1201,MATCH(B1190,lot!$A$2:$A$1201,0))</f>
        <v>SUP-C</v>
      </c>
      <c r="F1190" s="3" t="n">
        <f aca="false">YEAR(A1190)*100+MONTH(A1190)</f>
        <v>202604</v>
      </c>
    </row>
    <row r="1191" customFormat="false" ht="15" hidden="false" customHeight="false" outlineLevel="0" collapsed="false">
      <c r="A1191" s="2" t="n">
        <v>46135</v>
      </c>
      <c r="B1191" s="3" t="s">
        <v>628</v>
      </c>
      <c r="C1191" s="0" t="n">
        <v>152</v>
      </c>
      <c r="D1191" s="0" t="n">
        <v>3</v>
      </c>
      <c r="E1191" s="0" t="str">
        <f aca="false">INDEX(lot!$B$2:$B$1201,MATCH(B1191,lot!$A$2:$A$1201,0))</f>
        <v>SUP-C</v>
      </c>
      <c r="F1191" s="3" t="n">
        <f aca="false">YEAR(A1191)*100+MONTH(A1191)</f>
        <v>202604</v>
      </c>
    </row>
    <row r="1192" customFormat="false" ht="15" hidden="false" customHeight="false" outlineLevel="0" collapsed="false">
      <c r="A1192" s="2" t="n">
        <v>46135</v>
      </c>
      <c r="B1192" s="3" t="s">
        <v>639</v>
      </c>
      <c r="C1192" s="0" t="n">
        <v>159</v>
      </c>
      <c r="D1192" s="0" t="n">
        <v>5</v>
      </c>
      <c r="E1192" s="0" t="str">
        <f aca="false">INDEX(lot!$B$2:$B$1201,MATCH(B1192,lot!$A$2:$A$1201,0))</f>
        <v>SUP-C</v>
      </c>
      <c r="F1192" s="3" t="n">
        <f aca="false">YEAR(A1192)*100+MONTH(A1192)</f>
        <v>202604</v>
      </c>
    </row>
    <row r="1193" customFormat="false" ht="15" hidden="false" customHeight="false" outlineLevel="0" collapsed="false">
      <c r="A1193" s="2" t="n">
        <v>46135</v>
      </c>
      <c r="B1193" s="3" t="s">
        <v>639</v>
      </c>
      <c r="C1193" s="0" t="n">
        <v>147</v>
      </c>
      <c r="D1193" s="0" t="n">
        <v>5</v>
      </c>
      <c r="E1193" s="0" t="str">
        <f aca="false">INDEX(lot!$B$2:$B$1201,MATCH(B1193,lot!$A$2:$A$1201,0))</f>
        <v>SUP-C</v>
      </c>
      <c r="F1193" s="3" t="n">
        <f aca="false">YEAR(A1193)*100+MONTH(A1193)</f>
        <v>202604</v>
      </c>
    </row>
    <row r="1194" customFormat="false" ht="15" hidden="false" customHeight="false" outlineLevel="0" collapsed="false">
      <c r="A1194" s="2" t="n">
        <v>46135</v>
      </c>
      <c r="B1194" s="3" t="s">
        <v>667</v>
      </c>
      <c r="C1194" s="0" t="n">
        <v>75</v>
      </c>
      <c r="D1194" s="0" t="n">
        <v>5</v>
      </c>
      <c r="E1194" s="0" t="str">
        <f aca="false">INDEX(lot!$B$2:$B$1201,MATCH(B1194,lot!$A$2:$A$1201,0))</f>
        <v>SUP-D</v>
      </c>
      <c r="F1194" s="3" t="n">
        <f aca="false">YEAR(A1194)*100+MONTH(A1194)</f>
        <v>202604</v>
      </c>
    </row>
    <row r="1195" customFormat="false" ht="15" hidden="false" customHeight="false" outlineLevel="0" collapsed="false">
      <c r="A1195" s="2" t="n">
        <v>46135</v>
      </c>
      <c r="B1195" s="3" t="s">
        <v>835</v>
      </c>
      <c r="C1195" s="0" t="n">
        <v>244</v>
      </c>
      <c r="D1195" s="0" t="n">
        <v>2</v>
      </c>
      <c r="E1195" s="0" t="str">
        <f aca="false">INDEX(lot!$B$2:$B$1201,MATCH(B1195,lot!$A$2:$A$1201,0))</f>
        <v>SUP-E</v>
      </c>
      <c r="F1195" s="3" t="n">
        <f aca="false">YEAR(A1195)*100+MONTH(A1195)</f>
        <v>202604</v>
      </c>
    </row>
    <row r="1196" customFormat="false" ht="15" hidden="false" customHeight="false" outlineLevel="0" collapsed="false">
      <c r="A1196" s="2" t="n">
        <v>46135</v>
      </c>
      <c r="B1196" s="3" t="s">
        <v>835</v>
      </c>
      <c r="C1196" s="0" t="n">
        <v>180</v>
      </c>
      <c r="D1196" s="0" t="n">
        <v>1</v>
      </c>
      <c r="E1196" s="0" t="str">
        <f aca="false">INDEX(lot!$B$2:$B$1201,MATCH(B1196,lot!$A$2:$A$1201,0))</f>
        <v>SUP-E</v>
      </c>
      <c r="F1196" s="3" t="n">
        <f aca="false">YEAR(A1196)*100+MONTH(A1196)</f>
        <v>202604</v>
      </c>
    </row>
    <row r="1197" customFormat="false" ht="15" hidden="false" customHeight="false" outlineLevel="0" collapsed="false">
      <c r="A1197" s="2" t="n">
        <v>46135</v>
      </c>
      <c r="B1197" s="3" t="s">
        <v>979</v>
      </c>
      <c r="C1197" s="0" t="n">
        <v>100</v>
      </c>
      <c r="D1197" s="0" t="n">
        <v>0</v>
      </c>
      <c r="E1197" s="0" t="str">
        <f aca="false">INDEX(lot!$B$2:$B$1201,MATCH(B1197,lot!$A$2:$A$1201,0))</f>
        <v>SUP-A</v>
      </c>
      <c r="F1197" s="3" t="n">
        <f aca="false">YEAR(A1197)*100+MONTH(A1197)</f>
        <v>202604</v>
      </c>
    </row>
    <row r="1198" customFormat="false" ht="15" hidden="false" customHeight="false" outlineLevel="0" collapsed="false">
      <c r="A1198" s="2" t="n">
        <v>46135</v>
      </c>
      <c r="B1198" s="3" t="s">
        <v>979</v>
      </c>
      <c r="C1198" s="0" t="n">
        <v>213</v>
      </c>
      <c r="D1198" s="0" t="n">
        <v>2</v>
      </c>
      <c r="E1198" s="0" t="str">
        <f aca="false">INDEX(lot!$B$2:$B$1201,MATCH(B1198,lot!$A$2:$A$1201,0))</f>
        <v>SUP-A</v>
      </c>
      <c r="F1198" s="3" t="n">
        <f aca="false">YEAR(A1198)*100+MONTH(A1198)</f>
        <v>202604</v>
      </c>
    </row>
    <row r="1199" customFormat="false" ht="15" hidden="false" customHeight="false" outlineLevel="0" collapsed="false">
      <c r="A1199" s="2" t="n">
        <v>46135</v>
      </c>
      <c r="B1199" s="3" t="s">
        <v>1068</v>
      </c>
      <c r="C1199" s="0" t="n">
        <v>202</v>
      </c>
      <c r="D1199" s="0" t="n">
        <v>4</v>
      </c>
      <c r="E1199" s="0" t="str">
        <f aca="false">INDEX(lot!$B$2:$B$1201,MATCH(B1199,lot!$A$2:$A$1201,0))</f>
        <v>SUP-D</v>
      </c>
      <c r="F1199" s="3" t="n">
        <f aca="false">YEAR(A1199)*100+MONTH(A1199)</f>
        <v>202604</v>
      </c>
    </row>
    <row r="1200" customFormat="false" ht="15" hidden="false" customHeight="false" outlineLevel="0" collapsed="false">
      <c r="A1200" s="2" t="n">
        <v>46135</v>
      </c>
      <c r="B1200" s="3" t="s">
        <v>1068</v>
      </c>
      <c r="C1200" s="0" t="n">
        <v>135</v>
      </c>
      <c r="D1200" s="0" t="n">
        <v>1</v>
      </c>
      <c r="E1200" s="0" t="str">
        <f aca="false">INDEX(lot!$B$2:$B$1201,MATCH(B1200,lot!$A$2:$A$1201,0))</f>
        <v>SUP-D</v>
      </c>
      <c r="F1200" s="3" t="n">
        <f aca="false">YEAR(A1200)*100+MONTH(A1200)</f>
        <v>202604</v>
      </c>
    </row>
    <row r="1201" customFormat="false" ht="15" hidden="false" customHeight="false" outlineLevel="0" collapsed="false">
      <c r="A1201" s="2" t="n">
        <v>46135</v>
      </c>
      <c r="B1201" s="3" t="s">
        <v>1088</v>
      </c>
      <c r="C1201" s="0" t="n">
        <v>174</v>
      </c>
      <c r="D1201" s="0" t="n">
        <v>2</v>
      </c>
      <c r="E1201" s="0" t="str">
        <f aca="false">INDEX(lot!$B$2:$B$1201,MATCH(B1201,lot!$A$2:$A$1201,0))</f>
        <v>SUP-A</v>
      </c>
      <c r="F1201" s="3" t="n">
        <f aca="false">YEAR(A1201)*100+MONTH(A1201)</f>
        <v>202604</v>
      </c>
    </row>
    <row r="1202" customFormat="false" ht="15" hidden="false" customHeight="false" outlineLevel="0" collapsed="false">
      <c r="A1202" s="2" t="n">
        <v>46135</v>
      </c>
      <c r="B1202" s="3" t="s">
        <v>1091</v>
      </c>
      <c r="C1202" s="0" t="n">
        <v>133</v>
      </c>
      <c r="D1202" s="0" t="n">
        <v>4</v>
      </c>
      <c r="E1202" s="0" t="str">
        <f aca="false">INDEX(lot!$B$2:$B$1201,MATCH(B1202,lot!$A$2:$A$1201,0))</f>
        <v>SUP-C</v>
      </c>
      <c r="F1202" s="3" t="n">
        <f aca="false">YEAR(A1202)*100+MONTH(A1202)</f>
        <v>202604</v>
      </c>
    </row>
    <row r="1203" customFormat="false" ht="15" hidden="false" customHeight="false" outlineLevel="0" collapsed="false">
      <c r="A1203" s="2" t="n">
        <v>46135</v>
      </c>
      <c r="B1203" s="3" t="s">
        <v>1091</v>
      </c>
      <c r="C1203" s="0" t="n">
        <v>124</v>
      </c>
      <c r="D1203" s="0" t="n">
        <v>0</v>
      </c>
      <c r="E1203" s="0" t="str">
        <f aca="false">INDEX(lot!$B$2:$B$1201,MATCH(B1203,lot!$A$2:$A$1201,0))</f>
        <v>SUP-C</v>
      </c>
      <c r="F1203" s="3" t="n">
        <f aca="false">YEAR(A1203)*100+MONTH(A1203)</f>
        <v>202604</v>
      </c>
    </row>
    <row r="1204" customFormat="false" ht="15" hidden="false" customHeight="false" outlineLevel="0" collapsed="false">
      <c r="A1204" s="2" t="n">
        <v>46135</v>
      </c>
      <c r="B1204" s="3" t="s">
        <v>1137</v>
      </c>
      <c r="C1204" s="0" t="n">
        <v>218</v>
      </c>
      <c r="D1204" s="0" t="n">
        <v>2</v>
      </c>
      <c r="E1204" s="0" t="str">
        <f aca="false">INDEX(lot!$B$2:$B$1201,MATCH(B1204,lot!$A$2:$A$1201,0))</f>
        <v>SUP-A</v>
      </c>
      <c r="F1204" s="3" t="n">
        <f aca="false">YEAR(A1204)*100+MONTH(A1204)</f>
        <v>202604</v>
      </c>
    </row>
    <row r="1205" customFormat="false" ht="15" hidden="false" customHeight="false" outlineLevel="0" collapsed="false">
      <c r="A1205" s="2" t="n">
        <v>46136</v>
      </c>
      <c r="B1205" s="3" t="s">
        <v>51</v>
      </c>
      <c r="C1205" s="0" t="n">
        <v>212</v>
      </c>
      <c r="D1205" s="0" t="n">
        <v>6</v>
      </c>
      <c r="E1205" s="0" t="str">
        <f aca="false">INDEX(lot!$B$2:$B$1201,MATCH(B1205,lot!$A$2:$A$1201,0))</f>
        <v>SUP-C</v>
      </c>
      <c r="F1205" s="3" t="n">
        <f aca="false">YEAR(A1205)*100+MONTH(A1205)</f>
        <v>202604</v>
      </c>
    </row>
    <row r="1206" customFormat="false" ht="15" hidden="false" customHeight="false" outlineLevel="0" collapsed="false">
      <c r="A1206" s="2" t="n">
        <v>46136</v>
      </c>
      <c r="B1206" s="3" t="s">
        <v>66</v>
      </c>
      <c r="C1206" s="0" t="n">
        <v>177</v>
      </c>
      <c r="D1206" s="0" t="n">
        <v>7</v>
      </c>
      <c r="E1206" s="0" t="str">
        <f aca="false">INDEX(lot!$B$2:$B$1201,MATCH(B1206,lot!$A$2:$A$1201,0))</f>
        <v>SUP-D</v>
      </c>
      <c r="F1206" s="3" t="n">
        <f aca="false">YEAR(A1206)*100+MONTH(A1206)</f>
        <v>202604</v>
      </c>
    </row>
    <row r="1207" customFormat="false" ht="15" hidden="false" customHeight="false" outlineLevel="0" collapsed="false">
      <c r="A1207" s="2" t="n">
        <v>46136</v>
      </c>
      <c r="B1207" s="3" t="s">
        <v>335</v>
      </c>
      <c r="C1207" s="0" t="n">
        <v>206</v>
      </c>
      <c r="D1207" s="0" t="n">
        <v>0</v>
      </c>
      <c r="E1207" s="0" t="str">
        <f aca="false">INDEX(lot!$B$2:$B$1201,MATCH(B1207,lot!$A$2:$A$1201,0))</f>
        <v>SUP-D</v>
      </c>
      <c r="F1207" s="3" t="n">
        <f aca="false">YEAR(A1207)*100+MONTH(A1207)</f>
        <v>202604</v>
      </c>
    </row>
    <row r="1208" customFormat="false" ht="15" hidden="false" customHeight="false" outlineLevel="0" collapsed="false">
      <c r="A1208" s="2" t="n">
        <v>46136</v>
      </c>
      <c r="B1208" s="3" t="s">
        <v>335</v>
      </c>
      <c r="C1208" s="0" t="n">
        <v>176</v>
      </c>
      <c r="D1208" s="0" t="n">
        <v>1</v>
      </c>
      <c r="E1208" s="0" t="str">
        <f aca="false">INDEX(lot!$B$2:$B$1201,MATCH(B1208,lot!$A$2:$A$1201,0))</f>
        <v>SUP-D</v>
      </c>
      <c r="F1208" s="3" t="n">
        <f aca="false">YEAR(A1208)*100+MONTH(A1208)</f>
        <v>202604</v>
      </c>
    </row>
    <row r="1209" customFormat="false" ht="15" hidden="false" customHeight="false" outlineLevel="0" collapsed="false">
      <c r="A1209" s="2" t="n">
        <v>46136</v>
      </c>
      <c r="B1209" s="3" t="s">
        <v>434</v>
      </c>
      <c r="C1209" s="0" t="n">
        <v>244</v>
      </c>
      <c r="D1209" s="0" t="n">
        <v>3</v>
      </c>
      <c r="E1209" s="0" t="str">
        <f aca="false">INDEX(lot!$B$2:$B$1201,MATCH(B1209,lot!$A$2:$A$1201,0))</f>
        <v>SUP-A</v>
      </c>
      <c r="F1209" s="3" t="n">
        <f aca="false">YEAR(A1209)*100+MONTH(A1209)</f>
        <v>202604</v>
      </c>
    </row>
    <row r="1210" customFormat="false" ht="15" hidden="false" customHeight="false" outlineLevel="0" collapsed="false">
      <c r="A1210" s="2" t="n">
        <v>46136</v>
      </c>
      <c r="B1210" s="3" t="s">
        <v>487</v>
      </c>
      <c r="C1210" s="0" t="n">
        <v>144</v>
      </c>
      <c r="D1210" s="0" t="n">
        <v>2</v>
      </c>
      <c r="E1210" s="0" t="str">
        <f aca="false">INDEX(lot!$B$2:$B$1201,MATCH(B1210,lot!$A$2:$A$1201,0))</f>
        <v>SUP-A</v>
      </c>
      <c r="F1210" s="3" t="n">
        <f aca="false">YEAR(A1210)*100+MONTH(A1210)</f>
        <v>202604</v>
      </c>
    </row>
    <row r="1211" customFormat="false" ht="15" hidden="false" customHeight="false" outlineLevel="0" collapsed="false">
      <c r="A1211" s="2" t="n">
        <v>46136</v>
      </c>
      <c r="B1211" s="3" t="s">
        <v>487</v>
      </c>
      <c r="C1211" s="0" t="n">
        <v>199</v>
      </c>
      <c r="D1211" s="0" t="n">
        <v>0</v>
      </c>
      <c r="E1211" s="0" t="str">
        <f aca="false">INDEX(lot!$B$2:$B$1201,MATCH(B1211,lot!$A$2:$A$1201,0))</f>
        <v>SUP-A</v>
      </c>
      <c r="F1211" s="3" t="n">
        <f aca="false">YEAR(A1211)*100+MONTH(A1211)</f>
        <v>202604</v>
      </c>
    </row>
    <row r="1212" customFormat="false" ht="15" hidden="false" customHeight="false" outlineLevel="0" collapsed="false">
      <c r="A1212" s="2" t="n">
        <v>46136</v>
      </c>
      <c r="B1212" s="3" t="s">
        <v>516</v>
      </c>
      <c r="C1212" s="0" t="n">
        <v>104</v>
      </c>
      <c r="D1212" s="0" t="n">
        <v>2</v>
      </c>
      <c r="E1212" s="0" t="str">
        <f aca="false">INDEX(lot!$B$2:$B$1201,MATCH(B1212,lot!$A$2:$A$1201,0))</f>
        <v>SUP-A</v>
      </c>
      <c r="F1212" s="3" t="n">
        <f aca="false">YEAR(A1212)*100+MONTH(A1212)</f>
        <v>202604</v>
      </c>
    </row>
    <row r="1213" customFormat="false" ht="15" hidden="false" customHeight="false" outlineLevel="0" collapsed="false">
      <c r="A1213" s="2" t="n">
        <v>46136</v>
      </c>
      <c r="B1213" s="3" t="s">
        <v>516</v>
      </c>
      <c r="C1213" s="0" t="n">
        <v>155</v>
      </c>
      <c r="D1213" s="0" t="n">
        <v>3</v>
      </c>
      <c r="E1213" s="0" t="str">
        <f aca="false">INDEX(lot!$B$2:$B$1201,MATCH(B1213,lot!$A$2:$A$1201,0))</f>
        <v>SUP-A</v>
      </c>
      <c r="F1213" s="3" t="n">
        <f aca="false">YEAR(A1213)*100+MONTH(A1213)</f>
        <v>202604</v>
      </c>
    </row>
    <row r="1214" customFormat="false" ht="15" hidden="false" customHeight="false" outlineLevel="0" collapsed="false">
      <c r="A1214" s="2" t="n">
        <v>46136</v>
      </c>
      <c r="B1214" s="3" t="s">
        <v>667</v>
      </c>
      <c r="C1214" s="0" t="n">
        <v>208</v>
      </c>
      <c r="D1214" s="0" t="n">
        <v>10</v>
      </c>
      <c r="E1214" s="0" t="str">
        <f aca="false">INDEX(lot!$B$2:$B$1201,MATCH(B1214,lot!$A$2:$A$1201,0))</f>
        <v>SUP-D</v>
      </c>
      <c r="F1214" s="3" t="n">
        <f aca="false">YEAR(A1214)*100+MONTH(A1214)</f>
        <v>202604</v>
      </c>
    </row>
    <row r="1215" customFormat="false" ht="15" hidden="false" customHeight="false" outlineLevel="0" collapsed="false">
      <c r="A1215" s="2" t="n">
        <v>46136</v>
      </c>
      <c r="B1215" s="3" t="s">
        <v>667</v>
      </c>
      <c r="C1215" s="0" t="n">
        <v>96</v>
      </c>
      <c r="D1215" s="0" t="n">
        <v>4</v>
      </c>
      <c r="E1215" s="0" t="str">
        <f aca="false">INDEX(lot!$B$2:$B$1201,MATCH(B1215,lot!$A$2:$A$1201,0))</f>
        <v>SUP-D</v>
      </c>
      <c r="F1215" s="3" t="n">
        <f aca="false">YEAR(A1215)*100+MONTH(A1215)</f>
        <v>202604</v>
      </c>
    </row>
    <row r="1216" customFormat="false" ht="15" hidden="false" customHeight="false" outlineLevel="0" collapsed="false">
      <c r="A1216" s="2" t="n">
        <v>46136</v>
      </c>
      <c r="B1216" s="3" t="s">
        <v>677</v>
      </c>
      <c r="C1216" s="0" t="n">
        <v>178</v>
      </c>
      <c r="D1216" s="0" t="n">
        <v>5</v>
      </c>
      <c r="E1216" s="0" t="str">
        <f aca="false">INDEX(lot!$B$2:$B$1201,MATCH(B1216,lot!$A$2:$A$1201,0))</f>
        <v>SUP-C</v>
      </c>
      <c r="F1216" s="3" t="n">
        <f aca="false">YEAR(A1216)*100+MONTH(A1216)</f>
        <v>202604</v>
      </c>
    </row>
    <row r="1217" customFormat="false" ht="15" hidden="false" customHeight="false" outlineLevel="0" collapsed="false">
      <c r="A1217" s="2" t="n">
        <v>46136</v>
      </c>
      <c r="B1217" s="3" t="s">
        <v>737</v>
      </c>
      <c r="C1217" s="0" t="n">
        <v>74</v>
      </c>
      <c r="D1217" s="0" t="n">
        <v>0</v>
      </c>
      <c r="E1217" s="0" t="str">
        <f aca="false">INDEX(lot!$B$2:$B$1201,MATCH(B1217,lot!$A$2:$A$1201,0))</f>
        <v>SUP-D</v>
      </c>
      <c r="F1217" s="3" t="n">
        <f aca="false">YEAR(A1217)*100+MONTH(A1217)</f>
        <v>202604</v>
      </c>
    </row>
    <row r="1218" customFormat="false" ht="15" hidden="false" customHeight="false" outlineLevel="0" collapsed="false">
      <c r="A1218" s="2" t="n">
        <v>46136</v>
      </c>
      <c r="B1218" s="3" t="s">
        <v>737</v>
      </c>
      <c r="C1218" s="0" t="n">
        <v>67</v>
      </c>
      <c r="D1218" s="0" t="n">
        <v>1</v>
      </c>
      <c r="E1218" s="0" t="str">
        <f aca="false">INDEX(lot!$B$2:$B$1201,MATCH(B1218,lot!$A$2:$A$1201,0))</f>
        <v>SUP-D</v>
      </c>
      <c r="F1218" s="3" t="n">
        <f aca="false">YEAR(A1218)*100+MONTH(A1218)</f>
        <v>202604</v>
      </c>
    </row>
    <row r="1219" customFormat="false" ht="15" hidden="false" customHeight="false" outlineLevel="0" collapsed="false">
      <c r="A1219" s="2" t="n">
        <v>46136</v>
      </c>
      <c r="B1219" s="3" t="s">
        <v>794</v>
      </c>
      <c r="C1219" s="0" t="n">
        <v>155</v>
      </c>
      <c r="D1219" s="0" t="n">
        <v>8</v>
      </c>
      <c r="E1219" s="0" t="str">
        <f aca="false">INDEX(lot!$B$2:$B$1201,MATCH(B1219,lot!$A$2:$A$1201,0))</f>
        <v>SUP-A</v>
      </c>
      <c r="F1219" s="3" t="n">
        <f aca="false">YEAR(A1219)*100+MONTH(A1219)</f>
        <v>202604</v>
      </c>
    </row>
    <row r="1220" customFormat="false" ht="15" hidden="false" customHeight="false" outlineLevel="0" collapsed="false">
      <c r="A1220" s="2" t="n">
        <v>46136</v>
      </c>
      <c r="B1220" s="3" t="s">
        <v>912</v>
      </c>
      <c r="C1220" s="0" t="n">
        <v>104</v>
      </c>
      <c r="D1220" s="0" t="n">
        <v>1</v>
      </c>
      <c r="E1220" s="0" t="str">
        <f aca="false">INDEX(lot!$B$2:$B$1201,MATCH(B1220,lot!$A$2:$A$1201,0))</f>
        <v>SUP-D</v>
      </c>
      <c r="F1220" s="3" t="n">
        <f aca="false">YEAR(A1220)*100+MONTH(A1220)</f>
        <v>202604</v>
      </c>
    </row>
    <row r="1221" customFormat="false" ht="15" hidden="false" customHeight="false" outlineLevel="0" collapsed="false">
      <c r="A1221" s="2" t="n">
        <v>46136</v>
      </c>
      <c r="B1221" s="3" t="s">
        <v>979</v>
      </c>
      <c r="C1221" s="0" t="n">
        <v>244</v>
      </c>
      <c r="D1221" s="0" t="n">
        <v>1</v>
      </c>
      <c r="E1221" s="0" t="str">
        <f aca="false">INDEX(lot!$B$2:$B$1201,MATCH(B1221,lot!$A$2:$A$1201,0))</f>
        <v>SUP-A</v>
      </c>
      <c r="F1221" s="3" t="n">
        <f aca="false">YEAR(A1221)*100+MONTH(A1221)</f>
        <v>202604</v>
      </c>
    </row>
    <row r="1222" customFormat="false" ht="15" hidden="false" customHeight="false" outlineLevel="0" collapsed="false">
      <c r="A1222" s="2" t="n">
        <v>46136</v>
      </c>
      <c r="B1222" s="3" t="s">
        <v>979</v>
      </c>
      <c r="C1222" s="0" t="n">
        <v>148</v>
      </c>
      <c r="D1222" s="0" t="n">
        <v>3</v>
      </c>
      <c r="E1222" s="0" t="str">
        <f aca="false">INDEX(lot!$B$2:$B$1201,MATCH(B1222,lot!$A$2:$A$1201,0))</f>
        <v>SUP-A</v>
      </c>
      <c r="F1222" s="3" t="n">
        <f aca="false">YEAR(A1222)*100+MONTH(A1222)</f>
        <v>202604</v>
      </c>
    </row>
    <row r="1223" customFormat="false" ht="15" hidden="false" customHeight="false" outlineLevel="0" collapsed="false">
      <c r="A1223" s="2" t="n">
        <v>46136</v>
      </c>
      <c r="B1223" s="3" t="s">
        <v>1023</v>
      </c>
      <c r="C1223" s="0" t="n">
        <v>173</v>
      </c>
      <c r="D1223" s="0" t="n">
        <v>1</v>
      </c>
      <c r="E1223" s="0" t="str">
        <f aca="false">INDEX(lot!$B$2:$B$1201,MATCH(B1223,lot!$A$2:$A$1201,0))</f>
        <v>SUP-E</v>
      </c>
      <c r="F1223" s="3" t="n">
        <f aca="false">YEAR(A1223)*100+MONTH(A1223)</f>
        <v>202604</v>
      </c>
    </row>
    <row r="1224" customFormat="false" ht="15" hidden="false" customHeight="false" outlineLevel="0" collapsed="false">
      <c r="A1224" s="2" t="n">
        <v>46136</v>
      </c>
      <c r="B1224" s="3" t="s">
        <v>1067</v>
      </c>
      <c r="C1224" s="0" t="n">
        <v>211</v>
      </c>
      <c r="D1224" s="0" t="n">
        <v>3</v>
      </c>
      <c r="E1224" s="0" t="str">
        <f aca="false">INDEX(lot!$B$2:$B$1201,MATCH(B1224,lot!$A$2:$A$1201,0))</f>
        <v>SUP-E</v>
      </c>
      <c r="F1224" s="3" t="n">
        <f aca="false">YEAR(A1224)*100+MONTH(A1224)</f>
        <v>202604</v>
      </c>
    </row>
    <row r="1225" customFormat="false" ht="15" hidden="false" customHeight="false" outlineLevel="0" collapsed="false">
      <c r="A1225" s="2" t="n">
        <v>46136</v>
      </c>
      <c r="B1225" s="3" t="s">
        <v>1068</v>
      </c>
      <c r="C1225" s="0" t="n">
        <v>116</v>
      </c>
      <c r="D1225" s="0" t="n">
        <v>2</v>
      </c>
      <c r="E1225" s="0" t="str">
        <f aca="false">INDEX(lot!$B$2:$B$1201,MATCH(B1225,lot!$A$2:$A$1201,0))</f>
        <v>SUP-D</v>
      </c>
      <c r="F1225" s="3" t="n">
        <f aca="false">YEAR(A1225)*100+MONTH(A1225)</f>
        <v>202604</v>
      </c>
    </row>
    <row r="1226" customFormat="false" ht="15" hidden="false" customHeight="false" outlineLevel="0" collapsed="false">
      <c r="A1226" s="2" t="n">
        <v>46136</v>
      </c>
      <c r="B1226" s="3" t="s">
        <v>1088</v>
      </c>
      <c r="C1226" s="0" t="n">
        <v>113</v>
      </c>
      <c r="D1226" s="0" t="n">
        <v>2</v>
      </c>
      <c r="E1226" s="0" t="str">
        <f aca="false">INDEX(lot!$B$2:$B$1201,MATCH(B1226,lot!$A$2:$A$1201,0))</f>
        <v>SUP-A</v>
      </c>
      <c r="F1226" s="3" t="n">
        <f aca="false">YEAR(A1226)*100+MONTH(A1226)</f>
        <v>202604</v>
      </c>
    </row>
    <row r="1227" customFormat="false" ht="15" hidden="false" customHeight="false" outlineLevel="0" collapsed="false">
      <c r="A1227" s="2" t="n">
        <v>46136</v>
      </c>
      <c r="B1227" s="3" t="s">
        <v>1088</v>
      </c>
      <c r="C1227" s="0" t="n">
        <v>121</v>
      </c>
      <c r="D1227" s="0" t="n">
        <v>1</v>
      </c>
      <c r="E1227" s="0" t="str">
        <f aca="false">INDEX(lot!$B$2:$B$1201,MATCH(B1227,lot!$A$2:$A$1201,0))</f>
        <v>SUP-A</v>
      </c>
      <c r="F1227" s="3" t="n">
        <f aca="false">YEAR(A1227)*100+MONTH(A1227)</f>
        <v>202604</v>
      </c>
    </row>
    <row r="1228" customFormat="false" ht="15" hidden="false" customHeight="false" outlineLevel="0" collapsed="false">
      <c r="A1228" s="2" t="n">
        <v>46136</v>
      </c>
      <c r="B1228" s="3" t="s">
        <v>1091</v>
      </c>
      <c r="C1228" s="0" t="n">
        <v>76</v>
      </c>
      <c r="D1228" s="0" t="n">
        <v>1</v>
      </c>
      <c r="E1228" s="0" t="str">
        <f aca="false">INDEX(lot!$B$2:$B$1201,MATCH(B1228,lot!$A$2:$A$1201,0))</f>
        <v>SUP-C</v>
      </c>
      <c r="F1228" s="3" t="n">
        <f aca="false">YEAR(A1228)*100+MONTH(A1228)</f>
        <v>202604</v>
      </c>
    </row>
    <row r="1229" customFormat="false" ht="15" hidden="false" customHeight="false" outlineLevel="0" collapsed="false">
      <c r="A1229" s="2" t="n">
        <v>46136</v>
      </c>
      <c r="B1229" s="3" t="s">
        <v>1140</v>
      </c>
      <c r="C1229" s="0" t="n">
        <v>101</v>
      </c>
      <c r="D1229" s="0" t="n">
        <v>1</v>
      </c>
      <c r="E1229" s="0" t="str">
        <f aca="false">INDEX(lot!$B$2:$B$1201,MATCH(B1229,lot!$A$2:$A$1201,0))</f>
        <v>SUP-C</v>
      </c>
      <c r="F1229" s="3" t="n">
        <f aca="false">YEAR(A1229)*100+MONTH(A1229)</f>
        <v>202604</v>
      </c>
    </row>
    <row r="1230" customFormat="false" ht="15" hidden="false" customHeight="false" outlineLevel="0" collapsed="false">
      <c r="A1230" s="2" t="n">
        <v>46136</v>
      </c>
      <c r="B1230" s="3" t="s">
        <v>1140</v>
      </c>
      <c r="C1230" s="0" t="n">
        <v>75</v>
      </c>
      <c r="D1230" s="0" t="n">
        <v>2</v>
      </c>
      <c r="E1230" s="0" t="str">
        <f aca="false">INDEX(lot!$B$2:$B$1201,MATCH(B1230,lot!$A$2:$A$1201,0))</f>
        <v>SUP-C</v>
      </c>
      <c r="F1230" s="3" t="n">
        <f aca="false">YEAR(A1230)*100+MONTH(A1230)</f>
        <v>202604</v>
      </c>
    </row>
    <row r="1231" customFormat="false" ht="15" hidden="false" customHeight="false" outlineLevel="0" collapsed="false">
      <c r="A1231" s="2" t="n">
        <v>46139</v>
      </c>
      <c r="B1231" s="3" t="s">
        <v>51</v>
      </c>
      <c r="C1231" s="0" t="n">
        <v>100</v>
      </c>
      <c r="D1231" s="0" t="n">
        <v>3</v>
      </c>
      <c r="E1231" s="0" t="str">
        <f aca="false">INDEX(lot!$B$2:$B$1201,MATCH(B1231,lot!$A$2:$A$1201,0))</f>
        <v>SUP-C</v>
      </c>
      <c r="F1231" s="3" t="n">
        <f aca="false">YEAR(A1231)*100+MONTH(A1231)</f>
        <v>202604</v>
      </c>
    </row>
    <row r="1232" customFormat="false" ht="15" hidden="false" customHeight="false" outlineLevel="0" collapsed="false">
      <c r="A1232" s="2" t="n">
        <v>46139</v>
      </c>
      <c r="B1232" s="3" t="s">
        <v>66</v>
      </c>
      <c r="C1232" s="0" t="n">
        <v>186</v>
      </c>
      <c r="D1232" s="0" t="n">
        <v>10</v>
      </c>
      <c r="E1232" s="0" t="str">
        <f aca="false">INDEX(lot!$B$2:$B$1201,MATCH(B1232,lot!$A$2:$A$1201,0))</f>
        <v>SUP-D</v>
      </c>
      <c r="F1232" s="3" t="n">
        <f aca="false">YEAR(A1232)*100+MONTH(A1232)</f>
        <v>202604</v>
      </c>
    </row>
    <row r="1233" customFormat="false" ht="15" hidden="false" customHeight="false" outlineLevel="0" collapsed="false">
      <c r="A1233" s="2" t="n">
        <v>46139</v>
      </c>
      <c r="B1233" s="3" t="s">
        <v>66</v>
      </c>
      <c r="C1233" s="0" t="n">
        <v>136</v>
      </c>
      <c r="D1233" s="0" t="n">
        <v>4</v>
      </c>
      <c r="E1233" s="0" t="str">
        <f aca="false">INDEX(lot!$B$2:$B$1201,MATCH(B1233,lot!$A$2:$A$1201,0))</f>
        <v>SUP-D</v>
      </c>
      <c r="F1233" s="3" t="n">
        <f aca="false">YEAR(A1233)*100+MONTH(A1233)</f>
        <v>202604</v>
      </c>
    </row>
    <row r="1234" customFormat="false" ht="15" hidden="false" customHeight="false" outlineLevel="0" collapsed="false">
      <c r="A1234" s="2" t="n">
        <v>46139</v>
      </c>
      <c r="B1234" s="3" t="s">
        <v>130</v>
      </c>
      <c r="C1234" s="0" t="n">
        <v>68</v>
      </c>
      <c r="D1234" s="0" t="n">
        <v>0</v>
      </c>
      <c r="E1234" s="0" t="str">
        <f aca="false">INDEX(lot!$B$2:$B$1201,MATCH(B1234,lot!$A$2:$A$1201,0))</f>
        <v>SUP-D</v>
      </c>
      <c r="F1234" s="3" t="n">
        <f aca="false">YEAR(A1234)*100+MONTH(A1234)</f>
        <v>202604</v>
      </c>
    </row>
    <row r="1235" customFormat="false" ht="15" hidden="false" customHeight="false" outlineLevel="0" collapsed="false">
      <c r="A1235" s="2" t="n">
        <v>46139</v>
      </c>
      <c r="B1235" s="3" t="s">
        <v>130</v>
      </c>
      <c r="C1235" s="0" t="n">
        <v>232</v>
      </c>
      <c r="D1235" s="0" t="n">
        <v>5</v>
      </c>
      <c r="E1235" s="0" t="str">
        <f aca="false">INDEX(lot!$B$2:$B$1201,MATCH(B1235,lot!$A$2:$A$1201,0))</f>
        <v>SUP-D</v>
      </c>
      <c r="F1235" s="3" t="n">
        <f aca="false">YEAR(A1235)*100+MONTH(A1235)</f>
        <v>202604</v>
      </c>
    </row>
    <row r="1236" customFormat="false" ht="15" hidden="false" customHeight="false" outlineLevel="0" collapsed="false">
      <c r="A1236" s="2" t="n">
        <v>46139</v>
      </c>
      <c r="B1236" s="3" t="s">
        <v>183</v>
      </c>
      <c r="C1236" s="0" t="n">
        <v>233</v>
      </c>
      <c r="D1236" s="0" t="n">
        <v>1</v>
      </c>
      <c r="E1236" s="0" t="str">
        <f aca="false">INDEX(lot!$B$2:$B$1201,MATCH(B1236,lot!$A$2:$A$1201,0))</f>
        <v>SUP-E</v>
      </c>
      <c r="F1236" s="3" t="n">
        <f aca="false">YEAR(A1236)*100+MONTH(A1236)</f>
        <v>202604</v>
      </c>
    </row>
    <row r="1237" customFormat="false" ht="15" hidden="false" customHeight="false" outlineLevel="0" collapsed="false">
      <c r="A1237" s="2" t="n">
        <v>46139</v>
      </c>
      <c r="B1237" s="3" t="s">
        <v>183</v>
      </c>
      <c r="C1237" s="0" t="n">
        <v>71</v>
      </c>
      <c r="D1237" s="0" t="n">
        <v>1</v>
      </c>
      <c r="E1237" s="0" t="str">
        <f aca="false">INDEX(lot!$B$2:$B$1201,MATCH(B1237,lot!$A$2:$A$1201,0))</f>
        <v>SUP-E</v>
      </c>
      <c r="F1237" s="3" t="n">
        <f aca="false">YEAR(A1237)*100+MONTH(A1237)</f>
        <v>202604</v>
      </c>
    </row>
    <row r="1238" customFormat="false" ht="15" hidden="false" customHeight="false" outlineLevel="0" collapsed="false">
      <c r="A1238" s="2" t="n">
        <v>46139</v>
      </c>
      <c r="B1238" s="3" t="s">
        <v>434</v>
      </c>
      <c r="C1238" s="0" t="n">
        <v>232</v>
      </c>
      <c r="D1238" s="0" t="n">
        <v>4</v>
      </c>
      <c r="E1238" s="0" t="str">
        <f aca="false">INDEX(lot!$B$2:$B$1201,MATCH(B1238,lot!$A$2:$A$1201,0))</f>
        <v>SUP-A</v>
      </c>
      <c r="F1238" s="3" t="n">
        <f aca="false">YEAR(A1238)*100+MONTH(A1238)</f>
        <v>202604</v>
      </c>
    </row>
    <row r="1239" customFormat="false" ht="15" hidden="false" customHeight="false" outlineLevel="0" collapsed="false">
      <c r="A1239" s="2" t="n">
        <v>46139</v>
      </c>
      <c r="B1239" s="3" t="s">
        <v>467</v>
      </c>
      <c r="C1239" s="0" t="n">
        <v>76</v>
      </c>
      <c r="D1239" s="0" t="n">
        <v>2</v>
      </c>
      <c r="E1239" s="0" t="str">
        <f aca="false">INDEX(lot!$B$2:$B$1201,MATCH(B1239,lot!$A$2:$A$1201,0))</f>
        <v>SUP-D</v>
      </c>
      <c r="F1239" s="3" t="n">
        <f aca="false">YEAR(A1239)*100+MONTH(A1239)</f>
        <v>202604</v>
      </c>
    </row>
    <row r="1240" customFormat="false" ht="15" hidden="false" customHeight="false" outlineLevel="0" collapsed="false">
      <c r="A1240" s="2" t="n">
        <v>46139</v>
      </c>
      <c r="B1240" s="3" t="s">
        <v>467</v>
      </c>
      <c r="C1240" s="0" t="n">
        <v>167</v>
      </c>
      <c r="D1240" s="0" t="n">
        <v>2</v>
      </c>
      <c r="E1240" s="0" t="str">
        <f aca="false">INDEX(lot!$B$2:$B$1201,MATCH(B1240,lot!$A$2:$A$1201,0))</f>
        <v>SUP-D</v>
      </c>
      <c r="F1240" s="3" t="n">
        <f aca="false">YEAR(A1240)*100+MONTH(A1240)</f>
        <v>202604</v>
      </c>
    </row>
    <row r="1241" customFormat="false" ht="15" hidden="false" customHeight="false" outlineLevel="0" collapsed="false">
      <c r="A1241" s="2" t="n">
        <v>46139</v>
      </c>
      <c r="B1241" s="3" t="s">
        <v>667</v>
      </c>
      <c r="C1241" s="0" t="n">
        <v>202</v>
      </c>
      <c r="D1241" s="0" t="n">
        <v>8</v>
      </c>
      <c r="E1241" s="0" t="str">
        <f aca="false">INDEX(lot!$B$2:$B$1201,MATCH(B1241,lot!$A$2:$A$1201,0))</f>
        <v>SUP-D</v>
      </c>
      <c r="F1241" s="3" t="n">
        <f aca="false">YEAR(A1241)*100+MONTH(A1241)</f>
        <v>202604</v>
      </c>
    </row>
    <row r="1242" customFormat="false" ht="15" hidden="false" customHeight="false" outlineLevel="0" collapsed="false">
      <c r="A1242" s="2" t="n">
        <v>46139</v>
      </c>
      <c r="B1242" s="3" t="s">
        <v>677</v>
      </c>
      <c r="C1242" s="0" t="n">
        <v>139</v>
      </c>
      <c r="D1242" s="0" t="n">
        <v>8</v>
      </c>
      <c r="E1242" s="0" t="str">
        <f aca="false">INDEX(lot!$B$2:$B$1201,MATCH(B1242,lot!$A$2:$A$1201,0))</f>
        <v>SUP-C</v>
      </c>
      <c r="F1242" s="3" t="n">
        <f aca="false">YEAR(A1242)*100+MONTH(A1242)</f>
        <v>202604</v>
      </c>
    </row>
    <row r="1243" customFormat="false" ht="15" hidden="false" customHeight="false" outlineLevel="0" collapsed="false">
      <c r="A1243" s="2" t="n">
        <v>46139</v>
      </c>
      <c r="B1243" s="3" t="s">
        <v>681</v>
      </c>
      <c r="C1243" s="0" t="n">
        <v>95</v>
      </c>
      <c r="D1243" s="0" t="n">
        <v>1</v>
      </c>
      <c r="E1243" s="0" t="str">
        <f aca="false">INDEX(lot!$B$2:$B$1201,MATCH(B1243,lot!$A$2:$A$1201,0))</f>
        <v>SUP-A</v>
      </c>
      <c r="F1243" s="3" t="n">
        <f aca="false">YEAR(A1243)*100+MONTH(A1243)</f>
        <v>202604</v>
      </c>
    </row>
    <row r="1244" customFormat="false" ht="15" hidden="false" customHeight="false" outlineLevel="0" collapsed="false">
      <c r="A1244" s="2" t="n">
        <v>46139</v>
      </c>
      <c r="B1244" s="3" t="s">
        <v>681</v>
      </c>
      <c r="C1244" s="0" t="n">
        <v>210</v>
      </c>
      <c r="D1244" s="0" t="n">
        <v>0</v>
      </c>
      <c r="E1244" s="0" t="str">
        <f aca="false">INDEX(lot!$B$2:$B$1201,MATCH(B1244,lot!$A$2:$A$1201,0))</f>
        <v>SUP-A</v>
      </c>
      <c r="F1244" s="3" t="n">
        <f aca="false">YEAR(A1244)*100+MONTH(A1244)</f>
        <v>202604</v>
      </c>
    </row>
    <row r="1245" customFormat="false" ht="15" hidden="false" customHeight="false" outlineLevel="0" collapsed="false">
      <c r="A1245" s="2" t="n">
        <v>46139</v>
      </c>
      <c r="B1245" s="3" t="s">
        <v>728</v>
      </c>
      <c r="C1245" s="0" t="n">
        <v>160</v>
      </c>
      <c r="D1245" s="0" t="n">
        <v>1</v>
      </c>
      <c r="E1245" s="0" t="str">
        <f aca="false">INDEX(lot!$B$2:$B$1201,MATCH(B1245,lot!$A$2:$A$1201,0))</f>
        <v>SUP-D</v>
      </c>
      <c r="F1245" s="3" t="n">
        <f aca="false">YEAR(A1245)*100+MONTH(A1245)</f>
        <v>202604</v>
      </c>
    </row>
    <row r="1246" customFormat="false" ht="15" hidden="false" customHeight="false" outlineLevel="0" collapsed="false">
      <c r="A1246" s="2" t="n">
        <v>46139</v>
      </c>
      <c r="B1246" s="3" t="s">
        <v>737</v>
      </c>
      <c r="C1246" s="0" t="n">
        <v>183</v>
      </c>
      <c r="D1246" s="0" t="n">
        <v>2</v>
      </c>
      <c r="E1246" s="0" t="str">
        <f aca="false">INDEX(lot!$B$2:$B$1201,MATCH(B1246,lot!$A$2:$A$1201,0))</f>
        <v>SUP-D</v>
      </c>
      <c r="F1246" s="3" t="n">
        <f aca="false">YEAR(A1246)*100+MONTH(A1246)</f>
        <v>202604</v>
      </c>
    </row>
    <row r="1247" customFormat="false" ht="15" hidden="false" customHeight="false" outlineLevel="0" collapsed="false">
      <c r="A1247" s="2" t="n">
        <v>46139</v>
      </c>
      <c r="B1247" s="3" t="s">
        <v>794</v>
      </c>
      <c r="C1247" s="0" t="n">
        <v>71</v>
      </c>
      <c r="D1247" s="0" t="n">
        <v>6</v>
      </c>
      <c r="E1247" s="0" t="str">
        <f aca="false">INDEX(lot!$B$2:$B$1201,MATCH(B1247,lot!$A$2:$A$1201,0))</f>
        <v>SUP-A</v>
      </c>
      <c r="F1247" s="3" t="n">
        <f aca="false">YEAR(A1247)*100+MONTH(A1247)</f>
        <v>202604</v>
      </c>
    </row>
    <row r="1248" customFormat="false" ht="15" hidden="false" customHeight="false" outlineLevel="0" collapsed="false">
      <c r="A1248" s="2" t="n">
        <v>46139</v>
      </c>
      <c r="B1248" s="3" t="s">
        <v>794</v>
      </c>
      <c r="C1248" s="0" t="n">
        <v>202</v>
      </c>
      <c r="D1248" s="0" t="n">
        <v>16</v>
      </c>
      <c r="E1248" s="0" t="str">
        <f aca="false">INDEX(lot!$B$2:$B$1201,MATCH(B1248,lot!$A$2:$A$1201,0))</f>
        <v>SUP-A</v>
      </c>
      <c r="F1248" s="3" t="n">
        <f aca="false">YEAR(A1248)*100+MONTH(A1248)</f>
        <v>202604</v>
      </c>
    </row>
    <row r="1249" customFormat="false" ht="15" hidden="false" customHeight="false" outlineLevel="0" collapsed="false">
      <c r="A1249" s="2" t="n">
        <v>46139</v>
      </c>
      <c r="B1249" s="3" t="s">
        <v>830</v>
      </c>
      <c r="C1249" s="0" t="n">
        <v>244</v>
      </c>
      <c r="D1249" s="0" t="n">
        <v>9</v>
      </c>
      <c r="E1249" s="0" t="str">
        <f aca="false">INDEX(lot!$B$2:$B$1201,MATCH(B1249,lot!$A$2:$A$1201,0))</f>
        <v>SUP-C</v>
      </c>
      <c r="F1249" s="3" t="n">
        <f aca="false">YEAR(A1249)*100+MONTH(A1249)</f>
        <v>202604</v>
      </c>
    </row>
    <row r="1250" customFormat="false" ht="15" hidden="false" customHeight="false" outlineLevel="0" collapsed="false">
      <c r="A1250" s="2" t="n">
        <v>46139</v>
      </c>
      <c r="B1250" s="3" t="s">
        <v>967</v>
      </c>
      <c r="C1250" s="0" t="n">
        <v>172</v>
      </c>
      <c r="D1250" s="0" t="n">
        <v>1</v>
      </c>
      <c r="E1250" s="0" t="str">
        <f aca="false">INDEX(lot!$B$2:$B$1201,MATCH(B1250,lot!$A$2:$A$1201,0))</f>
        <v>SUP-D</v>
      </c>
      <c r="F1250" s="3" t="n">
        <f aca="false">YEAR(A1250)*100+MONTH(A1250)</f>
        <v>202604</v>
      </c>
    </row>
    <row r="1251" customFormat="false" ht="15" hidden="false" customHeight="false" outlineLevel="0" collapsed="false">
      <c r="A1251" s="2" t="n">
        <v>46139</v>
      </c>
      <c r="B1251" s="3" t="s">
        <v>967</v>
      </c>
      <c r="C1251" s="0" t="n">
        <v>179</v>
      </c>
      <c r="D1251" s="0" t="n">
        <v>4</v>
      </c>
      <c r="E1251" s="0" t="str">
        <f aca="false">INDEX(lot!$B$2:$B$1201,MATCH(B1251,lot!$A$2:$A$1201,0))</f>
        <v>SUP-D</v>
      </c>
      <c r="F1251" s="3" t="n">
        <f aca="false">YEAR(A1251)*100+MONTH(A1251)</f>
        <v>202604</v>
      </c>
    </row>
    <row r="1252" customFormat="false" ht="15" hidden="false" customHeight="false" outlineLevel="0" collapsed="false">
      <c r="A1252" s="2" t="n">
        <v>46139</v>
      </c>
      <c r="B1252" s="3" t="s">
        <v>975</v>
      </c>
      <c r="C1252" s="0" t="n">
        <v>211</v>
      </c>
      <c r="D1252" s="0" t="n">
        <v>7</v>
      </c>
      <c r="E1252" s="0" t="str">
        <f aca="false">INDEX(lot!$B$2:$B$1201,MATCH(B1252,lot!$A$2:$A$1201,0))</f>
        <v>SUP-C</v>
      </c>
      <c r="F1252" s="3" t="n">
        <f aca="false">YEAR(A1252)*100+MONTH(A1252)</f>
        <v>202604</v>
      </c>
    </row>
    <row r="1253" customFormat="false" ht="15" hidden="false" customHeight="false" outlineLevel="0" collapsed="false">
      <c r="A1253" s="2" t="n">
        <v>46139</v>
      </c>
      <c r="B1253" s="3" t="s">
        <v>998</v>
      </c>
      <c r="C1253" s="0" t="n">
        <v>106</v>
      </c>
      <c r="D1253" s="0" t="n">
        <v>1</v>
      </c>
      <c r="E1253" s="0" t="str">
        <f aca="false">INDEX(lot!$B$2:$B$1201,MATCH(B1253,lot!$A$2:$A$1201,0))</f>
        <v>SUP-D</v>
      </c>
      <c r="F1253" s="3" t="n">
        <f aca="false">YEAR(A1253)*100+MONTH(A1253)</f>
        <v>202604</v>
      </c>
    </row>
    <row r="1254" customFormat="false" ht="15" hidden="false" customHeight="false" outlineLevel="0" collapsed="false">
      <c r="A1254" s="2" t="n">
        <v>46139</v>
      </c>
      <c r="B1254" s="3" t="s">
        <v>1068</v>
      </c>
      <c r="C1254" s="0" t="n">
        <v>212</v>
      </c>
      <c r="D1254" s="0" t="n">
        <v>1</v>
      </c>
      <c r="E1254" s="0" t="str">
        <f aca="false">INDEX(lot!$B$2:$B$1201,MATCH(B1254,lot!$A$2:$A$1201,0))</f>
        <v>SUP-D</v>
      </c>
      <c r="F1254" s="3" t="n">
        <f aca="false">YEAR(A1254)*100+MONTH(A1254)</f>
        <v>202604</v>
      </c>
    </row>
    <row r="1255" customFormat="false" ht="15" hidden="false" customHeight="false" outlineLevel="0" collapsed="false">
      <c r="A1255" s="2" t="n">
        <v>46139</v>
      </c>
      <c r="B1255" s="3" t="s">
        <v>1068</v>
      </c>
      <c r="C1255" s="0" t="n">
        <v>96</v>
      </c>
      <c r="D1255" s="0" t="n">
        <v>1</v>
      </c>
      <c r="E1255" s="0" t="str">
        <f aca="false">INDEX(lot!$B$2:$B$1201,MATCH(B1255,lot!$A$2:$A$1201,0))</f>
        <v>SUP-D</v>
      </c>
      <c r="F1255" s="3" t="n">
        <f aca="false">YEAR(A1255)*100+MONTH(A1255)</f>
        <v>202604</v>
      </c>
    </row>
    <row r="1256" customFormat="false" ht="15" hidden="false" customHeight="false" outlineLevel="0" collapsed="false">
      <c r="A1256" s="2" t="n">
        <v>46139</v>
      </c>
      <c r="B1256" s="3" t="s">
        <v>1088</v>
      </c>
      <c r="C1256" s="0" t="n">
        <v>204</v>
      </c>
      <c r="D1256" s="0" t="n">
        <v>2</v>
      </c>
      <c r="E1256" s="0" t="str">
        <f aca="false">INDEX(lot!$B$2:$B$1201,MATCH(B1256,lot!$A$2:$A$1201,0))</f>
        <v>SUP-A</v>
      </c>
      <c r="F1256" s="3" t="n">
        <f aca="false">YEAR(A1256)*100+MONTH(A1256)</f>
        <v>202604</v>
      </c>
    </row>
    <row r="1257" customFormat="false" ht="15" hidden="false" customHeight="false" outlineLevel="0" collapsed="false">
      <c r="A1257" s="2" t="n">
        <v>46139</v>
      </c>
      <c r="B1257" s="3" t="s">
        <v>1088</v>
      </c>
      <c r="C1257" s="0" t="n">
        <v>208</v>
      </c>
      <c r="D1257" s="0" t="n">
        <v>3</v>
      </c>
      <c r="E1257" s="0" t="str">
        <f aca="false">INDEX(lot!$B$2:$B$1201,MATCH(B1257,lot!$A$2:$A$1201,0))</f>
        <v>SUP-A</v>
      </c>
      <c r="F1257" s="3" t="n">
        <f aca="false">YEAR(A1257)*100+MONTH(A1257)</f>
        <v>202604</v>
      </c>
    </row>
    <row r="1258" customFormat="false" ht="15" hidden="false" customHeight="false" outlineLevel="0" collapsed="false">
      <c r="A1258" s="2" t="n">
        <v>46139</v>
      </c>
      <c r="B1258" s="3" t="s">
        <v>1140</v>
      </c>
      <c r="C1258" s="0" t="n">
        <v>244</v>
      </c>
      <c r="D1258" s="0" t="n">
        <v>5</v>
      </c>
      <c r="E1258" s="0" t="str">
        <f aca="false">INDEX(lot!$B$2:$B$1201,MATCH(B1258,lot!$A$2:$A$1201,0))</f>
        <v>SUP-C</v>
      </c>
      <c r="F1258" s="3" t="n">
        <f aca="false">YEAR(A1258)*100+MONTH(A1258)</f>
        <v>202604</v>
      </c>
    </row>
    <row r="1259" customFormat="false" ht="15" hidden="false" customHeight="false" outlineLevel="0" collapsed="false">
      <c r="A1259" s="2" t="n">
        <v>46139</v>
      </c>
      <c r="B1259" s="3" t="s">
        <v>1140</v>
      </c>
      <c r="C1259" s="0" t="n">
        <v>210</v>
      </c>
      <c r="D1259" s="0" t="n">
        <v>8</v>
      </c>
      <c r="E1259" s="0" t="str">
        <f aca="false">INDEX(lot!$B$2:$B$1201,MATCH(B1259,lot!$A$2:$A$1201,0))</f>
        <v>SUP-C</v>
      </c>
      <c r="F1259" s="3" t="n">
        <f aca="false">YEAR(A1259)*100+MONTH(A1259)</f>
        <v>202604</v>
      </c>
    </row>
    <row r="1260" customFormat="false" ht="15" hidden="false" customHeight="false" outlineLevel="0" collapsed="false">
      <c r="A1260" s="2" t="n">
        <v>46140</v>
      </c>
      <c r="B1260" s="3" t="s">
        <v>123</v>
      </c>
      <c r="C1260" s="0" t="n">
        <v>113</v>
      </c>
      <c r="D1260" s="0" t="n">
        <v>1</v>
      </c>
      <c r="E1260" s="0" t="str">
        <f aca="false">INDEX(lot!$B$2:$B$1201,MATCH(B1260,lot!$A$2:$A$1201,0))</f>
        <v>SUP-D</v>
      </c>
      <c r="F1260" s="3" t="n">
        <f aca="false">YEAR(A1260)*100+MONTH(A1260)</f>
        <v>202604</v>
      </c>
    </row>
    <row r="1261" customFormat="false" ht="15" hidden="false" customHeight="false" outlineLevel="0" collapsed="false">
      <c r="A1261" s="2" t="n">
        <v>46140</v>
      </c>
      <c r="B1261" s="3" t="s">
        <v>130</v>
      </c>
      <c r="C1261" s="0" t="n">
        <v>117</v>
      </c>
      <c r="D1261" s="0" t="n">
        <v>1</v>
      </c>
      <c r="E1261" s="0" t="str">
        <f aca="false">INDEX(lot!$B$2:$B$1201,MATCH(B1261,lot!$A$2:$A$1201,0))</f>
        <v>SUP-D</v>
      </c>
      <c r="F1261" s="3" t="n">
        <f aca="false">YEAR(A1261)*100+MONTH(A1261)</f>
        <v>202604</v>
      </c>
    </row>
    <row r="1262" customFormat="false" ht="15" hidden="false" customHeight="false" outlineLevel="0" collapsed="false">
      <c r="A1262" s="2" t="n">
        <v>46140</v>
      </c>
      <c r="B1262" s="3" t="s">
        <v>130</v>
      </c>
      <c r="C1262" s="0" t="n">
        <v>71</v>
      </c>
      <c r="D1262" s="0" t="n">
        <v>3</v>
      </c>
      <c r="E1262" s="0" t="str">
        <f aca="false">INDEX(lot!$B$2:$B$1201,MATCH(B1262,lot!$A$2:$A$1201,0))</f>
        <v>SUP-D</v>
      </c>
      <c r="F1262" s="3" t="n">
        <f aca="false">YEAR(A1262)*100+MONTH(A1262)</f>
        <v>202604</v>
      </c>
    </row>
    <row r="1263" customFormat="false" ht="15" hidden="false" customHeight="false" outlineLevel="0" collapsed="false">
      <c r="A1263" s="2" t="n">
        <v>46140</v>
      </c>
      <c r="B1263" s="3" t="s">
        <v>183</v>
      </c>
      <c r="C1263" s="0" t="n">
        <v>121</v>
      </c>
      <c r="D1263" s="0" t="n">
        <v>1</v>
      </c>
      <c r="E1263" s="0" t="str">
        <f aca="false">INDEX(lot!$B$2:$B$1201,MATCH(B1263,lot!$A$2:$A$1201,0))</f>
        <v>SUP-E</v>
      </c>
      <c r="F1263" s="3" t="n">
        <f aca="false">YEAR(A1263)*100+MONTH(A1263)</f>
        <v>202604</v>
      </c>
    </row>
    <row r="1264" customFormat="false" ht="15" hidden="false" customHeight="false" outlineLevel="0" collapsed="false">
      <c r="A1264" s="2" t="n">
        <v>46140</v>
      </c>
      <c r="B1264" s="3" t="s">
        <v>183</v>
      </c>
      <c r="C1264" s="0" t="n">
        <v>241</v>
      </c>
      <c r="D1264" s="0" t="n">
        <v>2</v>
      </c>
      <c r="E1264" s="0" t="str">
        <f aca="false">INDEX(lot!$B$2:$B$1201,MATCH(B1264,lot!$A$2:$A$1201,0))</f>
        <v>SUP-E</v>
      </c>
      <c r="F1264" s="3" t="n">
        <f aca="false">YEAR(A1264)*100+MONTH(A1264)</f>
        <v>202604</v>
      </c>
    </row>
    <row r="1265" customFormat="false" ht="15" hidden="false" customHeight="false" outlineLevel="0" collapsed="false">
      <c r="A1265" s="2" t="n">
        <v>46140</v>
      </c>
      <c r="B1265" s="3" t="s">
        <v>297</v>
      </c>
      <c r="C1265" s="0" t="n">
        <v>65</v>
      </c>
      <c r="D1265" s="0" t="n">
        <v>0</v>
      </c>
      <c r="E1265" s="0" t="str">
        <f aca="false">INDEX(lot!$B$2:$B$1201,MATCH(B1265,lot!$A$2:$A$1201,0))</f>
        <v>SUP-A</v>
      </c>
      <c r="F1265" s="3" t="n">
        <f aca="false">YEAR(A1265)*100+MONTH(A1265)</f>
        <v>202604</v>
      </c>
    </row>
    <row r="1266" customFormat="false" ht="15" hidden="false" customHeight="false" outlineLevel="0" collapsed="false">
      <c r="A1266" s="2" t="n">
        <v>46140</v>
      </c>
      <c r="B1266" s="3" t="s">
        <v>334</v>
      </c>
      <c r="C1266" s="0" t="n">
        <v>201</v>
      </c>
      <c r="D1266" s="0" t="n">
        <v>5</v>
      </c>
      <c r="E1266" s="0" t="str">
        <f aca="false">INDEX(lot!$B$2:$B$1201,MATCH(B1266,lot!$A$2:$A$1201,0))</f>
        <v>SUP-C</v>
      </c>
      <c r="F1266" s="3" t="n">
        <f aca="false">YEAR(A1266)*100+MONTH(A1266)</f>
        <v>202604</v>
      </c>
    </row>
    <row r="1267" customFormat="false" ht="15" hidden="false" customHeight="false" outlineLevel="0" collapsed="false">
      <c r="A1267" s="2" t="n">
        <v>46140</v>
      </c>
      <c r="B1267" s="3" t="s">
        <v>334</v>
      </c>
      <c r="C1267" s="0" t="n">
        <v>125</v>
      </c>
      <c r="D1267" s="0" t="n">
        <v>4</v>
      </c>
      <c r="E1267" s="0" t="str">
        <f aca="false">INDEX(lot!$B$2:$B$1201,MATCH(B1267,lot!$A$2:$A$1201,0))</f>
        <v>SUP-C</v>
      </c>
      <c r="F1267" s="3" t="n">
        <f aca="false">YEAR(A1267)*100+MONTH(A1267)</f>
        <v>202604</v>
      </c>
    </row>
    <row r="1268" customFormat="false" ht="15" hidden="false" customHeight="false" outlineLevel="0" collapsed="false">
      <c r="A1268" s="2" t="n">
        <v>46140</v>
      </c>
      <c r="B1268" s="3" t="s">
        <v>451</v>
      </c>
      <c r="C1268" s="0" t="n">
        <v>229</v>
      </c>
      <c r="D1268" s="0" t="n">
        <v>8</v>
      </c>
      <c r="E1268" s="0" t="str">
        <f aca="false">INDEX(lot!$B$2:$B$1201,MATCH(B1268,lot!$A$2:$A$1201,0))</f>
        <v>SUP-C</v>
      </c>
      <c r="F1268" s="3" t="n">
        <f aca="false">YEAR(A1268)*100+MONTH(A1268)</f>
        <v>202604</v>
      </c>
    </row>
    <row r="1269" customFormat="false" ht="15" hidden="false" customHeight="false" outlineLevel="0" collapsed="false">
      <c r="A1269" s="2" t="n">
        <v>46140</v>
      </c>
      <c r="B1269" s="3" t="s">
        <v>630</v>
      </c>
      <c r="C1269" s="0" t="n">
        <v>158</v>
      </c>
      <c r="D1269" s="0" t="n">
        <v>0</v>
      </c>
      <c r="E1269" s="0" t="str">
        <f aca="false">INDEX(lot!$B$2:$B$1201,MATCH(B1269,lot!$A$2:$A$1201,0))</f>
        <v>SUP-A</v>
      </c>
      <c r="F1269" s="3" t="n">
        <f aca="false">YEAR(A1269)*100+MONTH(A1269)</f>
        <v>202604</v>
      </c>
    </row>
    <row r="1270" customFormat="false" ht="15" hidden="false" customHeight="false" outlineLevel="0" collapsed="false">
      <c r="A1270" s="2" t="n">
        <v>46140</v>
      </c>
      <c r="B1270" s="3" t="s">
        <v>681</v>
      </c>
      <c r="C1270" s="0" t="n">
        <v>198</v>
      </c>
      <c r="D1270" s="0" t="n">
        <v>3</v>
      </c>
      <c r="E1270" s="0" t="str">
        <f aca="false">INDEX(lot!$B$2:$B$1201,MATCH(B1270,lot!$A$2:$A$1201,0))</f>
        <v>SUP-A</v>
      </c>
      <c r="F1270" s="3" t="n">
        <f aca="false">YEAR(A1270)*100+MONTH(A1270)</f>
        <v>202604</v>
      </c>
    </row>
    <row r="1271" customFormat="false" ht="15" hidden="false" customHeight="false" outlineLevel="0" collapsed="false">
      <c r="A1271" s="2" t="n">
        <v>46140</v>
      </c>
      <c r="B1271" s="3" t="s">
        <v>707</v>
      </c>
      <c r="C1271" s="0" t="n">
        <v>187</v>
      </c>
      <c r="D1271" s="0" t="n">
        <v>2</v>
      </c>
      <c r="E1271" s="0" t="str">
        <f aca="false">INDEX(lot!$B$2:$B$1201,MATCH(B1271,lot!$A$2:$A$1201,0))</f>
        <v>SUP-A</v>
      </c>
      <c r="F1271" s="3" t="n">
        <f aca="false">YEAR(A1271)*100+MONTH(A1271)</f>
        <v>202604</v>
      </c>
    </row>
    <row r="1272" customFormat="false" ht="15" hidden="false" customHeight="false" outlineLevel="0" collapsed="false">
      <c r="A1272" s="2" t="n">
        <v>46140</v>
      </c>
      <c r="B1272" s="3" t="s">
        <v>728</v>
      </c>
      <c r="C1272" s="0" t="n">
        <v>72</v>
      </c>
      <c r="D1272" s="0" t="n">
        <v>1</v>
      </c>
      <c r="E1272" s="0" t="str">
        <f aca="false">INDEX(lot!$B$2:$B$1201,MATCH(B1272,lot!$A$2:$A$1201,0))</f>
        <v>SUP-D</v>
      </c>
      <c r="F1272" s="3" t="n">
        <f aca="false">YEAR(A1272)*100+MONTH(A1272)</f>
        <v>202604</v>
      </c>
    </row>
    <row r="1273" customFormat="false" ht="15" hidden="false" customHeight="false" outlineLevel="0" collapsed="false">
      <c r="A1273" s="2" t="n">
        <v>46140</v>
      </c>
      <c r="B1273" s="3" t="s">
        <v>728</v>
      </c>
      <c r="C1273" s="0" t="n">
        <v>97</v>
      </c>
      <c r="D1273" s="0" t="n">
        <v>1</v>
      </c>
      <c r="E1273" s="0" t="str">
        <f aca="false">INDEX(lot!$B$2:$B$1201,MATCH(B1273,lot!$A$2:$A$1201,0))</f>
        <v>SUP-D</v>
      </c>
      <c r="F1273" s="3" t="n">
        <f aca="false">YEAR(A1273)*100+MONTH(A1273)</f>
        <v>202604</v>
      </c>
    </row>
    <row r="1274" customFormat="false" ht="15" hidden="false" customHeight="false" outlineLevel="0" collapsed="false">
      <c r="A1274" s="2" t="n">
        <v>46140</v>
      </c>
      <c r="B1274" s="3" t="s">
        <v>750</v>
      </c>
      <c r="C1274" s="0" t="n">
        <v>137</v>
      </c>
      <c r="D1274" s="0" t="n">
        <v>1</v>
      </c>
      <c r="E1274" s="0" t="str">
        <f aca="false">INDEX(lot!$B$2:$B$1201,MATCH(B1274,lot!$A$2:$A$1201,0))</f>
        <v>SUP-A</v>
      </c>
      <c r="F1274" s="3" t="n">
        <f aca="false">YEAR(A1274)*100+MONTH(A1274)</f>
        <v>202604</v>
      </c>
    </row>
    <row r="1275" customFormat="false" ht="15" hidden="false" customHeight="false" outlineLevel="0" collapsed="false">
      <c r="A1275" s="2" t="n">
        <v>46140</v>
      </c>
      <c r="B1275" s="3" t="s">
        <v>753</v>
      </c>
      <c r="C1275" s="0" t="n">
        <v>104</v>
      </c>
      <c r="D1275" s="0" t="n">
        <v>2</v>
      </c>
      <c r="E1275" s="0" t="str">
        <f aca="false">INDEX(lot!$B$2:$B$1201,MATCH(B1275,lot!$A$2:$A$1201,0))</f>
        <v>SUP-D</v>
      </c>
      <c r="F1275" s="3" t="n">
        <f aca="false">YEAR(A1275)*100+MONTH(A1275)</f>
        <v>202604</v>
      </c>
    </row>
    <row r="1276" customFormat="false" ht="15" hidden="false" customHeight="false" outlineLevel="0" collapsed="false">
      <c r="A1276" s="2" t="n">
        <v>46140</v>
      </c>
      <c r="B1276" s="3" t="s">
        <v>794</v>
      </c>
      <c r="C1276" s="0" t="n">
        <v>184</v>
      </c>
      <c r="D1276" s="0" t="n">
        <v>17</v>
      </c>
      <c r="E1276" s="0" t="str">
        <f aca="false">INDEX(lot!$B$2:$B$1201,MATCH(B1276,lot!$A$2:$A$1201,0))</f>
        <v>SUP-A</v>
      </c>
      <c r="F1276" s="3" t="n">
        <f aca="false">YEAR(A1276)*100+MONTH(A1276)</f>
        <v>202604</v>
      </c>
    </row>
    <row r="1277" customFormat="false" ht="15" hidden="false" customHeight="false" outlineLevel="0" collapsed="false">
      <c r="A1277" s="2" t="n">
        <v>46140</v>
      </c>
      <c r="B1277" s="3" t="s">
        <v>828</v>
      </c>
      <c r="C1277" s="0" t="n">
        <v>86</v>
      </c>
      <c r="D1277" s="0" t="n">
        <v>0</v>
      </c>
      <c r="E1277" s="0" t="str">
        <f aca="false">INDEX(lot!$B$2:$B$1201,MATCH(B1277,lot!$A$2:$A$1201,0))</f>
        <v>SUP-E</v>
      </c>
      <c r="F1277" s="3" t="n">
        <f aca="false">YEAR(A1277)*100+MONTH(A1277)</f>
        <v>202604</v>
      </c>
    </row>
    <row r="1278" customFormat="false" ht="15" hidden="false" customHeight="false" outlineLevel="0" collapsed="false">
      <c r="A1278" s="2" t="n">
        <v>46140</v>
      </c>
      <c r="B1278" s="3" t="s">
        <v>886</v>
      </c>
      <c r="C1278" s="0" t="n">
        <v>157</v>
      </c>
      <c r="D1278" s="0" t="n">
        <v>2</v>
      </c>
      <c r="E1278" s="0" t="str">
        <f aca="false">INDEX(lot!$B$2:$B$1201,MATCH(B1278,lot!$A$2:$A$1201,0))</f>
        <v>SUP-D</v>
      </c>
      <c r="F1278" s="3" t="n">
        <f aca="false">YEAR(A1278)*100+MONTH(A1278)</f>
        <v>202604</v>
      </c>
    </row>
    <row r="1279" customFormat="false" ht="15" hidden="false" customHeight="false" outlineLevel="0" collapsed="false">
      <c r="A1279" s="2" t="n">
        <v>46140</v>
      </c>
      <c r="B1279" s="3" t="s">
        <v>967</v>
      </c>
      <c r="C1279" s="0" t="n">
        <v>102</v>
      </c>
      <c r="D1279" s="0" t="n">
        <v>2</v>
      </c>
      <c r="E1279" s="0" t="str">
        <f aca="false">INDEX(lot!$B$2:$B$1201,MATCH(B1279,lot!$A$2:$A$1201,0))</f>
        <v>SUP-D</v>
      </c>
      <c r="F1279" s="3" t="n">
        <f aca="false">YEAR(A1279)*100+MONTH(A1279)</f>
        <v>202604</v>
      </c>
    </row>
    <row r="1280" customFormat="false" ht="15" hidden="false" customHeight="false" outlineLevel="0" collapsed="false">
      <c r="A1280" s="2" t="n">
        <v>46140</v>
      </c>
      <c r="B1280" s="3" t="s">
        <v>967</v>
      </c>
      <c r="C1280" s="0" t="n">
        <v>229</v>
      </c>
      <c r="D1280" s="0" t="n">
        <v>3</v>
      </c>
      <c r="E1280" s="0" t="str">
        <f aca="false">INDEX(lot!$B$2:$B$1201,MATCH(B1280,lot!$A$2:$A$1201,0))</f>
        <v>SUP-D</v>
      </c>
      <c r="F1280" s="3" t="n">
        <f aca="false">YEAR(A1280)*100+MONTH(A1280)</f>
        <v>202604</v>
      </c>
    </row>
    <row r="1281" customFormat="false" ht="15" hidden="false" customHeight="false" outlineLevel="0" collapsed="false">
      <c r="A1281" s="2" t="n">
        <v>46140</v>
      </c>
      <c r="B1281" s="3" t="s">
        <v>975</v>
      </c>
      <c r="C1281" s="0" t="n">
        <v>129</v>
      </c>
      <c r="D1281" s="0" t="n">
        <v>3</v>
      </c>
      <c r="E1281" s="0" t="str">
        <f aca="false">INDEX(lot!$B$2:$B$1201,MATCH(B1281,lot!$A$2:$A$1201,0))</f>
        <v>SUP-C</v>
      </c>
      <c r="F1281" s="3" t="n">
        <f aca="false">YEAR(A1281)*100+MONTH(A1281)</f>
        <v>202604</v>
      </c>
    </row>
    <row r="1282" customFormat="false" ht="15" hidden="false" customHeight="false" outlineLevel="0" collapsed="false">
      <c r="A1282" s="2" t="n">
        <v>46140</v>
      </c>
      <c r="B1282" s="3" t="s">
        <v>975</v>
      </c>
      <c r="C1282" s="0" t="n">
        <v>182</v>
      </c>
      <c r="D1282" s="0" t="n">
        <v>4</v>
      </c>
      <c r="E1282" s="0" t="str">
        <f aca="false">INDEX(lot!$B$2:$B$1201,MATCH(B1282,lot!$A$2:$A$1201,0))</f>
        <v>SUP-C</v>
      </c>
      <c r="F1282" s="3" t="n">
        <f aca="false">YEAR(A1282)*100+MONTH(A1282)</f>
        <v>202604</v>
      </c>
    </row>
    <row r="1283" customFormat="false" ht="15" hidden="false" customHeight="false" outlineLevel="0" collapsed="false">
      <c r="A1283" s="2" t="n">
        <v>46140</v>
      </c>
      <c r="B1283" s="3" t="s">
        <v>1010</v>
      </c>
      <c r="C1283" s="0" t="n">
        <v>211</v>
      </c>
      <c r="D1283" s="0" t="n">
        <v>4</v>
      </c>
      <c r="E1283" s="0" t="str">
        <f aca="false">INDEX(lot!$B$2:$B$1201,MATCH(B1283,lot!$A$2:$A$1201,0))</f>
        <v>SUP-D</v>
      </c>
      <c r="F1283" s="3" t="n">
        <f aca="false">YEAR(A1283)*100+MONTH(A1283)</f>
        <v>202604</v>
      </c>
    </row>
    <row r="1284" customFormat="false" ht="15" hidden="false" customHeight="false" outlineLevel="0" collapsed="false">
      <c r="A1284" s="2" t="n">
        <v>46140</v>
      </c>
      <c r="B1284" s="3" t="s">
        <v>1010</v>
      </c>
      <c r="C1284" s="0" t="n">
        <v>249</v>
      </c>
      <c r="D1284" s="0" t="n">
        <v>3</v>
      </c>
      <c r="E1284" s="0" t="str">
        <f aca="false">INDEX(lot!$B$2:$B$1201,MATCH(B1284,lot!$A$2:$A$1201,0))</f>
        <v>SUP-D</v>
      </c>
      <c r="F1284" s="3" t="n">
        <f aca="false">YEAR(A1284)*100+MONTH(A1284)</f>
        <v>202604</v>
      </c>
    </row>
    <row r="1285" customFormat="false" ht="15" hidden="false" customHeight="false" outlineLevel="0" collapsed="false">
      <c r="A1285" s="2" t="n">
        <v>46140</v>
      </c>
      <c r="B1285" s="3" t="s">
        <v>1077</v>
      </c>
      <c r="C1285" s="0" t="n">
        <v>180</v>
      </c>
      <c r="D1285" s="0" t="n">
        <v>3</v>
      </c>
      <c r="E1285" s="0" t="str">
        <f aca="false">INDEX(lot!$B$2:$B$1201,MATCH(B1285,lot!$A$2:$A$1201,0))</f>
        <v>SUP-D</v>
      </c>
      <c r="F1285" s="3" t="n">
        <f aca="false">YEAR(A1285)*100+MONTH(A1285)</f>
        <v>202604</v>
      </c>
    </row>
    <row r="1286" customFormat="false" ht="15" hidden="false" customHeight="false" outlineLevel="0" collapsed="false">
      <c r="A1286" s="2" t="n">
        <v>46141</v>
      </c>
      <c r="B1286" s="3" t="s">
        <v>123</v>
      </c>
      <c r="C1286" s="0" t="n">
        <v>83</v>
      </c>
      <c r="D1286" s="0" t="n">
        <v>0</v>
      </c>
      <c r="E1286" s="0" t="str">
        <f aca="false">INDEX(lot!$B$2:$B$1201,MATCH(B1286,lot!$A$2:$A$1201,0))</f>
        <v>SUP-D</v>
      </c>
      <c r="F1286" s="3" t="n">
        <f aca="false">YEAR(A1286)*100+MONTH(A1286)</f>
        <v>202604</v>
      </c>
    </row>
    <row r="1287" customFormat="false" ht="15" hidden="false" customHeight="false" outlineLevel="0" collapsed="false">
      <c r="A1287" s="2" t="n">
        <v>46141</v>
      </c>
      <c r="B1287" s="3" t="s">
        <v>130</v>
      </c>
      <c r="C1287" s="0" t="n">
        <v>120</v>
      </c>
      <c r="D1287" s="0" t="n">
        <v>1</v>
      </c>
      <c r="E1287" s="0" t="str">
        <f aca="false">INDEX(lot!$B$2:$B$1201,MATCH(B1287,lot!$A$2:$A$1201,0))</f>
        <v>SUP-D</v>
      </c>
      <c r="F1287" s="3" t="n">
        <f aca="false">YEAR(A1287)*100+MONTH(A1287)</f>
        <v>202604</v>
      </c>
    </row>
    <row r="1288" customFormat="false" ht="15" hidden="false" customHeight="false" outlineLevel="0" collapsed="false">
      <c r="A1288" s="2" t="n">
        <v>46141</v>
      </c>
      <c r="B1288" s="3" t="s">
        <v>147</v>
      </c>
      <c r="C1288" s="0" t="n">
        <v>87</v>
      </c>
      <c r="D1288" s="0" t="n">
        <v>0</v>
      </c>
      <c r="E1288" s="0" t="str">
        <f aca="false">INDEX(lot!$B$2:$B$1201,MATCH(B1288,lot!$A$2:$A$1201,0))</f>
        <v>SUP-D</v>
      </c>
      <c r="F1288" s="3" t="n">
        <f aca="false">YEAR(A1288)*100+MONTH(A1288)</f>
        <v>202604</v>
      </c>
    </row>
    <row r="1289" customFormat="false" ht="15" hidden="false" customHeight="false" outlineLevel="0" collapsed="false">
      <c r="A1289" s="2" t="n">
        <v>46141</v>
      </c>
      <c r="B1289" s="3" t="s">
        <v>147</v>
      </c>
      <c r="C1289" s="0" t="n">
        <v>111</v>
      </c>
      <c r="D1289" s="0" t="n">
        <v>0</v>
      </c>
      <c r="E1289" s="0" t="str">
        <f aca="false">INDEX(lot!$B$2:$B$1201,MATCH(B1289,lot!$A$2:$A$1201,0))</f>
        <v>SUP-D</v>
      </c>
      <c r="F1289" s="3" t="n">
        <f aca="false">YEAR(A1289)*100+MONTH(A1289)</f>
        <v>202604</v>
      </c>
    </row>
    <row r="1290" customFormat="false" ht="15" hidden="false" customHeight="false" outlineLevel="0" collapsed="false">
      <c r="A1290" s="2" t="n">
        <v>46141</v>
      </c>
      <c r="B1290" s="3" t="s">
        <v>183</v>
      </c>
      <c r="C1290" s="0" t="n">
        <v>228</v>
      </c>
      <c r="D1290" s="0" t="n">
        <v>6</v>
      </c>
      <c r="E1290" s="0" t="str">
        <f aca="false">INDEX(lot!$B$2:$B$1201,MATCH(B1290,lot!$A$2:$A$1201,0))</f>
        <v>SUP-E</v>
      </c>
      <c r="F1290" s="3" t="n">
        <f aca="false">YEAR(A1290)*100+MONTH(A1290)</f>
        <v>202604</v>
      </c>
    </row>
    <row r="1291" customFormat="false" ht="15" hidden="false" customHeight="false" outlineLevel="0" collapsed="false">
      <c r="A1291" s="2" t="n">
        <v>46141</v>
      </c>
      <c r="B1291" s="3" t="s">
        <v>208</v>
      </c>
      <c r="C1291" s="0" t="n">
        <v>77</v>
      </c>
      <c r="D1291" s="0" t="n">
        <v>0</v>
      </c>
      <c r="E1291" s="0" t="str">
        <f aca="false">INDEX(lot!$B$2:$B$1201,MATCH(B1291,lot!$A$2:$A$1201,0))</f>
        <v>SUP-D</v>
      </c>
      <c r="F1291" s="3" t="n">
        <f aca="false">YEAR(A1291)*100+MONTH(A1291)</f>
        <v>202604</v>
      </c>
    </row>
    <row r="1292" customFormat="false" ht="15" hidden="false" customHeight="false" outlineLevel="0" collapsed="false">
      <c r="A1292" s="2" t="n">
        <v>46141</v>
      </c>
      <c r="B1292" s="3" t="s">
        <v>208</v>
      </c>
      <c r="C1292" s="0" t="n">
        <v>212</v>
      </c>
      <c r="D1292" s="0" t="n">
        <v>0</v>
      </c>
      <c r="E1292" s="0" t="str">
        <f aca="false">INDEX(lot!$B$2:$B$1201,MATCH(B1292,lot!$A$2:$A$1201,0))</f>
        <v>SUP-D</v>
      </c>
      <c r="F1292" s="3" t="n">
        <f aca="false">YEAR(A1292)*100+MONTH(A1292)</f>
        <v>202604</v>
      </c>
    </row>
    <row r="1293" customFormat="false" ht="15" hidden="false" customHeight="false" outlineLevel="0" collapsed="false">
      <c r="A1293" s="2" t="n">
        <v>46141</v>
      </c>
      <c r="B1293" s="3" t="s">
        <v>287</v>
      </c>
      <c r="C1293" s="0" t="n">
        <v>161</v>
      </c>
      <c r="D1293" s="0" t="n">
        <v>0</v>
      </c>
      <c r="E1293" s="0" t="str">
        <f aca="false">INDEX(lot!$B$2:$B$1201,MATCH(B1293,lot!$A$2:$A$1201,0))</f>
        <v>SUP-D</v>
      </c>
      <c r="F1293" s="3" t="n">
        <f aca="false">YEAR(A1293)*100+MONTH(A1293)</f>
        <v>202604</v>
      </c>
    </row>
    <row r="1294" customFormat="false" ht="15" hidden="false" customHeight="false" outlineLevel="0" collapsed="false">
      <c r="A1294" s="2" t="n">
        <v>46141</v>
      </c>
      <c r="B1294" s="3" t="s">
        <v>287</v>
      </c>
      <c r="C1294" s="0" t="n">
        <v>115</v>
      </c>
      <c r="D1294" s="0" t="n">
        <v>1</v>
      </c>
      <c r="E1294" s="0" t="str">
        <f aca="false">INDEX(lot!$B$2:$B$1201,MATCH(B1294,lot!$A$2:$A$1201,0))</f>
        <v>SUP-D</v>
      </c>
      <c r="F1294" s="3" t="n">
        <f aca="false">YEAR(A1294)*100+MONTH(A1294)</f>
        <v>202604</v>
      </c>
    </row>
    <row r="1295" customFormat="false" ht="15" hidden="false" customHeight="false" outlineLevel="0" collapsed="false">
      <c r="A1295" s="2" t="n">
        <v>46141</v>
      </c>
      <c r="B1295" s="3" t="s">
        <v>297</v>
      </c>
      <c r="C1295" s="0" t="n">
        <v>229</v>
      </c>
      <c r="D1295" s="0" t="n">
        <v>1</v>
      </c>
      <c r="E1295" s="0" t="str">
        <f aca="false">INDEX(lot!$B$2:$B$1201,MATCH(B1295,lot!$A$2:$A$1201,0))</f>
        <v>SUP-A</v>
      </c>
      <c r="F1295" s="3" t="n">
        <f aca="false">YEAR(A1295)*100+MONTH(A1295)</f>
        <v>202604</v>
      </c>
    </row>
    <row r="1296" customFormat="false" ht="15" hidden="false" customHeight="false" outlineLevel="0" collapsed="false">
      <c r="A1296" s="2" t="n">
        <v>46141</v>
      </c>
      <c r="B1296" s="3" t="s">
        <v>297</v>
      </c>
      <c r="C1296" s="0" t="n">
        <v>212</v>
      </c>
      <c r="D1296" s="0" t="n">
        <v>3</v>
      </c>
      <c r="E1296" s="0" t="str">
        <f aca="false">INDEX(lot!$B$2:$B$1201,MATCH(B1296,lot!$A$2:$A$1201,0))</f>
        <v>SUP-A</v>
      </c>
      <c r="F1296" s="3" t="n">
        <f aca="false">YEAR(A1296)*100+MONTH(A1296)</f>
        <v>202604</v>
      </c>
    </row>
    <row r="1297" customFormat="false" ht="15" hidden="false" customHeight="false" outlineLevel="0" collapsed="false">
      <c r="A1297" s="2" t="n">
        <v>46141</v>
      </c>
      <c r="B1297" s="3" t="s">
        <v>305</v>
      </c>
      <c r="C1297" s="0" t="n">
        <v>188</v>
      </c>
      <c r="D1297" s="0" t="n">
        <v>2</v>
      </c>
      <c r="E1297" s="0" t="str">
        <f aca="false">INDEX(lot!$B$2:$B$1201,MATCH(B1297,lot!$A$2:$A$1201,0))</f>
        <v>SUP-E</v>
      </c>
      <c r="F1297" s="3" t="n">
        <f aca="false">YEAR(A1297)*100+MONTH(A1297)</f>
        <v>202604</v>
      </c>
    </row>
    <row r="1298" customFormat="false" ht="15" hidden="false" customHeight="false" outlineLevel="0" collapsed="false">
      <c r="A1298" s="2" t="n">
        <v>46141</v>
      </c>
      <c r="B1298" s="3" t="s">
        <v>549</v>
      </c>
      <c r="C1298" s="0" t="n">
        <v>209</v>
      </c>
      <c r="D1298" s="0" t="n">
        <v>2</v>
      </c>
      <c r="E1298" s="0" t="str">
        <f aca="false">INDEX(lot!$B$2:$B$1201,MATCH(B1298,lot!$A$2:$A$1201,0))</f>
        <v>SUP-B</v>
      </c>
      <c r="F1298" s="3" t="n">
        <f aca="false">YEAR(A1298)*100+MONTH(A1298)</f>
        <v>202604</v>
      </c>
    </row>
    <row r="1299" customFormat="false" ht="15" hidden="false" customHeight="false" outlineLevel="0" collapsed="false">
      <c r="A1299" s="2" t="n">
        <v>46141</v>
      </c>
      <c r="B1299" s="3" t="s">
        <v>630</v>
      </c>
      <c r="C1299" s="0" t="n">
        <v>183</v>
      </c>
      <c r="D1299" s="0" t="n">
        <v>1</v>
      </c>
      <c r="E1299" s="0" t="str">
        <f aca="false">INDEX(lot!$B$2:$B$1201,MATCH(B1299,lot!$A$2:$A$1201,0))</f>
        <v>SUP-A</v>
      </c>
      <c r="F1299" s="3" t="n">
        <f aca="false">YEAR(A1299)*100+MONTH(A1299)</f>
        <v>202604</v>
      </c>
    </row>
    <row r="1300" customFormat="false" ht="15" hidden="false" customHeight="false" outlineLevel="0" collapsed="false">
      <c r="A1300" s="2" t="n">
        <v>46141</v>
      </c>
      <c r="B1300" s="3" t="s">
        <v>630</v>
      </c>
      <c r="C1300" s="0" t="n">
        <v>223</v>
      </c>
      <c r="D1300" s="0" t="n">
        <v>2</v>
      </c>
      <c r="E1300" s="0" t="str">
        <f aca="false">INDEX(lot!$B$2:$B$1201,MATCH(B1300,lot!$A$2:$A$1201,0))</f>
        <v>SUP-A</v>
      </c>
      <c r="F1300" s="3" t="n">
        <f aca="false">YEAR(A1300)*100+MONTH(A1300)</f>
        <v>202604</v>
      </c>
    </row>
    <row r="1301" customFormat="false" ht="15" hidden="false" customHeight="false" outlineLevel="0" collapsed="false">
      <c r="A1301" s="2" t="n">
        <v>46141</v>
      </c>
      <c r="B1301" s="3" t="s">
        <v>643</v>
      </c>
      <c r="C1301" s="0" t="n">
        <v>77</v>
      </c>
      <c r="D1301" s="0" t="n">
        <v>1</v>
      </c>
      <c r="E1301" s="0" t="str">
        <f aca="false">INDEX(lot!$B$2:$B$1201,MATCH(B1301,lot!$A$2:$A$1201,0))</f>
        <v>SUP-C</v>
      </c>
      <c r="F1301" s="3" t="n">
        <f aca="false">YEAR(A1301)*100+MONTH(A1301)</f>
        <v>202604</v>
      </c>
    </row>
    <row r="1302" customFormat="false" ht="15" hidden="false" customHeight="false" outlineLevel="0" collapsed="false">
      <c r="A1302" s="2" t="n">
        <v>46141</v>
      </c>
      <c r="B1302" s="3" t="s">
        <v>643</v>
      </c>
      <c r="C1302" s="0" t="n">
        <v>242</v>
      </c>
      <c r="D1302" s="0" t="n">
        <v>8</v>
      </c>
      <c r="E1302" s="0" t="str">
        <f aca="false">INDEX(lot!$B$2:$B$1201,MATCH(B1302,lot!$A$2:$A$1201,0))</f>
        <v>SUP-C</v>
      </c>
      <c r="F1302" s="3" t="n">
        <f aca="false">YEAR(A1302)*100+MONTH(A1302)</f>
        <v>202604</v>
      </c>
    </row>
    <row r="1303" customFormat="false" ht="15" hidden="false" customHeight="false" outlineLevel="0" collapsed="false">
      <c r="A1303" s="2" t="n">
        <v>46141</v>
      </c>
      <c r="B1303" s="3" t="s">
        <v>660</v>
      </c>
      <c r="C1303" s="0" t="n">
        <v>155</v>
      </c>
      <c r="D1303" s="0" t="n">
        <v>1</v>
      </c>
      <c r="E1303" s="0" t="str">
        <f aca="false">INDEX(lot!$B$2:$B$1201,MATCH(B1303,lot!$A$2:$A$1201,0))</f>
        <v>SUP-E</v>
      </c>
      <c r="F1303" s="3" t="n">
        <f aca="false">YEAR(A1303)*100+MONTH(A1303)</f>
        <v>202604</v>
      </c>
    </row>
    <row r="1304" customFormat="false" ht="15" hidden="false" customHeight="false" outlineLevel="0" collapsed="false">
      <c r="A1304" s="2" t="n">
        <v>46141</v>
      </c>
      <c r="B1304" s="3" t="s">
        <v>728</v>
      </c>
      <c r="C1304" s="0" t="n">
        <v>8</v>
      </c>
      <c r="D1304" s="0" t="n">
        <v>0</v>
      </c>
      <c r="E1304" s="0" t="str">
        <f aca="false">INDEX(lot!$B$2:$B$1201,MATCH(B1304,lot!$A$2:$A$1201,0))</f>
        <v>SUP-D</v>
      </c>
      <c r="F1304" s="3" t="n">
        <f aca="false">YEAR(A1304)*100+MONTH(A1304)</f>
        <v>202604</v>
      </c>
    </row>
    <row r="1305" customFormat="false" ht="15" hidden="false" customHeight="false" outlineLevel="0" collapsed="false">
      <c r="A1305" s="2" t="n">
        <v>46141</v>
      </c>
      <c r="B1305" s="3" t="s">
        <v>750</v>
      </c>
      <c r="C1305" s="0" t="n">
        <v>71</v>
      </c>
      <c r="D1305" s="0" t="n">
        <v>0</v>
      </c>
      <c r="E1305" s="0" t="str">
        <f aca="false">INDEX(lot!$B$2:$B$1201,MATCH(B1305,lot!$A$2:$A$1201,0))</f>
        <v>SUP-A</v>
      </c>
      <c r="F1305" s="3" t="n">
        <f aca="false">YEAR(A1305)*100+MONTH(A1305)</f>
        <v>202604</v>
      </c>
    </row>
    <row r="1306" customFormat="false" ht="15" hidden="false" customHeight="false" outlineLevel="0" collapsed="false">
      <c r="A1306" s="2" t="n">
        <v>46141</v>
      </c>
      <c r="B1306" s="3" t="s">
        <v>753</v>
      </c>
      <c r="C1306" s="0" t="n">
        <v>95</v>
      </c>
      <c r="D1306" s="0" t="n">
        <v>1</v>
      </c>
      <c r="E1306" s="0" t="str">
        <f aca="false">INDEX(lot!$B$2:$B$1201,MATCH(B1306,lot!$A$2:$A$1201,0))</f>
        <v>SUP-D</v>
      </c>
      <c r="F1306" s="3" t="n">
        <f aca="false">YEAR(A1306)*100+MONTH(A1306)</f>
        <v>202604</v>
      </c>
    </row>
    <row r="1307" customFormat="false" ht="15" hidden="false" customHeight="false" outlineLevel="0" collapsed="false">
      <c r="A1307" s="2" t="n">
        <v>46141</v>
      </c>
      <c r="B1307" s="3" t="s">
        <v>828</v>
      </c>
      <c r="C1307" s="0" t="n">
        <v>138</v>
      </c>
      <c r="D1307" s="0" t="n">
        <v>2</v>
      </c>
      <c r="E1307" s="0" t="str">
        <f aca="false">INDEX(lot!$B$2:$B$1201,MATCH(B1307,lot!$A$2:$A$1201,0))</f>
        <v>SUP-E</v>
      </c>
      <c r="F1307" s="3" t="n">
        <f aca="false">YEAR(A1307)*100+MONTH(A1307)</f>
        <v>202604</v>
      </c>
    </row>
    <row r="1308" customFormat="false" ht="15" hidden="false" customHeight="false" outlineLevel="0" collapsed="false">
      <c r="A1308" s="2" t="n">
        <v>46141</v>
      </c>
      <c r="B1308" s="3" t="s">
        <v>886</v>
      </c>
      <c r="C1308" s="0" t="n">
        <v>243</v>
      </c>
      <c r="D1308" s="0" t="n">
        <v>2</v>
      </c>
      <c r="E1308" s="0" t="str">
        <f aca="false">INDEX(lot!$B$2:$B$1201,MATCH(B1308,lot!$A$2:$A$1201,0))</f>
        <v>SUP-D</v>
      </c>
      <c r="F1308" s="3" t="n">
        <f aca="false">YEAR(A1308)*100+MONTH(A1308)</f>
        <v>202604</v>
      </c>
    </row>
    <row r="1309" customFormat="false" ht="15" hidden="false" customHeight="false" outlineLevel="0" collapsed="false">
      <c r="A1309" s="2" t="n">
        <v>46141</v>
      </c>
      <c r="B1309" s="3" t="s">
        <v>886</v>
      </c>
      <c r="C1309" s="0" t="n">
        <v>162</v>
      </c>
      <c r="D1309" s="0" t="n">
        <v>1</v>
      </c>
      <c r="E1309" s="0" t="str">
        <f aca="false">INDEX(lot!$B$2:$B$1201,MATCH(B1309,lot!$A$2:$A$1201,0))</f>
        <v>SUP-D</v>
      </c>
      <c r="F1309" s="3" t="n">
        <f aca="false">YEAR(A1309)*100+MONTH(A1309)</f>
        <v>202604</v>
      </c>
    </row>
    <row r="1310" customFormat="false" ht="15" hidden="false" customHeight="false" outlineLevel="0" collapsed="false">
      <c r="A1310" s="2" t="n">
        <v>46141</v>
      </c>
      <c r="B1310" s="3" t="s">
        <v>925</v>
      </c>
      <c r="C1310" s="0" t="n">
        <v>235</v>
      </c>
      <c r="D1310" s="0" t="n">
        <v>6</v>
      </c>
      <c r="E1310" s="0" t="str">
        <f aca="false">INDEX(lot!$B$2:$B$1201,MATCH(B1310,lot!$A$2:$A$1201,0))</f>
        <v>SUP-C</v>
      </c>
      <c r="F1310" s="3" t="n">
        <f aca="false">YEAR(A1310)*100+MONTH(A1310)</f>
        <v>202604</v>
      </c>
    </row>
    <row r="1311" customFormat="false" ht="15" hidden="false" customHeight="false" outlineLevel="0" collapsed="false">
      <c r="A1311" s="2" t="n">
        <v>46141</v>
      </c>
      <c r="B1311" s="3" t="s">
        <v>975</v>
      </c>
      <c r="C1311" s="0" t="n">
        <v>243</v>
      </c>
      <c r="D1311" s="0" t="n">
        <v>3</v>
      </c>
      <c r="E1311" s="0" t="str">
        <f aca="false">INDEX(lot!$B$2:$B$1201,MATCH(B1311,lot!$A$2:$A$1201,0))</f>
        <v>SUP-C</v>
      </c>
      <c r="F1311" s="3" t="n">
        <f aca="false">YEAR(A1311)*100+MONTH(A1311)</f>
        <v>202604</v>
      </c>
    </row>
    <row r="1312" customFormat="false" ht="15" hidden="false" customHeight="false" outlineLevel="0" collapsed="false">
      <c r="A1312" s="2" t="n">
        <v>46141</v>
      </c>
      <c r="B1312" s="3" t="s">
        <v>1010</v>
      </c>
      <c r="C1312" s="0" t="n">
        <v>127</v>
      </c>
      <c r="D1312" s="0" t="n">
        <v>2</v>
      </c>
      <c r="E1312" s="0" t="str">
        <f aca="false">INDEX(lot!$B$2:$B$1201,MATCH(B1312,lot!$A$2:$A$1201,0))</f>
        <v>SUP-D</v>
      </c>
      <c r="F1312" s="3" t="n">
        <f aca="false">YEAR(A1312)*100+MONTH(A1312)</f>
        <v>202604</v>
      </c>
    </row>
    <row r="1313" customFormat="false" ht="15" hidden="false" customHeight="false" outlineLevel="0" collapsed="false">
      <c r="A1313" s="2" t="n">
        <v>46141</v>
      </c>
      <c r="B1313" s="3" t="s">
        <v>1030</v>
      </c>
      <c r="C1313" s="0" t="n">
        <v>221</v>
      </c>
      <c r="D1313" s="0" t="n">
        <v>2</v>
      </c>
      <c r="E1313" s="0" t="str">
        <f aca="false">INDEX(lot!$B$2:$B$1201,MATCH(B1313,lot!$A$2:$A$1201,0))</f>
        <v>SUP-D</v>
      </c>
      <c r="F1313" s="3" t="n">
        <f aca="false">YEAR(A1313)*100+MONTH(A1313)</f>
        <v>202604</v>
      </c>
    </row>
    <row r="1314" customFormat="false" ht="15" hidden="false" customHeight="false" outlineLevel="0" collapsed="false">
      <c r="A1314" s="2" t="n">
        <v>46141</v>
      </c>
      <c r="B1314" s="3" t="s">
        <v>1030</v>
      </c>
      <c r="C1314" s="0" t="n">
        <v>189</v>
      </c>
      <c r="D1314" s="0" t="n">
        <v>1</v>
      </c>
      <c r="E1314" s="0" t="str">
        <f aca="false">INDEX(lot!$B$2:$B$1201,MATCH(B1314,lot!$A$2:$A$1201,0))</f>
        <v>SUP-D</v>
      </c>
      <c r="F1314" s="3" t="n">
        <f aca="false">YEAR(A1314)*100+MONTH(A1314)</f>
        <v>202604</v>
      </c>
    </row>
    <row r="1315" customFormat="false" ht="15" hidden="false" customHeight="false" outlineLevel="0" collapsed="false">
      <c r="A1315" s="2" t="n">
        <v>46141</v>
      </c>
      <c r="B1315" s="3" t="s">
        <v>1146</v>
      </c>
      <c r="C1315" s="0" t="n">
        <v>240</v>
      </c>
      <c r="D1315" s="0" t="n">
        <v>1</v>
      </c>
      <c r="E1315" s="0" t="str">
        <f aca="false">INDEX(lot!$B$2:$B$1201,MATCH(B1315,lot!$A$2:$A$1201,0))</f>
        <v>SUP-E</v>
      </c>
      <c r="F1315" s="3" t="n">
        <f aca="false">YEAR(A1315)*100+MONTH(A1315)</f>
        <v>202604</v>
      </c>
    </row>
    <row r="1316" customFormat="false" ht="15" hidden="false" customHeight="false" outlineLevel="0" collapsed="false">
      <c r="A1316" s="2" t="n">
        <v>46142</v>
      </c>
      <c r="B1316" s="3" t="s">
        <v>14</v>
      </c>
      <c r="C1316" s="0" t="n">
        <v>200</v>
      </c>
      <c r="D1316" s="0" t="n">
        <v>1</v>
      </c>
      <c r="E1316" s="0" t="str">
        <f aca="false">INDEX(lot!$B$2:$B$1201,MATCH(B1316,lot!$A$2:$A$1201,0))</f>
        <v>SUP-C</v>
      </c>
      <c r="F1316" s="3" t="n">
        <f aca="false">YEAR(A1316)*100+MONTH(A1316)</f>
        <v>202604</v>
      </c>
    </row>
    <row r="1317" customFormat="false" ht="15" hidden="false" customHeight="false" outlineLevel="0" collapsed="false">
      <c r="A1317" s="2" t="n">
        <v>46142</v>
      </c>
      <c r="B1317" s="3" t="s">
        <v>14</v>
      </c>
      <c r="C1317" s="0" t="n">
        <v>68</v>
      </c>
      <c r="D1317" s="0" t="n">
        <v>2</v>
      </c>
      <c r="E1317" s="0" t="str">
        <f aca="false">INDEX(lot!$B$2:$B$1201,MATCH(B1317,lot!$A$2:$A$1201,0))</f>
        <v>SUP-C</v>
      </c>
      <c r="F1317" s="3" t="n">
        <f aca="false">YEAR(A1317)*100+MONTH(A1317)</f>
        <v>202604</v>
      </c>
    </row>
    <row r="1318" customFormat="false" ht="15" hidden="false" customHeight="false" outlineLevel="0" collapsed="false">
      <c r="A1318" s="2" t="n">
        <v>46142</v>
      </c>
      <c r="B1318" s="3" t="s">
        <v>147</v>
      </c>
      <c r="C1318" s="0" t="n">
        <v>156</v>
      </c>
      <c r="D1318" s="0" t="n">
        <v>1</v>
      </c>
      <c r="E1318" s="0" t="str">
        <f aca="false">INDEX(lot!$B$2:$B$1201,MATCH(B1318,lot!$A$2:$A$1201,0))</f>
        <v>SUP-D</v>
      </c>
      <c r="F1318" s="3" t="n">
        <f aca="false">YEAR(A1318)*100+MONTH(A1318)</f>
        <v>202604</v>
      </c>
    </row>
    <row r="1319" customFormat="false" ht="15" hidden="false" customHeight="false" outlineLevel="0" collapsed="false">
      <c r="A1319" s="2" t="n">
        <v>46142</v>
      </c>
      <c r="B1319" s="3" t="s">
        <v>147</v>
      </c>
      <c r="C1319" s="0" t="n">
        <v>219</v>
      </c>
      <c r="D1319" s="0" t="n">
        <v>2</v>
      </c>
      <c r="E1319" s="0" t="str">
        <f aca="false">INDEX(lot!$B$2:$B$1201,MATCH(B1319,lot!$A$2:$A$1201,0))</f>
        <v>SUP-D</v>
      </c>
      <c r="F1319" s="3" t="n">
        <f aca="false">YEAR(A1319)*100+MONTH(A1319)</f>
        <v>202604</v>
      </c>
    </row>
    <row r="1320" customFormat="false" ht="15" hidden="false" customHeight="false" outlineLevel="0" collapsed="false">
      <c r="A1320" s="2" t="n">
        <v>46142</v>
      </c>
      <c r="B1320" s="3" t="s">
        <v>174</v>
      </c>
      <c r="C1320" s="0" t="n">
        <v>234</v>
      </c>
      <c r="D1320" s="0" t="n">
        <v>0</v>
      </c>
      <c r="E1320" s="0" t="str">
        <f aca="false">INDEX(lot!$B$2:$B$1201,MATCH(B1320,lot!$A$2:$A$1201,0))</f>
        <v>SUP-A</v>
      </c>
      <c r="F1320" s="3" t="n">
        <f aca="false">YEAR(A1320)*100+MONTH(A1320)</f>
        <v>202604</v>
      </c>
    </row>
    <row r="1321" customFormat="false" ht="15" hidden="false" customHeight="false" outlineLevel="0" collapsed="false">
      <c r="A1321" s="2" t="n">
        <v>46142</v>
      </c>
      <c r="B1321" s="3" t="s">
        <v>193</v>
      </c>
      <c r="C1321" s="0" t="n">
        <v>158</v>
      </c>
      <c r="D1321" s="0" t="n">
        <v>3</v>
      </c>
      <c r="E1321" s="0" t="str">
        <f aca="false">INDEX(lot!$B$2:$B$1201,MATCH(B1321,lot!$A$2:$A$1201,0))</f>
        <v>SUP-D</v>
      </c>
      <c r="F1321" s="3" t="n">
        <f aca="false">YEAR(A1321)*100+MONTH(A1321)</f>
        <v>202604</v>
      </c>
    </row>
    <row r="1322" customFormat="false" ht="15" hidden="false" customHeight="false" outlineLevel="0" collapsed="false">
      <c r="A1322" s="2" t="n">
        <v>46142</v>
      </c>
      <c r="B1322" s="3" t="s">
        <v>297</v>
      </c>
      <c r="C1322" s="0" t="n">
        <v>173</v>
      </c>
      <c r="D1322" s="0" t="n">
        <v>2</v>
      </c>
      <c r="E1322" s="0" t="str">
        <f aca="false">INDEX(lot!$B$2:$B$1201,MATCH(B1322,lot!$A$2:$A$1201,0))</f>
        <v>SUP-A</v>
      </c>
      <c r="F1322" s="3" t="n">
        <f aca="false">YEAR(A1322)*100+MONTH(A1322)</f>
        <v>202604</v>
      </c>
    </row>
    <row r="1323" customFormat="false" ht="15" hidden="false" customHeight="false" outlineLevel="0" collapsed="false">
      <c r="A1323" s="2" t="n">
        <v>46142</v>
      </c>
      <c r="B1323" s="3" t="s">
        <v>297</v>
      </c>
      <c r="C1323" s="0" t="n">
        <v>215</v>
      </c>
      <c r="D1323" s="0" t="n">
        <v>5</v>
      </c>
      <c r="E1323" s="0" t="str">
        <f aca="false">INDEX(lot!$B$2:$B$1201,MATCH(B1323,lot!$A$2:$A$1201,0))</f>
        <v>SUP-A</v>
      </c>
      <c r="F1323" s="3" t="n">
        <f aca="false">YEAR(A1323)*100+MONTH(A1323)</f>
        <v>202604</v>
      </c>
    </row>
    <row r="1324" customFormat="false" ht="15" hidden="false" customHeight="false" outlineLevel="0" collapsed="false">
      <c r="A1324" s="2" t="n">
        <v>46142</v>
      </c>
      <c r="B1324" s="3" t="s">
        <v>305</v>
      </c>
      <c r="C1324" s="0" t="n">
        <v>212</v>
      </c>
      <c r="D1324" s="0" t="n">
        <v>3</v>
      </c>
      <c r="E1324" s="0" t="str">
        <f aca="false">INDEX(lot!$B$2:$B$1201,MATCH(B1324,lot!$A$2:$A$1201,0))</f>
        <v>SUP-E</v>
      </c>
      <c r="F1324" s="3" t="n">
        <f aca="false">YEAR(A1324)*100+MONTH(A1324)</f>
        <v>202604</v>
      </c>
    </row>
    <row r="1325" customFormat="false" ht="15" hidden="false" customHeight="false" outlineLevel="0" collapsed="false">
      <c r="A1325" s="2" t="n">
        <v>46142</v>
      </c>
      <c r="B1325" s="3" t="s">
        <v>549</v>
      </c>
      <c r="C1325" s="0" t="n">
        <v>123</v>
      </c>
      <c r="D1325" s="0" t="n">
        <v>1</v>
      </c>
      <c r="E1325" s="0" t="str">
        <f aca="false">INDEX(lot!$B$2:$B$1201,MATCH(B1325,lot!$A$2:$A$1201,0))</f>
        <v>SUP-B</v>
      </c>
      <c r="F1325" s="3" t="n">
        <f aca="false">YEAR(A1325)*100+MONTH(A1325)</f>
        <v>202604</v>
      </c>
    </row>
    <row r="1326" customFormat="false" ht="15" hidden="false" customHeight="false" outlineLevel="0" collapsed="false">
      <c r="A1326" s="2" t="n">
        <v>46142</v>
      </c>
      <c r="B1326" s="3" t="s">
        <v>549</v>
      </c>
      <c r="C1326" s="0" t="n">
        <v>95</v>
      </c>
      <c r="D1326" s="0" t="n">
        <v>0</v>
      </c>
      <c r="E1326" s="0" t="str">
        <f aca="false">INDEX(lot!$B$2:$B$1201,MATCH(B1326,lot!$A$2:$A$1201,0))</f>
        <v>SUP-B</v>
      </c>
      <c r="F1326" s="3" t="n">
        <f aca="false">YEAR(A1326)*100+MONTH(A1326)</f>
        <v>202604</v>
      </c>
    </row>
    <row r="1327" customFormat="false" ht="15" hidden="false" customHeight="false" outlineLevel="0" collapsed="false">
      <c r="A1327" s="2" t="n">
        <v>46142</v>
      </c>
      <c r="B1327" s="3" t="s">
        <v>570</v>
      </c>
      <c r="C1327" s="0" t="n">
        <v>70</v>
      </c>
      <c r="D1327" s="0" t="n">
        <v>1</v>
      </c>
      <c r="E1327" s="0" t="str">
        <f aca="false">INDEX(lot!$B$2:$B$1201,MATCH(B1327,lot!$A$2:$A$1201,0))</f>
        <v>SUP-D</v>
      </c>
      <c r="F1327" s="3" t="n">
        <f aca="false">YEAR(A1327)*100+MONTH(A1327)</f>
        <v>202604</v>
      </c>
    </row>
    <row r="1328" customFormat="false" ht="15" hidden="false" customHeight="false" outlineLevel="0" collapsed="false">
      <c r="A1328" s="2" t="n">
        <v>46142</v>
      </c>
      <c r="B1328" s="3" t="s">
        <v>570</v>
      </c>
      <c r="C1328" s="0" t="n">
        <v>206</v>
      </c>
      <c r="D1328" s="0" t="n">
        <v>1</v>
      </c>
      <c r="E1328" s="0" t="str">
        <f aca="false">INDEX(lot!$B$2:$B$1201,MATCH(B1328,lot!$A$2:$A$1201,0))</f>
        <v>SUP-D</v>
      </c>
      <c r="F1328" s="3" t="n">
        <f aca="false">YEAR(A1328)*100+MONTH(A1328)</f>
        <v>202604</v>
      </c>
    </row>
    <row r="1329" customFormat="false" ht="15" hidden="false" customHeight="false" outlineLevel="0" collapsed="false">
      <c r="A1329" s="2" t="n">
        <v>46142</v>
      </c>
      <c r="B1329" s="3" t="s">
        <v>643</v>
      </c>
      <c r="C1329" s="0" t="n">
        <v>210</v>
      </c>
      <c r="D1329" s="0" t="n">
        <v>3</v>
      </c>
      <c r="E1329" s="0" t="str">
        <f aca="false">INDEX(lot!$B$2:$B$1201,MATCH(B1329,lot!$A$2:$A$1201,0))</f>
        <v>SUP-C</v>
      </c>
      <c r="F1329" s="3" t="n">
        <f aca="false">YEAR(A1329)*100+MONTH(A1329)</f>
        <v>202604</v>
      </c>
    </row>
    <row r="1330" customFormat="false" ht="15" hidden="false" customHeight="false" outlineLevel="0" collapsed="false">
      <c r="A1330" s="2" t="n">
        <v>46142</v>
      </c>
      <c r="B1330" s="3" t="s">
        <v>643</v>
      </c>
      <c r="C1330" s="0" t="n">
        <v>176</v>
      </c>
      <c r="D1330" s="0" t="n">
        <v>2</v>
      </c>
      <c r="E1330" s="0" t="str">
        <f aca="false">INDEX(lot!$B$2:$B$1201,MATCH(B1330,lot!$A$2:$A$1201,0))</f>
        <v>SUP-C</v>
      </c>
      <c r="F1330" s="3" t="n">
        <f aca="false">YEAR(A1330)*100+MONTH(A1330)</f>
        <v>202604</v>
      </c>
    </row>
    <row r="1331" customFormat="false" ht="15" hidden="false" customHeight="false" outlineLevel="0" collapsed="false">
      <c r="A1331" s="2" t="n">
        <v>46142</v>
      </c>
      <c r="B1331" s="3" t="s">
        <v>652</v>
      </c>
      <c r="C1331" s="0" t="n">
        <v>104</v>
      </c>
      <c r="D1331" s="0" t="n">
        <v>1</v>
      </c>
      <c r="E1331" s="0" t="str">
        <f aca="false">INDEX(lot!$B$2:$B$1201,MATCH(B1331,lot!$A$2:$A$1201,0))</f>
        <v>SUP-D</v>
      </c>
      <c r="F1331" s="3" t="n">
        <f aca="false">YEAR(A1331)*100+MONTH(A1331)</f>
        <v>202604</v>
      </c>
    </row>
    <row r="1332" customFormat="false" ht="15" hidden="false" customHeight="false" outlineLevel="0" collapsed="false">
      <c r="A1332" s="2" t="n">
        <v>46142</v>
      </c>
      <c r="B1332" s="3" t="s">
        <v>652</v>
      </c>
      <c r="C1332" s="0" t="n">
        <v>188</v>
      </c>
      <c r="D1332" s="0" t="n">
        <v>1</v>
      </c>
      <c r="E1332" s="0" t="str">
        <f aca="false">INDEX(lot!$B$2:$B$1201,MATCH(B1332,lot!$A$2:$A$1201,0))</f>
        <v>SUP-D</v>
      </c>
      <c r="F1332" s="3" t="n">
        <f aca="false">YEAR(A1332)*100+MONTH(A1332)</f>
        <v>202604</v>
      </c>
    </row>
    <row r="1333" customFormat="false" ht="15" hidden="false" customHeight="false" outlineLevel="0" collapsed="false">
      <c r="A1333" s="2" t="n">
        <v>46142</v>
      </c>
      <c r="B1333" s="3" t="s">
        <v>693</v>
      </c>
      <c r="C1333" s="0" t="n">
        <v>148</v>
      </c>
      <c r="D1333" s="0" t="n">
        <v>2</v>
      </c>
      <c r="E1333" s="0" t="str">
        <f aca="false">INDEX(lot!$B$2:$B$1201,MATCH(B1333,lot!$A$2:$A$1201,0))</f>
        <v>SUP-D</v>
      </c>
      <c r="F1333" s="3" t="n">
        <f aca="false">YEAR(A1333)*100+MONTH(A1333)</f>
        <v>202604</v>
      </c>
    </row>
    <row r="1334" customFormat="false" ht="15" hidden="false" customHeight="false" outlineLevel="0" collapsed="false">
      <c r="A1334" s="2" t="n">
        <v>46142</v>
      </c>
      <c r="B1334" s="3" t="s">
        <v>693</v>
      </c>
      <c r="C1334" s="0" t="n">
        <v>69</v>
      </c>
      <c r="D1334" s="0" t="n">
        <v>0</v>
      </c>
      <c r="E1334" s="0" t="str">
        <f aca="false">INDEX(lot!$B$2:$B$1201,MATCH(B1334,lot!$A$2:$A$1201,0))</f>
        <v>SUP-D</v>
      </c>
      <c r="F1334" s="3" t="n">
        <f aca="false">YEAR(A1334)*100+MONTH(A1334)</f>
        <v>202604</v>
      </c>
    </row>
    <row r="1335" customFormat="false" ht="15" hidden="false" customHeight="false" outlineLevel="0" collapsed="false">
      <c r="A1335" s="2" t="n">
        <v>46142</v>
      </c>
      <c r="B1335" s="3" t="s">
        <v>828</v>
      </c>
      <c r="C1335" s="0" t="n">
        <v>205</v>
      </c>
      <c r="D1335" s="0" t="n">
        <v>0</v>
      </c>
      <c r="E1335" s="0" t="str">
        <f aca="false">INDEX(lot!$B$2:$B$1201,MATCH(B1335,lot!$A$2:$A$1201,0))</f>
        <v>SUP-E</v>
      </c>
      <c r="F1335" s="3" t="n">
        <f aca="false">YEAR(A1335)*100+MONTH(A1335)</f>
        <v>202604</v>
      </c>
    </row>
    <row r="1336" customFormat="false" ht="15" hidden="false" customHeight="false" outlineLevel="0" collapsed="false">
      <c r="A1336" s="2" t="n">
        <v>46142</v>
      </c>
      <c r="B1336" s="3" t="s">
        <v>828</v>
      </c>
      <c r="C1336" s="0" t="n">
        <v>99</v>
      </c>
      <c r="D1336" s="0" t="n">
        <v>0</v>
      </c>
      <c r="E1336" s="0" t="str">
        <f aca="false">INDEX(lot!$B$2:$B$1201,MATCH(B1336,lot!$A$2:$A$1201,0))</f>
        <v>SUP-E</v>
      </c>
      <c r="F1336" s="3" t="n">
        <f aca="false">YEAR(A1336)*100+MONTH(A1336)</f>
        <v>202604</v>
      </c>
    </row>
    <row r="1337" customFormat="false" ht="15" hidden="false" customHeight="false" outlineLevel="0" collapsed="false">
      <c r="A1337" s="2" t="n">
        <v>46142</v>
      </c>
      <c r="B1337" s="3" t="s">
        <v>886</v>
      </c>
      <c r="C1337" s="0" t="n">
        <v>154</v>
      </c>
      <c r="D1337" s="0" t="n">
        <v>2</v>
      </c>
      <c r="E1337" s="0" t="str">
        <f aca="false">INDEX(lot!$B$2:$B$1201,MATCH(B1337,lot!$A$2:$A$1201,0))</f>
        <v>SUP-D</v>
      </c>
      <c r="F1337" s="3" t="n">
        <f aca="false">YEAR(A1337)*100+MONTH(A1337)</f>
        <v>202604</v>
      </c>
    </row>
    <row r="1338" customFormat="false" ht="15" hidden="false" customHeight="false" outlineLevel="0" collapsed="false">
      <c r="A1338" s="2" t="n">
        <v>46142</v>
      </c>
      <c r="B1338" s="3" t="s">
        <v>886</v>
      </c>
      <c r="C1338" s="0" t="n">
        <v>165</v>
      </c>
      <c r="D1338" s="0" t="n">
        <v>2</v>
      </c>
      <c r="E1338" s="0" t="str">
        <f aca="false">INDEX(lot!$B$2:$B$1201,MATCH(B1338,lot!$A$2:$A$1201,0))</f>
        <v>SUP-D</v>
      </c>
      <c r="F1338" s="3" t="n">
        <f aca="false">YEAR(A1338)*100+MONTH(A1338)</f>
        <v>202604</v>
      </c>
    </row>
    <row r="1339" customFormat="false" ht="15" hidden="false" customHeight="false" outlineLevel="0" collapsed="false">
      <c r="A1339" s="2" t="n">
        <v>46142</v>
      </c>
      <c r="B1339" s="3" t="s">
        <v>1134</v>
      </c>
      <c r="C1339" s="0" t="n">
        <v>128</v>
      </c>
      <c r="D1339" s="0" t="n">
        <v>2</v>
      </c>
      <c r="E1339" s="0" t="str">
        <f aca="false">INDEX(lot!$B$2:$B$1201,MATCH(B1339,lot!$A$2:$A$1201,0))</f>
        <v>SUP-C</v>
      </c>
      <c r="F1339" s="3" t="n">
        <f aca="false">YEAR(A1339)*100+MONTH(A1339)</f>
        <v>202604</v>
      </c>
    </row>
    <row r="1340" customFormat="false" ht="15" hidden="false" customHeight="false" outlineLevel="0" collapsed="false">
      <c r="A1340" s="2" t="n">
        <v>46142</v>
      </c>
      <c r="B1340" s="3" t="s">
        <v>1134</v>
      </c>
      <c r="C1340" s="0" t="n">
        <v>183</v>
      </c>
      <c r="D1340" s="0" t="n">
        <v>3</v>
      </c>
      <c r="E1340" s="0" t="str">
        <f aca="false">INDEX(lot!$B$2:$B$1201,MATCH(B1340,lot!$A$2:$A$1201,0))</f>
        <v>SUP-C</v>
      </c>
      <c r="F1340" s="3" t="n">
        <f aca="false">YEAR(A1340)*100+MONTH(A1340)</f>
        <v>202604</v>
      </c>
    </row>
    <row r="1341" customFormat="false" ht="15" hidden="false" customHeight="false" outlineLevel="0" collapsed="false">
      <c r="A1341" s="2" t="n">
        <v>46142</v>
      </c>
      <c r="B1341" s="3" t="s">
        <v>1146</v>
      </c>
      <c r="C1341" s="0" t="n">
        <v>224</v>
      </c>
      <c r="D1341" s="0" t="n">
        <v>3</v>
      </c>
      <c r="E1341" s="0" t="str">
        <f aca="false">INDEX(lot!$B$2:$B$1201,MATCH(B1341,lot!$A$2:$A$1201,0))</f>
        <v>SUP-E</v>
      </c>
      <c r="F1341" s="3" t="n">
        <f aca="false">YEAR(A1341)*100+MONTH(A1341)</f>
        <v>202604</v>
      </c>
    </row>
    <row r="1342" customFormat="false" ht="15" hidden="false" customHeight="false" outlineLevel="0" collapsed="false">
      <c r="A1342" s="2" t="n">
        <v>46143</v>
      </c>
      <c r="B1342" s="3" t="s">
        <v>14</v>
      </c>
      <c r="C1342" s="0" t="n">
        <v>108</v>
      </c>
      <c r="D1342" s="0" t="n">
        <v>3</v>
      </c>
      <c r="E1342" s="0" t="str">
        <f aca="false">INDEX(lot!$B$2:$B$1201,MATCH(B1342,lot!$A$2:$A$1201,0))</f>
        <v>SUP-C</v>
      </c>
      <c r="F1342" s="3" t="n">
        <f aca="false">YEAR(A1342)*100+MONTH(A1342)</f>
        <v>202605</v>
      </c>
    </row>
    <row r="1343" customFormat="false" ht="15" hidden="false" customHeight="false" outlineLevel="0" collapsed="false">
      <c r="A1343" s="2" t="n">
        <v>46143</v>
      </c>
      <c r="B1343" s="3" t="s">
        <v>19</v>
      </c>
      <c r="C1343" s="0" t="n">
        <v>84</v>
      </c>
      <c r="D1343" s="0" t="n">
        <v>0</v>
      </c>
      <c r="E1343" s="0" t="str">
        <f aca="false">INDEX(lot!$B$2:$B$1201,MATCH(B1343,lot!$A$2:$A$1201,0))</f>
        <v>SUP-A</v>
      </c>
      <c r="F1343" s="3" t="n">
        <f aca="false">YEAR(A1343)*100+MONTH(A1343)</f>
        <v>202605</v>
      </c>
    </row>
    <row r="1344" customFormat="false" ht="15" hidden="false" customHeight="false" outlineLevel="0" collapsed="false">
      <c r="A1344" s="2" t="n">
        <v>46143</v>
      </c>
      <c r="B1344" s="3" t="s">
        <v>77</v>
      </c>
      <c r="C1344" s="0" t="n">
        <v>232</v>
      </c>
      <c r="D1344" s="0" t="n">
        <v>2</v>
      </c>
      <c r="E1344" s="0" t="str">
        <f aca="false">INDEX(lot!$B$2:$B$1201,MATCH(B1344,lot!$A$2:$A$1201,0))</f>
        <v>SUP-D</v>
      </c>
      <c r="F1344" s="3" t="n">
        <f aca="false">YEAR(A1344)*100+MONTH(A1344)</f>
        <v>202605</v>
      </c>
    </row>
    <row r="1345" customFormat="false" ht="15" hidden="false" customHeight="false" outlineLevel="0" collapsed="false">
      <c r="A1345" s="2" t="n">
        <v>46143</v>
      </c>
      <c r="B1345" s="3" t="s">
        <v>77</v>
      </c>
      <c r="C1345" s="0" t="n">
        <v>150</v>
      </c>
      <c r="D1345" s="0" t="n">
        <v>3</v>
      </c>
      <c r="E1345" s="0" t="str">
        <f aca="false">INDEX(lot!$B$2:$B$1201,MATCH(B1345,lot!$A$2:$A$1201,0))</f>
        <v>SUP-D</v>
      </c>
      <c r="F1345" s="3" t="n">
        <f aca="false">YEAR(A1345)*100+MONTH(A1345)</f>
        <v>202605</v>
      </c>
    </row>
    <row r="1346" customFormat="false" ht="15" hidden="false" customHeight="false" outlineLevel="0" collapsed="false">
      <c r="A1346" s="2" t="n">
        <v>46143</v>
      </c>
      <c r="B1346" s="3" t="s">
        <v>142</v>
      </c>
      <c r="C1346" s="0" t="n">
        <v>149</v>
      </c>
      <c r="D1346" s="0" t="n">
        <v>1</v>
      </c>
      <c r="E1346" s="0" t="str">
        <f aca="false">INDEX(lot!$B$2:$B$1201,MATCH(B1346,lot!$A$2:$A$1201,0))</f>
        <v>SUP-A</v>
      </c>
      <c r="F1346" s="3" t="n">
        <f aca="false">YEAR(A1346)*100+MONTH(A1346)</f>
        <v>202605</v>
      </c>
    </row>
    <row r="1347" customFormat="false" ht="15" hidden="false" customHeight="false" outlineLevel="0" collapsed="false">
      <c r="A1347" s="2" t="n">
        <v>46143</v>
      </c>
      <c r="B1347" s="3" t="s">
        <v>142</v>
      </c>
      <c r="C1347" s="0" t="n">
        <v>192</v>
      </c>
      <c r="D1347" s="0" t="n">
        <v>2</v>
      </c>
      <c r="E1347" s="0" t="str">
        <f aca="false">INDEX(lot!$B$2:$B$1201,MATCH(B1347,lot!$A$2:$A$1201,0))</f>
        <v>SUP-A</v>
      </c>
      <c r="F1347" s="3" t="n">
        <f aca="false">YEAR(A1347)*100+MONTH(A1347)</f>
        <v>202605</v>
      </c>
    </row>
    <row r="1348" customFormat="false" ht="15" hidden="false" customHeight="false" outlineLevel="0" collapsed="false">
      <c r="A1348" s="2" t="n">
        <v>46143</v>
      </c>
      <c r="B1348" s="3" t="s">
        <v>147</v>
      </c>
      <c r="C1348" s="0" t="n">
        <v>158</v>
      </c>
      <c r="D1348" s="0" t="n">
        <v>1</v>
      </c>
      <c r="E1348" s="0" t="str">
        <f aca="false">INDEX(lot!$B$2:$B$1201,MATCH(B1348,lot!$A$2:$A$1201,0))</f>
        <v>SUP-D</v>
      </c>
      <c r="F1348" s="3" t="n">
        <f aca="false">YEAR(A1348)*100+MONTH(A1348)</f>
        <v>202605</v>
      </c>
    </row>
    <row r="1349" customFormat="false" ht="15" hidden="false" customHeight="false" outlineLevel="0" collapsed="false">
      <c r="A1349" s="2" t="n">
        <v>46143</v>
      </c>
      <c r="B1349" s="3" t="s">
        <v>147</v>
      </c>
      <c r="C1349" s="0" t="n">
        <v>194</v>
      </c>
      <c r="D1349" s="0" t="n">
        <v>3</v>
      </c>
      <c r="E1349" s="0" t="str">
        <f aca="false">INDEX(lot!$B$2:$B$1201,MATCH(B1349,lot!$A$2:$A$1201,0))</f>
        <v>SUP-D</v>
      </c>
      <c r="F1349" s="3" t="n">
        <f aca="false">YEAR(A1349)*100+MONTH(A1349)</f>
        <v>202605</v>
      </c>
    </row>
    <row r="1350" customFormat="false" ht="15" hidden="false" customHeight="false" outlineLevel="0" collapsed="false">
      <c r="A1350" s="2" t="n">
        <v>46143</v>
      </c>
      <c r="B1350" s="3" t="s">
        <v>174</v>
      </c>
      <c r="C1350" s="0" t="n">
        <v>176</v>
      </c>
      <c r="D1350" s="0" t="n">
        <v>2</v>
      </c>
      <c r="E1350" s="0" t="str">
        <f aca="false">INDEX(lot!$B$2:$B$1201,MATCH(B1350,lot!$A$2:$A$1201,0))</f>
        <v>SUP-A</v>
      </c>
      <c r="F1350" s="3" t="n">
        <f aca="false">YEAR(A1350)*100+MONTH(A1350)</f>
        <v>202605</v>
      </c>
    </row>
    <row r="1351" customFormat="false" ht="15" hidden="false" customHeight="false" outlineLevel="0" collapsed="false">
      <c r="A1351" s="2" t="n">
        <v>46143</v>
      </c>
      <c r="B1351" s="3" t="s">
        <v>193</v>
      </c>
      <c r="C1351" s="0" t="n">
        <v>77</v>
      </c>
      <c r="D1351" s="0" t="n">
        <v>0</v>
      </c>
      <c r="E1351" s="0" t="str">
        <f aca="false">INDEX(lot!$B$2:$B$1201,MATCH(B1351,lot!$A$2:$A$1201,0))</f>
        <v>SUP-D</v>
      </c>
      <c r="F1351" s="3" t="n">
        <f aca="false">YEAR(A1351)*100+MONTH(A1351)</f>
        <v>202605</v>
      </c>
    </row>
    <row r="1352" customFormat="false" ht="15" hidden="false" customHeight="false" outlineLevel="0" collapsed="false">
      <c r="A1352" s="2" t="n">
        <v>46143</v>
      </c>
      <c r="B1352" s="3" t="s">
        <v>193</v>
      </c>
      <c r="C1352" s="0" t="n">
        <v>71</v>
      </c>
      <c r="D1352" s="0" t="n">
        <v>0</v>
      </c>
      <c r="E1352" s="0" t="str">
        <f aca="false">INDEX(lot!$B$2:$B$1201,MATCH(B1352,lot!$A$2:$A$1201,0))</f>
        <v>SUP-D</v>
      </c>
      <c r="F1352" s="3" t="n">
        <f aca="false">YEAR(A1352)*100+MONTH(A1352)</f>
        <v>202605</v>
      </c>
    </row>
    <row r="1353" customFormat="false" ht="15" hidden="false" customHeight="false" outlineLevel="0" collapsed="false">
      <c r="A1353" s="2" t="n">
        <v>46143</v>
      </c>
      <c r="B1353" s="3" t="s">
        <v>238</v>
      </c>
      <c r="C1353" s="0" t="n">
        <v>167</v>
      </c>
      <c r="D1353" s="0" t="n">
        <v>2</v>
      </c>
      <c r="E1353" s="0" t="str">
        <f aca="false">INDEX(lot!$B$2:$B$1201,MATCH(B1353,lot!$A$2:$A$1201,0))</f>
        <v>SUP-D</v>
      </c>
      <c r="F1353" s="3" t="n">
        <f aca="false">YEAR(A1353)*100+MONTH(A1353)</f>
        <v>202605</v>
      </c>
    </row>
    <row r="1354" customFormat="false" ht="15" hidden="false" customHeight="false" outlineLevel="0" collapsed="false">
      <c r="A1354" s="2" t="n">
        <v>46143</v>
      </c>
      <c r="B1354" s="3" t="s">
        <v>305</v>
      </c>
      <c r="C1354" s="0" t="n">
        <v>194</v>
      </c>
      <c r="D1354" s="0" t="n">
        <v>1</v>
      </c>
      <c r="E1354" s="0" t="str">
        <f aca="false">INDEX(lot!$B$2:$B$1201,MATCH(B1354,lot!$A$2:$A$1201,0))</f>
        <v>SUP-E</v>
      </c>
      <c r="F1354" s="3" t="n">
        <f aca="false">YEAR(A1354)*100+MONTH(A1354)</f>
        <v>202605</v>
      </c>
    </row>
    <row r="1355" customFormat="false" ht="15" hidden="false" customHeight="false" outlineLevel="0" collapsed="false">
      <c r="A1355" s="2" t="n">
        <v>46143</v>
      </c>
      <c r="B1355" s="3" t="s">
        <v>305</v>
      </c>
      <c r="C1355" s="0" t="n">
        <v>65</v>
      </c>
      <c r="D1355" s="0" t="n">
        <v>0</v>
      </c>
      <c r="E1355" s="0" t="str">
        <f aca="false">INDEX(lot!$B$2:$B$1201,MATCH(B1355,lot!$A$2:$A$1201,0))</f>
        <v>SUP-E</v>
      </c>
      <c r="F1355" s="3" t="n">
        <f aca="false">YEAR(A1355)*100+MONTH(A1355)</f>
        <v>202605</v>
      </c>
    </row>
    <row r="1356" customFormat="false" ht="15" hidden="false" customHeight="false" outlineLevel="0" collapsed="false">
      <c r="A1356" s="2" t="n">
        <v>46143</v>
      </c>
      <c r="B1356" s="3" t="s">
        <v>360</v>
      </c>
      <c r="C1356" s="0" t="n">
        <v>196</v>
      </c>
      <c r="D1356" s="0" t="n">
        <v>3</v>
      </c>
      <c r="E1356" s="0" t="str">
        <f aca="false">INDEX(lot!$B$2:$B$1201,MATCH(B1356,lot!$A$2:$A$1201,0))</f>
        <v>SUP-E</v>
      </c>
      <c r="F1356" s="3" t="n">
        <f aca="false">YEAR(A1356)*100+MONTH(A1356)</f>
        <v>202605</v>
      </c>
    </row>
    <row r="1357" customFormat="false" ht="15" hidden="false" customHeight="false" outlineLevel="0" collapsed="false">
      <c r="A1357" s="2" t="n">
        <v>46143</v>
      </c>
      <c r="B1357" s="3" t="s">
        <v>464</v>
      </c>
      <c r="C1357" s="0" t="n">
        <v>131</v>
      </c>
      <c r="D1357" s="0" t="n">
        <v>1</v>
      </c>
      <c r="E1357" s="0" t="str">
        <f aca="false">INDEX(lot!$B$2:$B$1201,MATCH(B1357,lot!$A$2:$A$1201,0))</f>
        <v>SUP-C</v>
      </c>
      <c r="F1357" s="3" t="n">
        <f aca="false">YEAR(A1357)*100+MONTH(A1357)</f>
        <v>202605</v>
      </c>
    </row>
    <row r="1358" customFormat="false" ht="15" hidden="false" customHeight="false" outlineLevel="0" collapsed="false">
      <c r="A1358" s="2" t="n">
        <v>46143</v>
      </c>
      <c r="B1358" s="3" t="s">
        <v>566</v>
      </c>
      <c r="C1358" s="0" t="n">
        <v>154</v>
      </c>
      <c r="D1358" s="0" t="n">
        <v>2</v>
      </c>
      <c r="E1358" s="0" t="str">
        <f aca="false">INDEX(lot!$B$2:$B$1201,MATCH(B1358,lot!$A$2:$A$1201,0))</f>
        <v>SUP-C</v>
      </c>
      <c r="F1358" s="3" t="n">
        <f aca="false">YEAR(A1358)*100+MONTH(A1358)</f>
        <v>202605</v>
      </c>
    </row>
    <row r="1359" customFormat="false" ht="15" hidden="false" customHeight="false" outlineLevel="0" collapsed="false">
      <c r="A1359" s="2" t="n">
        <v>46143</v>
      </c>
      <c r="B1359" s="3" t="s">
        <v>643</v>
      </c>
      <c r="C1359" s="0" t="n">
        <v>217</v>
      </c>
      <c r="D1359" s="0" t="n">
        <v>5</v>
      </c>
      <c r="E1359" s="0" t="str">
        <f aca="false">INDEX(lot!$B$2:$B$1201,MATCH(B1359,lot!$A$2:$A$1201,0))</f>
        <v>SUP-C</v>
      </c>
      <c r="F1359" s="3" t="n">
        <f aca="false">YEAR(A1359)*100+MONTH(A1359)</f>
        <v>202605</v>
      </c>
    </row>
    <row r="1360" customFormat="false" ht="15" hidden="false" customHeight="false" outlineLevel="0" collapsed="false">
      <c r="A1360" s="2" t="n">
        <v>46143</v>
      </c>
      <c r="B1360" s="3" t="s">
        <v>652</v>
      </c>
      <c r="C1360" s="0" t="n">
        <v>86</v>
      </c>
      <c r="D1360" s="0" t="n">
        <v>0</v>
      </c>
      <c r="E1360" s="0" t="str">
        <f aca="false">INDEX(lot!$B$2:$B$1201,MATCH(B1360,lot!$A$2:$A$1201,0))</f>
        <v>SUP-D</v>
      </c>
      <c r="F1360" s="3" t="n">
        <f aca="false">YEAR(A1360)*100+MONTH(A1360)</f>
        <v>202605</v>
      </c>
    </row>
    <row r="1361" customFormat="false" ht="15" hidden="false" customHeight="false" outlineLevel="0" collapsed="false">
      <c r="A1361" s="2" t="n">
        <v>46143</v>
      </c>
      <c r="B1361" s="3" t="s">
        <v>693</v>
      </c>
      <c r="C1361" s="0" t="n">
        <v>132</v>
      </c>
      <c r="D1361" s="0" t="n">
        <v>1</v>
      </c>
      <c r="E1361" s="0" t="str">
        <f aca="false">INDEX(lot!$B$2:$B$1201,MATCH(B1361,lot!$A$2:$A$1201,0))</f>
        <v>SUP-D</v>
      </c>
      <c r="F1361" s="3" t="n">
        <f aca="false">YEAR(A1361)*100+MONTH(A1361)</f>
        <v>202605</v>
      </c>
    </row>
    <row r="1362" customFormat="false" ht="15" hidden="false" customHeight="false" outlineLevel="0" collapsed="false">
      <c r="A1362" s="2" t="n">
        <v>46143</v>
      </c>
      <c r="B1362" s="3" t="s">
        <v>693</v>
      </c>
      <c r="C1362" s="0" t="n">
        <v>29</v>
      </c>
      <c r="D1362" s="0" t="n">
        <v>0</v>
      </c>
      <c r="E1362" s="0" t="str">
        <f aca="false">INDEX(lot!$B$2:$B$1201,MATCH(B1362,lot!$A$2:$A$1201,0))</f>
        <v>SUP-D</v>
      </c>
      <c r="F1362" s="3" t="n">
        <f aca="false">YEAR(A1362)*100+MONTH(A1362)</f>
        <v>202605</v>
      </c>
    </row>
    <row r="1363" customFormat="false" ht="15" hidden="false" customHeight="false" outlineLevel="0" collapsed="false">
      <c r="A1363" s="2" t="n">
        <v>46143</v>
      </c>
      <c r="B1363" s="3" t="s">
        <v>709</v>
      </c>
      <c r="C1363" s="0" t="n">
        <v>214</v>
      </c>
      <c r="D1363" s="0" t="n">
        <v>3</v>
      </c>
      <c r="E1363" s="0" t="str">
        <f aca="false">INDEX(lot!$B$2:$B$1201,MATCH(B1363,lot!$A$2:$A$1201,0))</f>
        <v>SUP-A</v>
      </c>
      <c r="F1363" s="3" t="n">
        <f aca="false">YEAR(A1363)*100+MONTH(A1363)</f>
        <v>202605</v>
      </c>
    </row>
    <row r="1364" customFormat="false" ht="15" hidden="false" customHeight="false" outlineLevel="0" collapsed="false">
      <c r="A1364" s="2" t="n">
        <v>46143</v>
      </c>
      <c r="B1364" s="3" t="s">
        <v>776</v>
      </c>
      <c r="C1364" s="0" t="n">
        <v>81</v>
      </c>
      <c r="D1364" s="0" t="n">
        <v>0</v>
      </c>
      <c r="E1364" s="0" t="str">
        <f aca="false">INDEX(lot!$B$2:$B$1201,MATCH(B1364,lot!$A$2:$A$1201,0))</f>
        <v>SUP-E</v>
      </c>
      <c r="F1364" s="3" t="n">
        <f aca="false">YEAR(A1364)*100+MONTH(A1364)</f>
        <v>202605</v>
      </c>
    </row>
    <row r="1365" customFormat="false" ht="15" hidden="false" customHeight="false" outlineLevel="0" collapsed="false">
      <c r="A1365" s="2" t="n">
        <v>46143</v>
      </c>
      <c r="B1365" s="3" t="s">
        <v>788</v>
      </c>
      <c r="C1365" s="0" t="n">
        <v>100</v>
      </c>
      <c r="D1365" s="0" t="n">
        <v>1</v>
      </c>
      <c r="E1365" s="0" t="str">
        <f aca="false">INDEX(lot!$B$2:$B$1201,MATCH(B1365,lot!$A$2:$A$1201,0))</f>
        <v>SUP-E</v>
      </c>
      <c r="F1365" s="3" t="n">
        <f aca="false">YEAR(A1365)*100+MONTH(A1365)</f>
        <v>202605</v>
      </c>
    </row>
    <row r="1366" customFormat="false" ht="15" hidden="false" customHeight="false" outlineLevel="0" collapsed="false">
      <c r="A1366" s="2" t="n">
        <v>46143</v>
      </c>
      <c r="B1366" s="3" t="s">
        <v>927</v>
      </c>
      <c r="C1366" s="0" t="n">
        <v>249</v>
      </c>
      <c r="D1366" s="0" t="n">
        <v>1</v>
      </c>
      <c r="E1366" s="0" t="str">
        <f aca="false">INDEX(lot!$B$2:$B$1201,MATCH(B1366,lot!$A$2:$A$1201,0))</f>
        <v>SUP-A</v>
      </c>
      <c r="F1366" s="3" t="n">
        <f aca="false">YEAR(A1366)*100+MONTH(A1366)</f>
        <v>202605</v>
      </c>
    </row>
    <row r="1367" customFormat="false" ht="15" hidden="false" customHeight="false" outlineLevel="0" collapsed="false">
      <c r="A1367" s="2" t="n">
        <v>46143</v>
      </c>
      <c r="B1367" s="3" t="s">
        <v>1134</v>
      </c>
      <c r="C1367" s="0" t="n">
        <v>233</v>
      </c>
      <c r="D1367" s="0" t="n">
        <v>6</v>
      </c>
      <c r="E1367" s="0" t="str">
        <f aca="false">INDEX(lot!$B$2:$B$1201,MATCH(B1367,lot!$A$2:$A$1201,0))</f>
        <v>SUP-C</v>
      </c>
      <c r="F1367" s="3" t="n">
        <f aca="false">YEAR(A1367)*100+MONTH(A1367)</f>
        <v>202605</v>
      </c>
    </row>
    <row r="1368" customFormat="false" ht="15" hidden="false" customHeight="false" outlineLevel="0" collapsed="false">
      <c r="A1368" s="2" t="n">
        <v>46143</v>
      </c>
      <c r="B1368" s="3" t="s">
        <v>1134</v>
      </c>
      <c r="C1368" s="0" t="n">
        <v>191</v>
      </c>
      <c r="D1368" s="0" t="n">
        <v>7</v>
      </c>
      <c r="E1368" s="0" t="str">
        <f aca="false">INDEX(lot!$B$2:$B$1201,MATCH(B1368,lot!$A$2:$A$1201,0))</f>
        <v>SUP-C</v>
      </c>
      <c r="F1368" s="3" t="n">
        <f aca="false">YEAR(A1368)*100+MONTH(A1368)</f>
        <v>202605</v>
      </c>
    </row>
    <row r="1369" customFormat="false" ht="15" hidden="false" customHeight="false" outlineLevel="0" collapsed="false">
      <c r="A1369" s="2" t="n">
        <v>46143</v>
      </c>
      <c r="B1369" s="3" t="s">
        <v>1146</v>
      </c>
      <c r="C1369" s="0" t="n">
        <v>182</v>
      </c>
      <c r="D1369" s="0" t="n">
        <v>1</v>
      </c>
      <c r="E1369" s="0" t="str">
        <f aca="false">INDEX(lot!$B$2:$B$1201,MATCH(B1369,lot!$A$2:$A$1201,0))</f>
        <v>SUP-E</v>
      </c>
      <c r="F1369" s="3" t="n">
        <f aca="false">YEAR(A1369)*100+MONTH(A1369)</f>
        <v>202605</v>
      </c>
    </row>
    <row r="1370" customFormat="false" ht="15" hidden="false" customHeight="false" outlineLevel="0" collapsed="false">
      <c r="A1370" s="2" t="n">
        <v>46143</v>
      </c>
      <c r="B1370" s="3" t="s">
        <v>1146</v>
      </c>
      <c r="C1370" s="0" t="n">
        <v>203</v>
      </c>
      <c r="D1370" s="0" t="n">
        <v>2</v>
      </c>
      <c r="E1370" s="0" t="str">
        <f aca="false">INDEX(lot!$B$2:$B$1201,MATCH(B1370,lot!$A$2:$A$1201,0))</f>
        <v>SUP-E</v>
      </c>
      <c r="F1370" s="3" t="n">
        <f aca="false">YEAR(A1370)*100+MONTH(A1370)</f>
        <v>202605</v>
      </c>
    </row>
    <row r="1371" customFormat="false" ht="15" hidden="false" customHeight="false" outlineLevel="0" collapsed="false">
      <c r="A1371" s="2" t="n">
        <v>46143</v>
      </c>
      <c r="B1371" s="3" t="s">
        <v>1195</v>
      </c>
      <c r="C1371" s="0" t="n">
        <v>245</v>
      </c>
      <c r="D1371" s="0" t="n">
        <v>2</v>
      </c>
      <c r="E1371" s="0" t="str">
        <f aca="false">INDEX(lot!$B$2:$B$1201,MATCH(B1371,lot!$A$2:$A$1201,0))</f>
        <v>SUP-A</v>
      </c>
      <c r="F1371" s="3" t="n">
        <f aca="false">YEAR(A1371)*100+MONTH(A1371)</f>
        <v>202605</v>
      </c>
    </row>
    <row r="1372" customFormat="false" ht="15" hidden="false" customHeight="false" outlineLevel="0" collapsed="false">
      <c r="A1372" s="2" t="n">
        <v>46143</v>
      </c>
      <c r="B1372" s="3" t="s">
        <v>1195</v>
      </c>
      <c r="C1372" s="0" t="n">
        <v>91</v>
      </c>
      <c r="D1372" s="0" t="n">
        <v>1</v>
      </c>
      <c r="E1372" s="0" t="str">
        <f aca="false">INDEX(lot!$B$2:$B$1201,MATCH(B1372,lot!$A$2:$A$1201,0))</f>
        <v>SUP-A</v>
      </c>
      <c r="F1372" s="3" t="n">
        <f aca="false">YEAR(A1372)*100+MONTH(A1372)</f>
        <v>202605</v>
      </c>
    </row>
    <row r="1373" customFormat="false" ht="15" hidden="false" customHeight="false" outlineLevel="0" collapsed="false">
      <c r="A1373" s="2" t="n">
        <v>46146</v>
      </c>
      <c r="B1373" s="3" t="s">
        <v>19</v>
      </c>
      <c r="C1373" s="0" t="n">
        <v>197</v>
      </c>
      <c r="D1373" s="0" t="n">
        <v>2</v>
      </c>
      <c r="E1373" s="0" t="str">
        <f aca="false">INDEX(lot!$B$2:$B$1201,MATCH(B1373,lot!$A$2:$A$1201,0))</f>
        <v>SUP-A</v>
      </c>
      <c r="F1373" s="3" t="n">
        <f aca="false">YEAR(A1373)*100+MONTH(A1373)</f>
        <v>202605</v>
      </c>
    </row>
    <row r="1374" customFormat="false" ht="15" hidden="false" customHeight="false" outlineLevel="0" collapsed="false">
      <c r="A1374" s="2" t="n">
        <v>46146</v>
      </c>
      <c r="B1374" s="3" t="s">
        <v>77</v>
      </c>
      <c r="C1374" s="0" t="n">
        <v>63</v>
      </c>
      <c r="D1374" s="0" t="n">
        <v>1</v>
      </c>
      <c r="E1374" s="0" t="str">
        <f aca="false">INDEX(lot!$B$2:$B$1201,MATCH(B1374,lot!$A$2:$A$1201,0))</f>
        <v>SUP-D</v>
      </c>
      <c r="F1374" s="3" t="n">
        <f aca="false">YEAR(A1374)*100+MONTH(A1374)</f>
        <v>202605</v>
      </c>
    </row>
    <row r="1375" customFormat="false" ht="15" hidden="false" customHeight="false" outlineLevel="0" collapsed="false">
      <c r="A1375" s="2" t="n">
        <v>46146</v>
      </c>
      <c r="B1375" s="3" t="s">
        <v>174</v>
      </c>
      <c r="C1375" s="0" t="n">
        <v>68</v>
      </c>
      <c r="D1375" s="0" t="n">
        <v>0</v>
      </c>
      <c r="E1375" s="0" t="str">
        <f aca="false">INDEX(lot!$B$2:$B$1201,MATCH(B1375,lot!$A$2:$A$1201,0))</f>
        <v>SUP-A</v>
      </c>
      <c r="F1375" s="3" t="n">
        <f aca="false">YEAR(A1375)*100+MONTH(A1375)</f>
        <v>202605</v>
      </c>
    </row>
    <row r="1376" customFormat="false" ht="15" hidden="false" customHeight="false" outlineLevel="0" collapsed="false">
      <c r="A1376" s="2" t="n">
        <v>46146</v>
      </c>
      <c r="B1376" s="3" t="s">
        <v>174</v>
      </c>
      <c r="C1376" s="0" t="n">
        <v>139</v>
      </c>
      <c r="D1376" s="0" t="n">
        <v>0</v>
      </c>
      <c r="E1376" s="0" t="str">
        <f aca="false">INDEX(lot!$B$2:$B$1201,MATCH(B1376,lot!$A$2:$A$1201,0))</f>
        <v>SUP-A</v>
      </c>
      <c r="F1376" s="3" t="n">
        <f aca="false">YEAR(A1376)*100+MONTH(A1376)</f>
        <v>202605</v>
      </c>
    </row>
    <row r="1377" customFormat="false" ht="15" hidden="false" customHeight="false" outlineLevel="0" collapsed="false">
      <c r="A1377" s="2" t="n">
        <v>46146</v>
      </c>
      <c r="B1377" s="3" t="s">
        <v>238</v>
      </c>
      <c r="C1377" s="0" t="n">
        <v>248</v>
      </c>
      <c r="D1377" s="0" t="n">
        <v>3</v>
      </c>
      <c r="E1377" s="0" t="str">
        <f aca="false">INDEX(lot!$B$2:$B$1201,MATCH(B1377,lot!$A$2:$A$1201,0))</f>
        <v>SUP-D</v>
      </c>
      <c r="F1377" s="3" t="n">
        <f aca="false">YEAR(A1377)*100+MONTH(A1377)</f>
        <v>202605</v>
      </c>
    </row>
    <row r="1378" customFormat="false" ht="15" hidden="false" customHeight="false" outlineLevel="0" collapsed="false">
      <c r="A1378" s="2" t="n">
        <v>46146</v>
      </c>
      <c r="B1378" s="3" t="s">
        <v>343</v>
      </c>
      <c r="C1378" s="0" t="n">
        <v>240</v>
      </c>
      <c r="D1378" s="0" t="n">
        <v>13</v>
      </c>
      <c r="E1378" s="0" t="str">
        <f aca="false">INDEX(lot!$B$2:$B$1201,MATCH(B1378,lot!$A$2:$A$1201,0))</f>
        <v>SUP-A</v>
      </c>
      <c r="F1378" s="3" t="n">
        <f aca="false">YEAR(A1378)*100+MONTH(A1378)</f>
        <v>202605</v>
      </c>
    </row>
    <row r="1379" customFormat="false" ht="15" hidden="false" customHeight="false" outlineLevel="0" collapsed="false">
      <c r="A1379" s="2" t="n">
        <v>46146</v>
      </c>
      <c r="B1379" s="3" t="s">
        <v>360</v>
      </c>
      <c r="C1379" s="0" t="n">
        <v>217</v>
      </c>
      <c r="D1379" s="0" t="n">
        <v>0</v>
      </c>
      <c r="E1379" s="0" t="str">
        <f aca="false">INDEX(lot!$B$2:$B$1201,MATCH(B1379,lot!$A$2:$A$1201,0))</f>
        <v>SUP-E</v>
      </c>
      <c r="F1379" s="3" t="n">
        <f aca="false">YEAR(A1379)*100+MONTH(A1379)</f>
        <v>202605</v>
      </c>
    </row>
    <row r="1380" customFormat="false" ht="15" hidden="false" customHeight="false" outlineLevel="0" collapsed="false">
      <c r="A1380" s="2" t="n">
        <v>46146</v>
      </c>
      <c r="B1380" s="3" t="s">
        <v>360</v>
      </c>
      <c r="C1380" s="0" t="n">
        <v>80</v>
      </c>
      <c r="D1380" s="0" t="n">
        <v>0</v>
      </c>
      <c r="E1380" s="0" t="str">
        <f aca="false">INDEX(lot!$B$2:$B$1201,MATCH(B1380,lot!$A$2:$A$1201,0))</f>
        <v>SUP-E</v>
      </c>
      <c r="F1380" s="3" t="n">
        <f aca="false">YEAR(A1380)*100+MONTH(A1380)</f>
        <v>202605</v>
      </c>
    </row>
    <row r="1381" customFormat="false" ht="15" hidden="false" customHeight="false" outlineLevel="0" collapsed="false">
      <c r="A1381" s="2" t="n">
        <v>46146</v>
      </c>
      <c r="B1381" s="3" t="s">
        <v>367</v>
      </c>
      <c r="C1381" s="0" t="n">
        <v>182</v>
      </c>
      <c r="D1381" s="0" t="n">
        <v>3</v>
      </c>
      <c r="E1381" s="0" t="str">
        <f aca="false">INDEX(lot!$B$2:$B$1201,MATCH(B1381,lot!$A$2:$A$1201,0))</f>
        <v>SUP-A</v>
      </c>
      <c r="F1381" s="3" t="n">
        <f aca="false">YEAR(A1381)*100+MONTH(A1381)</f>
        <v>202605</v>
      </c>
    </row>
    <row r="1382" customFormat="false" ht="15" hidden="false" customHeight="false" outlineLevel="0" collapsed="false">
      <c r="A1382" s="2" t="n">
        <v>46146</v>
      </c>
      <c r="B1382" s="3" t="s">
        <v>464</v>
      </c>
      <c r="C1382" s="0" t="n">
        <v>83</v>
      </c>
      <c r="D1382" s="0" t="n">
        <v>0</v>
      </c>
      <c r="E1382" s="0" t="str">
        <f aca="false">INDEX(lot!$B$2:$B$1201,MATCH(B1382,lot!$A$2:$A$1201,0))</f>
        <v>SUP-C</v>
      </c>
      <c r="F1382" s="3" t="n">
        <f aca="false">YEAR(A1382)*100+MONTH(A1382)</f>
        <v>202605</v>
      </c>
    </row>
    <row r="1383" customFormat="false" ht="15" hidden="false" customHeight="false" outlineLevel="0" collapsed="false">
      <c r="A1383" s="2" t="n">
        <v>46146</v>
      </c>
      <c r="B1383" s="3" t="s">
        <v>622</v>
      </c>
      <c r="C1383" s="0" t="n">
        <v>215</v>
      </c>
      <c r="D1383" s="0" t="n">
        <v>2</v>
      </c>
      <c r="E1383" s="0" t="str">
        <f aca="false">INDEX(lot!$B$2:$B$1201,MATCH(B1383,lot!$A$2:$A$1201,0))</f>
        <v>SUP-A</v>
      </c>
      <c r="F1383" s="3" t="n">
        <f aca="false">YEAR(A1383)*100+MONTH(A1383)</f>
        <v>202605</v>
      </c>
    </row>
    <row r="1384" customFormat="false" ht="15" hidden="false" customHeight="false" outlineLevel="0" collapsed="false">
      <c r="A1384" s="2" t="n">
        <v>46146</v>
      </c>
      <c r="B1384" s="3" t="s">
        <v>622</v>
      </c>
      <c r="C1384" s="0" t="n">
        <v>229</v>
      </c>
      <c r="D1384" s="0" t="n">
        <v>2</v>
      </c>
      <c r="E1384" s="0" t="str">
        <f aca="false">INDEX(lot!$B$2:$B$1201,MATCH(B1384,lot!$A$2:$A$1201,0))</f>
        <v>SUP-A</v>
      </c>
      <c r="F1384" s="3" t="n">
        <f aca="false">YEAR(A1384)*100+MONTH(A1384)</f>
        <v>202605</v>
      </c>
    </row>
    <row r="1385" customFormat="false" ht="15" hidden="false" customHeight="false" outlineLevel="0" collapsed="false">
      <c r="A1385" s="2" t="n">
        <v>46146</v>
      </c>
      <c r="B1385" s="3" t="s">
        <v>980</v>
      </c>
      <c r="C1385" s="0" t="n">
        <v>182</v>
      </c>
      <c r="D1385" s="0" t="n">
        <v>2</v>
      </c>
      <c r="E1385" s="0" t="str">
        <f aca="false">INDEX(lot!$B$2:$B$1201,MATCH(B1385,lot!$A$2:$A$1201,0))</f>
        <v>SUP-D</v>
      </c>
      <c r="F1385" s="3" t="n">
        <f aca="false">YEAR(A1385)*100+MONTH(A1385)</f>
        <v>202605</v>
      </c>
    </row>
    <row r="1386" customFormat="false" ht="15" hidden="false" customHeight="false" outlineLevel="0" collapsed="false">
      <c r="A1386" s="2" t="n">
        <v>46146</v>
      </c>
      <c r="B1386" s="3" t="s">
        <v>980</v>
      </c>
      <c r="C1386" s="0" t="n">
        <v>233</v>
      </c>
      <c r="D1386" s="0" t="n">
        <v>3</v>
      </c>
      <c r="E1386" s="0" t="str">
        <f aca="false">INDEX(lot!$B$2:$B$1201,MATCH(B1386,lot!$A$2:$A$1201,0))</f>
        <v>SUP-D</v>
      </c>
      <c r="F1386" s="3" t="n">
        <f aca="false">YEAR(A1386)*100+MONTH(A1386)</f>
        <v>202605</v>
      </c>
    </row>
    <row r="1387" customFormat="false" ht="15" hidden="false" customHeight="false" outlineLevel="0" collapsed="false">
      <c r="A1387" s="2" t="n">
        <v>46147</v>
      </c>
      <c r="B1387" s="3" t="s">
        <v>19</v>
      </c>
      <c r="C1387" s="0" t="n">
        <v>155</v>
      </c>
      <c r="D1387" s="0" t="n">
        <v>1</v>
      </c>
      <c r="E1387" s="0" t="str">
        <f aca="false">INDEX(lot!$B$2:$B$1201,MATCH(B1387,lot!$A$2:$A$1201,0))</f>
        <v>SUP-A</v>
      </c>
      <c r="F1387" s="3" t="n">
        <f aca="false">YEAR(A1387)*100+MONTH(A1387)</f>
        <v>202605</v>
      </c>
    </row>
    <row r="1388" customFormat="false" ht="15" hidden="false" customHeight="false" outlineLevel="0" collapsed="false">
      <c r="A1388" s="2" t="n">
        <v>46147</v>
      </c>
      <c r="B1388" s="3" t="s">
        <v>19</v>
      </c>
      <c r="C1388" s="0" t="n">
        <v>154</v>
      </c>
      <c r="D1388" s="0" t="n">
        <v>3</v>
      </c>
      <c r="E1388" s="0" t="str">
        <f aca="false">INDEX(lot!$B$2:$B$1201,MATCH(B1388,lot!$A$2:$A$1201,0))</f>
        <v>SUP-A</v>
      </c>
      <c r="F1388" s="3" t="n">
        <f aca="false">YEAR(A1388)*100+MONTH(A1388)</f>
        <v>202605</v>
      </c>
    </row>
    <row r="1389" customFormat="false" ht="15" hidden="false" customHeight="false" outlineLevel="0" collapsed="false">
      <c r="A1389" s="2" t="n">
        <v>46147</v>
      </c>
      <c r="B1389" s="3" t="s">
        <v>27</v>
      </c>
      <c r="C1389" s="0" t="n">
        <v>83</v>
      </c>
      <c r="D1389" s="0" t="n">
        <v>2</v>
      </c>
      <c r="E1389" s="0" t="str">
        <f aca="false">INDEX(lot!$B$2:$B$1201,MATCH(B1389,lot!$A$2:$A$1201,0))</f>
        <v>SUP-E</v>
      </c>
      <c r="F1389" s="3" t="n">
        <f aca="false">YEAR(A1389)*100+MONTH(A1389)</f>
        <v>202605</v>
      </c>
    </row>
    <row r="1390" customFormat="false" ht="15" hidden="false" customHeight="false" outlineLevel="0" collapsed="false">
      <c r="A1390" s="2" t="n">
        <v>46147</v>
      </c>
      <c r="B1390" s="3" t="s">
        <v>27</v>
      </c>
      <c r="C1390" s="0" t="n">
        <v>65</v>
      </c>
      <c r="D1390" s="0" t="n">
        <v>0</v>
      </c>
      <c r="E1390" s="0" t="str">
        <f aca="false">INDEX(lot!$B$2:$B$1201,MATCH(B1390,lot!$A$2:$A$1201,0))</f>
        <v>SUP-E</v>
      </c>
      <c r="F1390" s="3" t="n">
        <f aca="false">YEAR(A1390)*100+MONTH(A1390)</f>
        <v>202605</v>
      </c>
    </row>
    <row r="1391" customFormat="false" ht="15" hidden="false" customHeight="false" outlineLevel="0" collapsed="false">
      <c r="A1391" s="2" t="n">
        <v>46147</v>
      </c>
      <c r="B1391" s="3" t="s">
        <v>77</v>
      </c>
      <c r="C1391" s="0" t="n">
        <v>172</v>
      </c>
      <c r="D1391" s="0" t="n">
        <v>2</v>
      </c>
      <c r="E1391" s="0" t="str">
        <f aca="false">INDEX(lot!$B$2:$B$1201,MATCH(B1391,lot!$A$2:$A$1201,0))</f>
        <v>SUP-D</v>
      </c>
      <c r="F1391" s="3" t="n">
        <f aca="false">YEAR(A1391)*100+MONTH(A1391)</f>
        <v>202605</v>
      </c>
    </row>
    <row r="1392" customFormat="false" ht="15" hidden="false" customHeight="false" outlineLevel="0" collapsed="false">
      <c r="A1392" s="2" t="n">
        <v>46147</v>
      </c>
      <c r="B1392" s="3" t="s">
        <v>77</v>
      </c>
      <c r="C1392" s="0" t="n">
        <v>113</v>
      </c>
      <c r="D1392" s="0" t="n">
        <v>1</v>
      </c>
      <c r="E1392" s="0" t="str">
        <f aca="false">INDEX(lot!$B$2:$B$1201,MATCH(B1392,lot!$A$2:$A$1201,0))</f>
        <v>SUP-D</v>
      </c>
      <c r="F1392" s="3" t="n">
        <f aca="false">YEAR(A1392)*100+MONTH(A1392)</f>
        <v>202605</v>
      </c>
    </row>
    <row r="1393" customFormat="false" ht="15" hidden="false" customHeight="false" outlineLevel="0" collapsed="false">
      <c r="A1393" s="2" t="n">
        <v>46147</v>
      </c>
      <c r="B1393" s="3" t="s">
        <v>198</v>
      </c>
      <c r="C1393" s="0" t="n">
        <v>110</v>
      </c>
      <c r="D1393" s="0" t="n">
        <v>3</v>
      </c>
      <c r="E1393" s="0" t="str">
        <f aca="false">INDEX(lot!$B$2:$B$1201,MATCH(B1393,lot!$A$2:$A$1201,0))</f>
        <v>SUP-C</v>
      </c>
      <c r="F1393" s="3" t="n">
        <f aca="false">YEAR(A1393)*100+MONTH(A1393)</f>
        <v>202605</v>
      </c>
    </row>
    <row r="1394" customFormat="false" ht="15" hidden="false" customHeight="false" outlineLevel="0" collapsed="false">
      <c r="A1394" s="2" t="n">
        <v>46147</v>
      </c>
      <c r="B1394" s="3" t="s">
        <v>202</v>
      </c>
      <c r="C1394" s="0" t="n">
        <v>90</v>
      </c>
      <c r="D1394" s="0" t="n">
        <v>3</v>
      </c>
      <c r="E1394" s="0" t="str">
        <f aca="false">INDEX(lot!$B$2:$B$1201,MATCH(B1394,lot!$A$2:$A$1201,0))</f>
        <v>SUP-B</v>
      </c>
      <c r="F1394" s="3" t="n">
        <f aca="false">YEAR(A1394)*100+MONTH(A1394)</f>
        <v>202605</v>
      </c>
    </row>
    <row r="1395" customFormat="false" ht="15" hidden="false" customHeight="false" outlineLevel="0" collapsed="false">
      <c r="A1395" s="2" t="n">
        <v>46147</v>
      </c>
      <c r="B1395" s="3" t="s">
        <v>238</v>
      </c>
      <c r="C1395" s="0" t="n">
        <v>79</v>
      </c>
      <c r="D1395" s="0" t="n">
        <v>1</v>
      </c>
      <c r="E1395" s="0" t="str">
        <f aca="false">INDEX(lot!$B$2:$B$1201,MATCH(B1395,lot!$A$2:$A$1201,0))</f>
        <v>SUP-D</v>
      </c>
      <c r="F1395" s="3" t="n">
        <f aca="false">YEAR(A1395)*100+MONTH(A1395)</f>
        <v>202605</v>
      </c>
    </row>
    <row r="1396" customFormat="false" ht="15" hidden="false" customHeight="false" outlineLevel="0" collapsed="false">
      <c r="A1396" s="2" t="n">
        <v>46147</v>
      </c>
      <c r="B1396" s="3" t="s">
        <v>308</v>
      </c>
      <c r="C1396" s="0" t="n">
        <v>217</v>
      </c>
      <c r="D1396" s="0" t="n">
        <v>7</v>
      </c>
      <c r="E1396" s="0" t="str">
        <f aca="false">INDEX(lot!$B$2:$B$1201,MATCH(B1396,lot!$A$2:$A$1201,0))</f>
        <v>SUP-C</v>
      </c>
      <c r="F1396" s="3" t="n">
        <f aca="false">YEAR(A1396)*100+MONTH(A1396)</f>
        <v>202605</v>
      </c>
    </row>
    <row r="1397" customFormat="false" ht="15" hidden="false" customHeight="false" outlineLevel="0" collapsed="false">
      <c r="A1397" s="2" t="n">
        <v>46147</v>
      </c>
      <c r="B1397" s="3" t="s">
        <v>336</v>
      </c>
      <c r="C1397" s="0" t="n">
        <v>236</v>
      </c>
      <c r="D1397" s="0" t="n">
        <v>3</v>
      </c>
      <c r="E1397" s="0" t="str">
        <f aca="false">INDEX(lot!$B$2:$B$1201,MATCH(B1397,lot!$A$2:$A$1201,0))</f>
        <v>SUP-B</v>
      </c>
      <c r="F1397" s="3" t="n">
        <f aca="false">YEAR(A1397)*100+MONTH(A1397)</f>
        <v>202605</v>
      </c>
    </row>
    <row r="1398" customFormat="false" ht="15" hidden="false" customHeight="false" outlineLevel="0" collapsed="false">
      <c r="A1398" s="2" t="n">
        <v>46147</v>
      </c>
      <c r="B1398" s="3" t="s">
        <v>336</v>
      </c>
      <c r="C1398" s="0" t="n">
        <v>205</v>
      </c>
      <c r="D1398" s="0" t="n">
        <v>2</v>
      </c>
      <c r="E1398" s="0" t="str">
        <f aca="false">INDEX(lot!$B$2:$B$1201,MATCH(B1398,lot!$A$2:$A$1201,0))</f>
        <v>SUP-B</v>
      </c>
      <c r="F1398" s="3" t="n">
        <f aca="false">YEAR(A1398)*100+MONTH(A1398)</f>
        <v>202605</v>
      </c>
    </row>
    <row r="1399" customFormat="false" ht="15" hidden="false" customHeight="false" outlineLevel="0" collapsed="false">
      <c r="A1399" s="2" t="n">
        <v>46147</v>
      </c>
      <c r="B1399" s="3" t="s">
        <v>343</v>
      </c>
      <c r="C1399" s="0" t="n">
        <v>150</v>
      </c>
      <c r="D1399" s="0" t="n">
        <v>11</v>
      </c>
      <c r="E1399" s="0" t="str">
        <f aca="false">INDEX(lot!$B$2:$B$1201,MATCH(B1399,lot!$A$2:$A$1201,0))</f>
        <v>SUP-A</v>
      </c>
      <c r="F1399" s="3" t="n">
        <f aca="false">YEAR(A1399)*100+MONTH(A1399)</f>
        <v>202605</v>
      </c>
    </row>
    <row r="1400" customFormat="false" ht="15" hidden="false" customHeight="false" outlineLevel="0" collapsed="false">
      <c r="A1400" s="2" t="n">
        <v>46147</v>
      </c>
      <c r="B1400" s="3" t="s">
        <v>343</v>
      </c>
      <c r="C1400" s="0" t="n">
        <v>194</v>
      </c>
      <c r="D1400" s="0" t="n">
        <v>14</v>
      </c>
      <c r="E1400" s="0" t="str">
        <f aca="false">INDEX(lot!$B$2:$B$1201,MATCH(B1400,lot!$A$2:$A$1201,0))</f>
        <v>SUP-A</v>
      </c>
      <c r="F1400" s="3" t="n">
        <f aca="false">YEAR(A1400)*100+MONTH(A1400)</f>
        <v>202605</v>
      </c>
    </row>
    <row r="1401" customFormat="false" ht="15" hidden="false" customHeight="false" outlineLevel="0" collapsed="false">
      <c r="A1401" s="2" t="n">
        <v>46147</v>
      </c>
      <c r="B1401" s="3" t="s">
        <v>367</v>
      </c>
      <c r="C1401" s="0" t="n">
        <v>176</v>
      </c>
      <c r="D1401" s="0" t="n">
        <v>1</v>
      </c>
      <c r="E1401" s="0" t="str">
        <f aca="false">INDEX(lot!$B$2:$B$1201,MATCH(B1401,lot!$A$2:$A$1201,0))</f>
        <v>SUP-A</v>
      </c>
      <c r="F1401" s="3" t="n">
        <f aca="false">YEAR(A1401)*100+MONTH(A1401)</f>
        <v>202605</v>
      </c>
    </row>
    <row r="1402" customFormat="false" ht="15" hidden="false" customHeight="false" outlineLevel="0" collapsed="false">
      <c r="A1402" s="2" t="n">
        <v>46147</v>
      </c>
      <c r="B1402" s="3" t="s">
        <v>367</v>
      </c>
      <c r="C1402" s="0" t="n">
        <v>106</v>
      </c>
      <c r="D1402" s="0" t="n">
        <v>2</v>
      </c>
      <c r="E1402" s="0" t="str">
        <f aca="false">INDEX(lot!$B$2:$B$1201,MATCH(B1402,lot!$A$2:$A$1201,0))</f>
        <v>SUP-A</v>
      </c>
      <c r="F1402" s="3" t="n">
        <f aca="false">YEAR(A1402)*100+MONTH(A1402)</f>
        <v>202605</v>
      </c>
    </row>
    <row r="1403" customFormat="false" ht="15" hidden="false" customHeight="false" outlineLevel="0" collapsed="false">
      <c r="A1403" s="2" t="n">
        <v>46147</v>
      </c>
      <c r="B1403" s="3" t="s">
        <v>415</v>
      </c>
      <c r="C1403" s="0" t="n">
        <v>101</v>
      </c>
      <c r="D1403" s="0" t="n">
        <v>2</v>
      </c>
      <c r="E1403" s="0" t="str">
        <f aca="false">INDEX(lot!$B$2:$B$1201,MATCH(B1403,lot!$A$2:$A$1201,0))</f>
        <v>SUP-A</v>
      </c>
      <c r="F1403" s="3" t="n">
        <f aca="false">YEAR(A1403)*100+MONTH(A1403)</f>
        <v>202605</v>
      </c>
    </row>
    <row r="1404" customFormat="false" ht="15" hidden="false" customHeight="false" outlineLevel="0" collapsed="false">
      <c r="A1404" s="2" t="n">
        <v>46147</v>
      </c>
      <c r="B1404" s="3" t="s">
        <v>507</v>
      </c>
      <c r="C1404" s="0" t="n">
        <v>211</v>
      </c>
      <c r="D1404" s="0" t="n">
        <v>3</v>
      </c>
      <c r="E1404" s="0" t="str">
        <f aca="false">INDEX(lot!$B$2:$B$1201,MATCH(B1404,lot!$A$2:$A$1201,0))</f>
        <v>SUP-D</v>
      </c>
      <c r="F1404" s="3" t="n">
        <f aca="false">YEAR(A1404)*100+MONTH(A1404)</f>
        <v>202605</v>
      </c>
    </row>
    <row r="1405" customFormat="false" ht="15" hidden="false" customHeight="false" outlineLevel="0" collapsed="false">
      <c r="A1405" s="2" t="n">
        <v>46147</v>
      </c>
      <c r="B1405" s="3" t="s">
        <v>542</v>
      </c>
      <c r="C1405" s="0" t="n">
        <v>117</v>
      </c>
      <c r="D1405" s="0" t="n">
        <v>1</v>
      </c>
      <c r="E1405" s="0" t="str">
        <f aca="false">INDEX(lot!$B$2:$B$1201,MATCH(B1405,lot!$A$2:$A$1201,0))</f>
        <v>SUP-E</v>
      </c>
      <c r="F1405" s="3" t="n">
        <f aca="false">YEAR(A1405)*100+MONTH(A1405)</f>
        <v>202605</v>
      </c>
    </row>
    <row r="1406" customFormat="false" ht="15" hidden="false" customHeight="false" outlineLevel="0" collapsed="false">
      <c r="A1406" s="2" t="n">
        <v>46147</v>
      </c>
      <c r="B1406" s="3" t="s">
        <v>587</v>
      </c>
      <c r="C1406" s="0" t="n">
        <v>184</v>
      </c>
      <c r="D1406" s="0" t="n">
        <v>1</v>
      </c>
      <c r="E1406" s="0" t="str">
        <f aca="false">INDEX(lot!$B$2:$B$1201,MATCH(B1406,lot!$A$2:$A$1201,0))</f>
        <v>SUP-A</v>
      </c>
      <c r="F1406" s="3" t="n">
        <f aca="false">YEAR(A1406)*100+MONTH(A1406)</f>
        <v>202605</v>
      </c>
    </row>
    <row r="1407" customFormat="false" ht="15" hidden="false" customHeight="false" outlineLevel="0" collapsed="false">
      <c r="A1407" s="2" t="n">
        <v>46147</v>
      </c>
      <c r="B1407" s="3" t="s">
        <v>622</v>
      </c>
      <c r="C1407" s="0" t="n">
        <v>174</v>
      </c>
      <c r="D1407" s="0" t="n">
        <v>1</v>
      </c>
      <c r="E1407" s="0" t="str">
        <f aca="false">INDEX(lot!$B$2:$B$1201,MATCH(B1407,lot!$A$2:$A$1201,0))</f>
        <v>SUP-A</v>
      </c>
      <c r="F1407" s="3" t="n">
        <f aca="false">YEAR(A1407)*100+MONTH(A1407)</f>
        <v>202605</v>
      </c>
    </row>
    <row r="1408" customFormat="false" ht="15" hidden="false" customHeight="false" outlineLevel="0" collapsed="false">
      <c r="A1408" s="2" t="n">
        <v>46147</v>
      </c>
      <c r="B1408" s="3" t="s">
        <v>622</v>
      </c>
      <c r="C1408" s="0" t="n">
        <v>147</v>
      </c>
      <c r="D1408" s="0" t="n">
        <v>0</v>
      </c>
      <c r="E1408" s="0" t="str">
        <f aca="false">INDEX(lot!$B$2:$B$1201,MATCH(B1408,lot!$A$2:$A$1201,0))</f>
        <v>SUP-A</v>
      </c>
      <c r="F1408" s="3" t="n">
        <f aca="false">YEAR(A1408)*100+MONTH(A1408)</f>
        <v>202605</v>
      </c>
    </row>
    <row r="1409" customFormat="false" ht="15" hidden="false" customHeight="false" outlineLevel="0" collapsed="false">
      <c r="A1409" s="2" t="n">
        <v>46147</v>
      </c>
      <c r="B1409" s="3" t="s">
        <v>654</v>
      </c>
      <c r="C1409" s="0" t="n">
        <v>213</v>
      </c>
      <c r="D1409" s="0" t="n">
        <v>2</v>
      </c>
      <c r="E1409" s="0" t="str">
        <f aca="false">INDEX(lot!$B$2:$B$1201,MATCH(B1409,lot!$A$2:$A$1201,0))</f>
        <v>SUP-E</v>
      </c>
      <c r="F1409" s="3" t="n">
        <f aca="false">YEAR(A1409)*100+MONTH(A1409)</f>
        <v>202605</v>
      </c>
    </row>
    <row r="1410" customFormat="false" ht="15" hidden="false" customHeight="false" outlineLevel="0" collapsed="false">
      <c r="A1410" s="2" t="n">
        <v>46147</v>
      </c>
      <c r="B1410" s="3" t="s">
        <v>723</v>
      </c>
      <c r="C1410" s="0" t="n">
        <v>134</v>
      </c>
      <c r="D1410" s="0" t="n">
        <v>3</v>
      </c>
      <c r="E1410" s="0" t="str">
        <f aca="false">INDEX(lot!$B$2:$B$1201,MATCH(B1410,lot!$A$2:$A$1201,0))</f>
        <v>SUP-C</v>
      </c>
      <c r="F1410" s="3" t="n">
        <f aca="false">YEAR(A1410)*100+MONTH(A1410)</f>
        <v>202605</v>
      </c>
    </row>
    <row r="1411" customFormat="false" ht="15" hidden="false" customHeight="false" outlineLevel="0" collapsed="false">
      <c r="A1411" s="2" t="n">
        <v>46147</v>
      </c>
      <c r="B1411" s="3" t="s">
        <v>723</v>
      </c>
      <c r="C1411" s="0" t="n">
        <v>165</v>
      </c>
      <c r="D1411" s="0" t="n">
        <v>6</v>
      </c>
      <c r="E1411" s="0" t="str">
        <f aca="false">INDEX(lot!$B$2:$B$1201,MATCH(B1411,lot!$A$2:$A$1201,0))</f>
        <v>SUP-C</v>
      </c>
      <c r="F1411" s="3" t="n">
        <f aca="false">YEAR(A1411)*100+MONTH(A1411)</f>
        <v>202605</v>
      </c>
    </row>
    <row r="1412" customFormat="false" ht="15" hidden="false" customHeight="false" outlineLevel="0" collapsed="false">
      <c r="A1412" s="2" t="n">
        <v>46147</v>
      </c>
      <c r="B1412" s="3" t="s">
        <v>922</v>
      </c>
      <c r="C1412" s="0" t="n">
        <v>71</v>
      </c>
      <c r="D1412" s="0" t="n">
        <v>0</v>
      </c>
      <c r="E1412" s="0" t="str">
        <f aca="false">INDEX(lot!$B$2:$B$1201,MATCH(B1412,lot!$A$2:$A$1201,0))</f>
        <v>SUP-E</v>
      </c>
      <c r="F1412" s="3" t="n">
        <f aca="false">YEAR(A1412)*100+MONTH(A1412)</f>
        <v>202605</v>
      </c>
    </row>
    <row r="1413" customFormat="false" ht="15" hidden="false" customHeight="false" outlineLevel="0" collapsed="false">
      <c r="A1413" s="2" t="n">
        <v>46147</v>
      </c>
      <c r="B1413" s="3" t="s">
        <v>922</v>
      </c>
      <c r="C1413" s="0" t="n">
        <v>172</v>
      </c>
      <c r="D1413" s="0" t="n">
        <v>2</v>
      </c>
      <c r="E1413" s="0" t="str">
        <f aca="false">INDEX(lot!$B$2:$B$1201,MATCH(B1413,lot!$A$2:$A$1201,0))</f>
        <v>SUP-E</v>
      </c>
      <c r="F1413" s="3" t="n">
        <f aca="false">YEAR(A1413)*100+MONTH(A1413)</f>
        <v>202605</v>
      </c>
    </row>
    <row r="1414" customFormat="false" ht="15" hidden="false" customHeight="false" outlineLevel="0" collapsed="false">
      <c r="A1414" s="2" t="n">
        <v>46147</v>
      </c>
      <c r="B1414" s="3" t="s">
        <v>980</v>
      </c>
      <c r="C1414" s="0" t="n">
        <v>88</v>
      </c>
      <c r="D1414" s="0" t="n">
        <v>1</v>
      </c>
      <c r="E1414" s="0" t="str">
        <f aca="false">INDEX(lot!$B$2:$B$1201,MATCH(B1414,lot!$A$2:$A$1201,0))</f>
        <v>SUP-D</v>
      </c>
      <c r="F1414" s="3" t="n">
        <f aca="false">YEAR(A1414)*100+MONTH(A1414)</f>
        <v>202605</v>
      </c>
    </row>
    <row r="1415" customFormat="false" ht="15" hidden="false" customHeight="false" outlineLevel="0" collapsed="false">
      <c r="A1415" s="2" t="n">
        <v>46147</v>
      </c>
      <c r="B1415" s="3" t="s">
        <v>980</v>
      </c>
      <c r="C1415" s="0" t="n">
        <v>152</v>
      </c>
      <c r="D1415" s="0" t="n">
        <v>1</v>
      </c>
      <c r="E1415" s="0" t="str">
        <f aca="false">INDEX(lot!$B$2:$B$1201,MATCH(B1415,lot!$A$2:$A$1201,0))</f>
        <v>SUP-D</v>
      </c>
      <c r="F1415" s="3" t="n">
        <f aca="false">YEAR(A1415)*100+MONTH(A1415)</f>
        <v>202605</v>
      </c>
    </row>
    <row r="1416" customFormat="false" ht="15" hidden="false" customHeight="false" outlineLevel="0" collapsed="false">
      <c r="A1416" s="2" t="n">
        <v>46147</v>
      </c>
      <c r="B1416" s="3" t="s">
        <v>1099</v>
      </c>
      <c r="C1416" s="0" t="n">
        <v>134</v>
      </c>
      <c r="D1416" s="0" t="n">
        <v>4</v>
      </c>
      <c r="E1416" s="0" t="str">
        <f aca="false">INDEX(lot!$B$2:$B$1201,MATCH(B1416,lot!$A$2:$A$1201,0))</f>
        <v>SUP-C</v>
      </c>
      <c r="F1416" s="3" t="n">
        <f aca="false">YEAR(A1416)*100+MONTH(A1416)</f>
        <v>202605</v>
      </c>
    </row>
    <row r="1417" customFormat="false" ht="15" hidden="false" customHeight="false" outlineLevel="0" collapsed="false">
      <c r="A1417" s="2" t="n">
        <v>46147</v>
      </c>
      <c r="B1417" s="3" t="s">
        <v>1099</v>
      </c>
      <c r="C1417" s="0" t="n">
        <v>102</v>
      </c>
      <c r="D1417" s="0" t="n">
        <v>3</v>
      </c>
      <c r="E1417" s="0" t="str">
        <f aca="false">INDEX(lot!$B$2:$B$1201,MATCH(B1417,lot!$A$2:$A$1201,0))</f>
        <v>SUP-C</v>
      </c>
      <c r="F1417" s="3" t="n">
        <f aca="false">YEAR(A1417)*100+MONTH(A1417)</f>
        <v>202605</v>
      </c>
    </row>
    <row r="1418" customFormat="false" ht="15" hidden="false" customHeight="false" outlineLevel="0" collapsed="false">
      <c r="A1418" s="2" t="n">
        <v>46147</v>
      </c>
      <c r="B1418" s="3" t="s">
        <v>1147</v>
      </c>
      <c r="C1418" s="0" t="n">
        <v>126</v>
      </c>
      <c r="D1418" s="0" t="n">
        <v>1</v>
      </c>
      <c r="E1418" s="0" t="str">
        <f aca="false">INDEX(lot!$B$2:$B$1201,MATCH(B1418,lot!$A$2:$A$1201,0))</f>
        <v>SUP-E</v>
      </c>
      <c r="F1418" s="3" t="n">
        <f aca="false">YEAR(A1418)*100+MONTH(A1418)</f>
        <v>202605</v>
      </c>
    </row>
    <row r="1419" customFormat="false" ht="15" hidden="false" customHeight="false" outlineLevel="0" collapsed="false">
      <c r="A1419" s="2" t="n">
        <v>46147</v>
      </c>
      <c r="B1419" s="3" t="s">
        <v>1147</v>
      </c>
      <c r="C1419" s="0" t="n">
        <v>150</v>
      </c>
      <c r="D1419" s="0" t="n">
        <v>0</v>
      </c>
      <c r="E1419" s="0" t="str">
        <f aca="false">INDEX(lot!$B$2:$B$1201,MATCH(B1419,lot!$A$2:$A$1201,0))</f>
        <v>SUP-E</v>
      </c>
      <c r="F1419" s="3" t="n">
        <f aca="false">YEAR(A1419)*100+MONTH(A1419)</f>
        <v>202605</v>
      </c>
    </row>
    <row r="1420" customFormat="false" ht="15" hidden="false" customHeight="false" outlineLevel="0" collapsed="false">
      <c r="A1420" s="2" t="n">
        <v>46147</v>
      </c>
      <c r="B1420" s="3" t="s">
        <v>1186</v>
      </c>
      <c r="C1420" s="0" t="n">
        <v>234</v>
      </c>
      <c r="D1420" s="0" t="n">
        <v>3</v>
      </c>
      <c r="E1420" s="0" t="str">
        <f aca="false">INDEX(lot!$B$2:$B$1201,MATCH(B1420,lot!$A$2:$A$1201,0))</f>
        <v>SUP-E</v>
      </c>
      <c r="F1420" s="3" t="n">
        <f aca="false">YEAR(A1420)*100+MONTH(A1420)</f>
        <v>202605</v>
      </c>
    </row>
    <row r="1421" customFormat="false" ht="15" hidden="false" customHeight="false" outlineLevel="0" collapsed="false">
      <c r="A1421" s="2" t="n">
        <v>46148</v>
      </c>
      <c r="B1421" s="3" t="s">
        <v>52</v>
      </c>
      <c r="C1421" s="0" t="n">
        <v>236</v>
      </c>
      <c r="D1421" s="0" t="n">
        <v>1</v>
      </c>
      <c r="E1421" s="0" t="str">
        <f aca="false">INDEX(lot!$B$2:$B$1201,MATCH(B1421,lot!$A$2:$A$1201,0))</f>
        <v>SUP-D</v>
      </c>
      <c r="F1421" s="3" t="n">
        <f aca="false">YEAR(A1421)*100+MONTH(A1421)</f>
        <v>202605</v>
      </c>
    </row>
    <row r="1422" customFormat="false" ht="15" hidden="false" customHeight="false" outlineLevel="0" collapsed="false">
      <c r="A1422" s="2" t="n">
        <v>46148</v>
      </c>
      <c r="B1422" s="3" t="s">
        <v>159</v>
      </c>
      <c r="C1422" s="0" t="n">
        <v>124</v>
      </c>
      <c r="D1422" s="0" t="n">
        <v>1</v>
      </c>
      <c r="E1422" s="0" t="str">
        <f aca="false">INDEX(lot!$B$2:$B$1201,MATCH(B1422,lot!$A$2:$A$1201,0))</f>
        <v>SUP-D</v>
      </c>
      <c r="F1422" s="3" t="n">
        <f aca="false">YEAR(A1422)*100+MONTH(A1422)</f>
        <v>202605</v>
      </c>
    </row>
    <row r="1423" customFormat="false" ht="15" hidden="false" customHeight="false" outlineLevel="0" collapsed="false">
      <c r="A1423" s="2" t="n">
        <v>46148</v>
      </c>
      <c r="B1423" s="3" t="s">
        <v>198</v>
      </c>
      <c r="C1423" s="0" t="n">
        <v>158</v>
      </c>
      <c r="D1423" s="0" t="n">
        <v>1</v>
      </c>
      <c r="E1423" s="0" t="str">
        <f aca="false">INDEX(lot!$B$2:$B$1201,MATCH(B1423,lot!$A$2:$A$1201,0))</f>
        <v>SUP-C</v>
      </c>
      <c r="F1423" s="3" t="n">
        <f aca="false">YEAR(A1423)*100+MONTH(A1423)</f>
        <v>202605</v>
      </c>
    </row>
    <row r="1424" customFormat="false" ht="15" hidden="false" customHeight="false" outlineLevel="0" collapsed="false">
      <c r="A1424" s="2" t="n">
        <v>46148</v>
      </c>
      <c r="B1424" s="3" t="s">
        <v>198</v>
      </c>
      <c r="C1424" s="0" t="n">
        <v>169</v>
      </c>
      <c r="D1424" s="0" t="n">
        <v>3</v>
      </c>
      <c r="E1424" s="0" t="str">
        <f aca="false">INDEX(lot!$B$2:$B$1201,MATCH(B1424,lot!$A$2:$A$1201,0))</f>
        <v>SUP-C</v>
      </c>
      <c r="F1424" s="3" t="n">
        <f aca="false">YEAR(A1424)*100+MONTH(A1424)</f>
        <v>202605</v>
      </c>
    </row>
    <row r="1425" customFormat="false" ht="15" hidden="false" customHeight="false" outlineLevel="0" collapsed="false">
      <c r="A1425" s="2" t="n">
        <v>46148</v>
      </c>
      <c r="B1425" s="3" t="s">
        <v>202</v>
      </c>
      <c r="C1425" s="0" t="n">
        <v>94</v>
      </c>
      <c r="D1425" s="0" t="n">
        <v>0</v>
      </c>
      <c r="E1425" s="0" t="str">
        <f aca="false">INDEX(lot!$B$2:$B$1201,MATCH(B1425,lot!$A$2:$A$1201,0))</f>
        <v>SUP-B</v>
      </c>
      <c r="F1425" s="3" t="n">
        <f aca="false">YEAR(A1425)*100+MONTH(A1425)</f>
        <v>202605</v>
      </c>
    </row>
    <row r="1426" customFormat="false" ht="15" hidden="false" customHeight="false" outlineLevel="0" collapsed="false">
      <c r="A1426" s="2" t="n">
        <v>46148</v>
      </c>
      <c r="B1426" s="3" t="s">
        <v>202</v>
      </c>
      <c r="C1426" s="0" t="n">
        <v>182</v>
      </c>
      <c r="D1426" s="0" t="n">
        <v>1</v>
      </c>
      <c r="E1426" s="0" t="str">
        <f aca="false">INDEX(lot!$B$2:$B$1201,MATCH(B1426,lot!$A$2:$A$1201,0))</f>
        <v>SUP-B</v>
      </c>
      <c r="F1426" s="3" t="n">
        <f aca="false">YEAR(A1426)*100+MONTH(A1426)</f>
        <v>202605</v>
      </c>
    </row>
    <row r="1427" customFormat="false" ht="15" hidden="false" customHeight="false" outlineLevel="0" collapsed="false">
      <c r="A1427" s="2" t="n">
        <v>46148</v>
      </c>
      <c r="B1427" s="3" t="s">
        <v>308</v>
      </c>
      <c r="C1427" s="0" t="n">
        <v>189</v>
      </c>
      <c r="D1427" s="0" t="n">
        <v>5</v>
      </c>
      <c r="E1427" s="0" t="str">
        <f aca="false">INDEX(lot!$B$2:$B$1201,MATCH(B1427,lot!$A$2:$A$1201,0))</f>
        <v>SUP-C</v>
      </c>
      <c r="F1427" s="3" t="n">
        <f aca="false">YEAR(A1427)*100+MONTH(A1427)</f>
        <v>202605</v>
      </c>
    </row>
    <row r="1428" customFormat="false" ht="15" hidden="false" customHeight="false" outlineLevel="0" collapsed="false">
      <c r="A1428" s="2" t="n">
        <v>46148</v>
      </c>
      <c r="B1428" s="3" t="s">
        <v>308</v>
      </c>
      <c r="C1428" s="0" t="n">
        <v>98</v>
      </c>
      <c r="D1428" s="0" t="n">
        <v>2</v>
      </c>
      <c r="E1428" s="0" t="str">
        <f aca="false">INDEX(lot!$B$2:$B$1201,MATCH(B1428,lot!$A$2:$A$1201,0))</f>
        <v>SUP-C</v>
      </c>
      <c r="F1428" s="3" t="n">
        <f aca="false">YEAR(A1428)*100+MONTH(A1428)</f>
        <v>202605</v>
      </c>
    </row>
    <row r="1429" customFormat="false" ht="15" hidden="false" customHeight="false" outlineLevel="0" collapsed="false">
      <c r="A1429" s="2" t="n">
        <v>46148</v>
      </c>
      <c r="B1429" s="3" t="s">
        <v>319</v>
      </c>
      <c r="C1429" s="0" t="n">
        <v>161</v>
      </c>
      <c r="D1429" s="0" t="n">
        <v>2</v>
      </c>
      <c r="E1429" s="0" t="str">
        <f aca="false">INDEX(lot!$B$2:$B$1201,MATCH(B1429,lot!$A$2:$A$1201,0))</f>
        <v>SUP-A</v>
      </c>
      <c r="F1429" s="3" t="n">
        <f aca="false">YEAR(A1429)*100+MONTH(A1429)</f>
        <v>202605</v>
      </c>
    </row>
    <row r="1430" customFormat="false" ht="15" hidden="false" customHeight="false" outlineLevel="0" collapsed="false">
      <c r="A1430" s="2" t="n">
        <v>46148</v>
      </c>
      <c r="B1430" s="3" t="s">
        <v>336</v>
      </c>
      <c r="C1430" s="0" t="n">
        <v>207</v>
      </c>
      <c r="D1430" s="0" t="n">
        <v>1</v>
      </c>
      <c r="E1430" s="0" t="str">
        <f aca="false">INDEX(lot!$B$2:$B$1201,MATCH(B1430,lot!$A$2:$A$1201,0))</f>
        <v>SUP-B</v>
      </c>
      <c r="F1430" s="3" t="n">
        <f aca="false">YEAR(A1430)*100+MONTH(A1430)</f>
        <v>202605</v>
      </c>
    </row>
    <row r="1431" customFormat="false" ht="15" hidden="false" customHeight="false" outlineLevel="0" collapsed="false">
      <c r="A1431" s="2" t="n">
        <v>46148</v>
      </c>
      <c r="B1431" s="3" t="s">
        <v>367</v>
      </c>
      <c r="C1431" s="0" t="n">
        <v>233</v>
      </c>
      <c r="D1431" s="0" t="n">
        <v>2</v>
      </c>
      <c r="E1431" s="0" t="str">
        <f aca="false">INDEX(lot!$B$2:$B$1201,MATCH(B1431,lot!$A$2:$A$1201,0))</f>
        <v>SUP-A</v>
      </c>
      <c r="F1431" s="3" t="n">
        <f aca="false">YEAR(A1431)*100+MONTH(A1431)</f>
        <v>202605</v>
      </c>
    </row>
    <row r="1432" customFormat="false" ht="15" hidden="false" customHeight="false" outlineLevel="0" collapsed="false">
      <c r="A1432" s="2" t="n">
        <v>46148</v>
      </c>
      <c r="B1432" s="3" t="s">
        <v>372</v>
      </c>
      <c r="C1432" s="0" t="n">
        <v>64</v>
      </c>
      <c r="D1432" s="0" t="n">
        <v>1</v>
      </c>
      <c r="E1432" s="0" t="str">
        <f aca="false">INDEX(lot!$B$2:$B$1201,MATCH(B1432,lot!$A$2:$A$1201,0))</f>
        <v>SUP-C</v>
      </c>
      <c r="F1432" s="3" t="n">
        <f aca="false">YEAR(A1432)*100+MONTH(A1432)</f>
        <v>202605</v>
      </c>
    </row>
    <row r="1433" customFormat="false" ht="15" hidden="false" customHeight="false" outlineLevel="0" collapsed="false">
      <c r="A1433" s="2" t="n">
        <v>46148</v>
      </c>
      <c r="B1433" s="3" t="s">
        <v>372</v>
      </c>
      <c r="C1433" s="0" t="n">
        <v>229</v>
      </c>
      <c r="D1433" s="0" t="n">
        <v>8</v>
      </c>
      <c r="E1433" s="0" t="str">
        <f aca="false">INDEX(lot!$B$2:$B$1201,MATCH(B1433,lot!$A$2:$A$1201,0))</f>
        <v>SUP-C</v>
      </c>
      <c r="F1433" s="3" t="n">
        <f aca="false">YEAR(A1433)*100+MONTH(A1433)</f>
        <v>202605</v>
      </c>
    </row>
    <row r="1434" customFormat="false" ht="15" hidden="false" customHeight="false" outlineLevel="0" collapsed="false">
      <c r="A1434" s="2" t="n">
        <v>46148</v>
      </c>
      <c r="B1434" s="3" t="s">
        <v>415</v>
      </c>
      <c r="C1434" s="0" t="n">
        <v>222</v>
      </c>
      <c r="D1434" s="0" t="n">
        <v>1</v>
      </c>
      <c r="E1434" s="0" t="str">
        <f aca="false">INDEX(lot!$B$2:$B$1201,MATCH(B1434,lot!$A$2:$A$1201,0))</f>
        <v>SUP-A</v>
      </c>
      <c r="F1434" s="3" t="n">
        <f aca="false">YEAR(A1434)*100+MONTH(A1434)</f>
        <v>202605</v>
      </c>
    </row>
    <row r="1435" customFormat="false" ht="15" hidden="false" customHeight="false" outlineLevel="0" collapsed="false">
      <c r="A1435" s="2" t="n">
        <v>46148</v>
      </c>
      <c r="B1435" s="3" t="s">
        <v>449</v>
      </c>
      <c r="C1435" s="0" t="n">
        <v>165</v>
      </c>
      <c r="D1435" s="0" t="n">
        <v>2</v>
      </c>
      <c r="E1435" s="0" t="str">
        <f aca="false">INDEX(lot!$B$2:$B$1201,MATCH(B1435,lot!$A$2:$A$1201,0))</f>
        <v>SUP-D</v>
      </c>
      <c r="F1435" s="3" t="n">
        <f aca="false">YEAR(A1435)*100+MONTH(A1435)</f>
        <v>202605</v>
      </c>
    </row>
    <row r="1436" customFormat="false" ht="15" hidden="false" customHeight="false" outlineLevel="0" collapsed="false">
      <c r="A1436" s="2" t="n">
        <v>46148</v>
      </c>
      <c r="B1436" s="3" t="s">
        <v>449</v>
      </c>
      <c r="C1436" s="0" t="n">
        <v>240</v>
      </c>
      <c r="D1436" s="0" t="n">
        <v>3</v>
      </c>
      <c r="E1436" s="0" t="str">
        <f aca="false">INDEX(lot!$B$2:$B$1201,MATCH(B1436,lot!$A$2:$A$1201,0))</f>
        <v>SUP-D</v>
      </c>
      <c r="F1436" s="3" t="n">
        <f aca="false">YEAR(A1436)*100+MONTH(A1436)</f>
        <v>202605</v>
      </c>
    </row>
    <row r="1437" customFormat="false" ht="15" hidden="false" customHeight="false" outlineLevel="0" collapsed="false">
      <c r="A1437" s="2" t="n">
        <v>46148</v>
      </c>
      <c r="B1437" s="3" t="s">
        <v>498</v>
      </c>
      <c r="C1437" s="0" t="n">
        <v>226</v>
      </c>
      <c r="D1437" s="0" t="n">
        <v>3</v>
      </c>
      <c r="E1437" s="0" t="str">
        <f aca="false">INDEX(lot!$B$2:$B$1201,MATCH(B1437,lot!$A$2:$A$1201,0))</f>
        <v>SUP-C</v>
      </c>
      <c r="F1437" s="3" t="n">
        <f aca="false">YEAR(A1437)*100+MONTH(A1437)</f>
        <v>202605</v>
      </c>
    </row>
    <row r="1438" customFormat="false" ht="15" hidden="false" customHeight="false" outlineLevel="0" collapsed="false">
      <c r="A1438" s="2" t="n">
        <v>46148</v>
      </c>
      <c r="B1438" s="3" t="s">
        <v>498</v>
      </c>
      <c r="C1438" s="0" t="n">
        <v>123</v>
      </c>
      <c r="D1438" s="0" t="n">
        <v>2</v>
      </c>
      <c r="E1438" s="0" t="str">
        <f aca="false">INDEX(lot!$B$2:$B$1201,MATCH(B1438,lot!$A$2:$A$1201,0))</f>
        <v>SUP-C</v>
      </c>
      <c r="F1438" s="3" t="n">
        <f aca="false">YEAR(A1438)*100+MONTH(A1438)</f>
        <v>202605</v>
      </c>
    </row>
    <row r="1439" customFormat="false" ht="15" hidden="false" customHeight="false" outlineLevel="0" collapsed="false">
      <c r="A1439" s="2" t="n">
        <v>46148</v>
      </c>
      <c r="B1439" s="3" t="s">
        <v>507</v>
      </c>
      <c r="C1439" s="0" t="n">
        <v>167</v>
      </c>
      <c r="D1439" s="0" t="n">
        <v>2</v>
      </c>
      <c r="E1439" s="0" t="str">
        <f aca="false">INDEX(lot!$B$2:$B$1201,MATCH(B1439,lot!$A$2:$A$1201,0))</f>
        <v>SUP-D</v>
      </c>
      <c r="F1439" s="3" t="n">
        <f aca="false">YEAR(A1439)*100+MONTH(A1439)</f>
        <v>202605</v>
      </c>
    </row>
    <row r="1440" customFormat="false" ht="15" hidden="false" customHeight="false" outlineLevel="0" collapsed="false">
      <c r="A1440" s="2" t="n">
        <v>46148</v>
      </c>
      <c r="B1440" s="3" t="s">
        <v>542</v>
      </c>
      <c r="C1440" s="0" t="n">
        <v>138</v>
      </c>
      <c r="D1440" s="0" t="n">
        <v>2</v>
      </c>
      <c r="E1440" s="0" t="str">
        <f aca="false">INDEX(lot!$B$2:$B$1201,MATCH(B1440,lot!$A$2:$A$1201,0))</f>
        <v>SUP-E</v>
      </c>
      <c r="F1440" s="3" t="n">
        <f aca="false">YEAR(A1440)*100+MONTH(A1440)</f>
        <v>202605</v>
      </c>
    </row>
    <row r="1441" customFormat="false" ht="15" hidden="false" customHeight="false" outlineLevel="0" collapsed="false">
      <c r="A1441" s="2" t="n">
        <v>46148</v>
      </c>
      <c r="B1441" s="3" t="s">
        <v>587</v>
      </c>
      <c r="C1441" s="0" t="n">
        <v>131</v>
      </c>
      <c r="D1441" s="0" t="n">
        <v>2</v>
      </c>
      <c r="E1441" s="0" t="str">
        <f aca="false">INDEX(lot!$B$2:$B$1201,MATCH(B1441,lot!$A$2:$A$1201,0))</f>
        <v>SUP-A</v>
      </c>
      <c r="F1441" s="3" t="n">
        <f aca="false">YEAR(A1441)*100+MONTH(A1441)</f>
        <v>202605</v>
      </c>
    </row>
    <row r="1442" customFormat="false" ht="15" hidden="false" customHeight="false" outlineLevel="0" collapsed="false">
      <c r="A1442" s="2" t="n">
        <v>46148</v>
      </c>
      <c r="B1442" s="3" t="s">
        <v>587</v>
      </c>
      <c r="C1442" s="0" t="n">
        <v>126</v>
      </c>
      <c r="D1442" s="0" t="n">
        <v>1</v>
      </c>
      <c r="E1442" s="0" t="str">
        <f aca="false">INDEX(lot!$B$2:$B$1201,MATCH(B1442,lot!$A$2:$A$1201,0))</f>
        <v>SUP-A</v>
      </c>
      <c r="F1442" s="3" t="n">
        <f aca="false">YEAR(A1442)*100+MONTH(A1442)</f>
        <v>202605</v>
      </c>
    </row>
    <row r="1443" customFormat="false" ht="15" hidden="false" customHeight="false" outlineLevel="0" collapsed="false">
      <c r="A1443" s="2" t="n">
        <v>46148</v>
      </c>
      <c r="B1443" s="3" t="s">
        <v>622</v>
      </c>
      <c r="C1443" s="0" t="n">
        <v>231</v>
      </c>
      <c r="D1443" s="0" t="n">
        <v>3</v>
      </c>
      <c r="E1443" s="0" t="str">
        <f aca="false">INDEX(lot!$B$2:$B$1201,MATCH(B1443,lot!$A$2:$A$1201,0))</f>
        <v>SUP-A</v>
      </c>
      <c r="F1443" s="3" t="n">
        <f aca="false">YEAR(A1443)*100+MONTH(A1443)</f>
        <v>202605</v>
      </c>
    </row>
    <row r="1444" customFormat="false" ht="15" hidden="false" customHeight="false" outlineLevel="0" collapsed="false">
      <c r="A1444" s="2" t="n">
        <v>46148</v>
      </c>
      <c r="B1444" s="3" t="s">
        <v>654</v>
      </c>
      <c r="C1444" s="0" t="n">
        <v>123</v>
      </c>
      <c r="D1444" s="0" t="n">
        <v>0</v>
      </c>
      <c r="E1444" s="0" t="str">
        <f aca="false">INDEX(lot!$B$2:$B$1201,MATCH(B1444,lot!$A$2:$A$1201,0))</f>
        <v>SUP-E</v>
      </c>
      <c r="F1444" s="3" t="n">
        <f aca="false">YEAR(A1444)*100+MONTH(A1444)</f>
        <v>202605</v>
      </c>
    </row>
    <row r="1445" customFormat="false" ht="15" hidden="false" customHeight="false" outlineLevel="0" collapsed="false">
      <c r="A1445" s="2" t="n">
        <v>46148</v>
      </c>
      <c r="B1445" s="3" t="s">
        <v>662</v>
      </c>
      <c r="C1445" s="0" t="n">
        <v>113</v>
      </c>
      <c r="D1445" s="0" t="n">
        <v>1</v>
      </c>
      <c r="E1445" s="0" t="str">
        <f aca="false">INDEX(lot!$B$2:$B$1201,MATCH(B1445,lot!$A$2:$A$1201,0))</f>
        <v>SUP-D</v>
      </c>
      <c r="F1445" s="3" t="n">
        <f aca="false">YEAR(A1445)*100+MONTH(A1445)</f>
        <v>202605</v>
      </c>
    </row>
    <row r="1446" customFormat="false" ht="15" hidden="false" customHeight="false" outlineLevel="0" collapsed="false">
      <c r="A1446" s="2" t="n">
        <v>46148</v>
      </c>
      <c r="B1446" s="3" t="s">
        <v>662</v>
      </c>
      <c r="C1446" s="0" t="n">
        <v>77</v>
      </c>
      <c r="D1446" s="0" t="n">
        <v>2</v>
      </c>
      <c r="E1446" s="0" t="str">
        <f aca="false">INDEX(lot!$B$2:$B$1201,MATCH(B1446,lot!$A$2:$A$1201,0))</f>
        <v>SUP-D</v>
      </c>
      <c r="F1446" s="3" t="n">
        <f aca="false">YEAR(A1446)*100+MONTH(A1446)</f>
        <v>202605</v>
      </c>
    </row>
    <row r="1447" customFormat="false" ht="15" hidden="false" customHeight="false" outlineLevel="0" collapsed="false">
      <c r="A1447" s="2" t="n">
        <v>46148</v>
      </c>
      <c r="B1447" s="3" t="s">
        <v>723</v>
      </c>
      <c r="C1447" s="0" t="n">
        <v>142</v>
      </c>
      <c r="D1447" s="0" t="n">
        <v>2</v>
      </c>
      <c r="E1447" s="0" t="str">
        <f aca="false">INDEX(lot!$B$2:$B$1201,MATCH(B1447,lot!$A$2:$A$1201,0))</f>
        <v>SUP-C</v>
      </c>
      <c r="F1447" s="3" t="n">
        <f aca="false">YEAR(A1447)*100+MONTH(A1447)</f>
        <v>202605</v>
      </c>
    </row>
    <row r="1448" customFormat="false" ht="15" hidden="false" customHeight="false" outlineLevel="0" collapsed="false">
      <c r="A1448" s="2" t="n">
        <v>46148</v>
      </c>
      <c r="B1448" s="3" t="s">
        <v>723</v>
      </c>
      <c r="C1448" s="0" t="n">
        <v>169</v>
      </c>
      <c r="D1448" s="0" t="n">
        <v>4</v>
      </c>
      <c r="E1448" s="0" t="str">
        <f aca="false">INDEX(lot!$B$2:$B$1201,MATCH(B1448,lot!$A$2:$A$1201,0))</f>
        <v>SUP-C</v>
      </c>
      <c r="F1448" s="3" t="n">
        <f aca="false">YEAR(A1448)*100+MONTH(A1448)</f>
        <v>202605</v>
      </c>
    </row>
    <row r="1449" customFormat="false" ht="15" hidden="false" customHeight="false" outlineLevel="0" collapsed="false">
      <c r="A1449" s="2" t="n">
        <v>46148</v>
      </c>
      <c r="B1449" s="3" t="s">
        <v>731</v>
      </c>
      <c r="C1449" s="0" t="n">
        <v>246</v>
      </c>
      <c r="D1449" s="0" t="n">
        <v>4</v>
      </c>
      <c r="E1449" s="0" t="str">
        <f aca="false">INDEX(lot!$B$2:$B$1201,MATCH(B1449,lot!$A$2:$A$1201,0))</f>
        <v>SUP-E</v>
      </c>
      <c r="F1449" s="3" t="n">
        <f aca="false">YEAR(A1449)*100+MONTH(A1449)</f>
        <v>202605</v>
      </c>
    </row>
    <row r="1450" customFormat="false" ht="15" hidden="false" customHeight="false" outlineLevel="0" collapsed="false">
      <c r="A1450" s="2" t="n">
        <v>46148</v>
      </c>
      <c r="B1450" s="3" t="s">
        <v>731</v>
      </c>
      <c r="C1450" s="0" t="n">
        <v>89</v>
      </c>
      <c r="D1450" s="0" t="n">
        <v>1</v>
      </c>
      <c r="E1450" s="0" t="str">
        <f aca="false">INDEX(lot!$B$2:$B$1201,MATCH(B1450,lot!$A$2:$A$1201,0))</f>
        <v>SUP-E</v>
      </c>
      <c r="F1450" s="3" t="n">
        <f aca="false">YEAR(A1450)*100+MONTH(A1450)</f>
        <v>202605</v>
      </c>
    </row>
    <row r="1451" customFormat="false" ht="15" hidden="false" customHeight="false" outlineLevel="0" collapsed="false">
      <c r="A1451" s="2" t="n">
        <v>46148</v>
      </c>
      <c r="B1451" s="3" t="s">
        <v>913</v>
      </c>
      <c r="C1451" s="0" t="n">
        <v>148</v>
      </c>
      <c r="D1451" s="0" t="n">
        <v>3</v>
      </c>
      <c r="E1451" s="0" t="str">
        <f aca="false">INDEX(lot!$B$2:$B$1201,MATCH(B1451,lot!$A$2:$A$1201,0))</f>
        <v>SUP-A</v>
      </c>
      <c r="F1451" s="3" t="n">
        <f aca="false">YEAR(A1451)*100+MONTH(A1451)</f>
        <v>202605</v>
      </c>
    </row>
    <row r="1452" customFormat="false" ht="15" hidden="false" customHeight="false" outlineLevel="0" collapsed="false">
      <c r="A1452" s="2" t="n">
        <v>46148</v>
      </c>
      <c r="B1452" s="3" t="s">
        <v>913</v>
      </c>
      <c r="C1452" s="0" t="n">
        <v>240</v>
      </c>
      <c r="D1452" s="0" t="n">
        <v>3</v>
      </c>
      <c r="E1452" s="0" t="str">
        <f aca="false">INDEX(lot!$B$2:$B$1201,MATCH(B1452,lot!$A$2:$A$1201,0))</f>
        <v>SUP-A</v>
      </c>
      <c r="F1452" s="3" t="n">
        <f aca="false">YEAR(A1452)*100+MONTH(A1452)</f>
        <v>202605</v>
      </c>
    </row>
    <row r="1453" customFormat="false" ht="15" hidden="false" customHeight="false" outlineLevel="0" collapsed="false">
      <c r="A1453" s="2" t="n">
        <v>46148</v>
      </c>
      <c r="B1453" s="3" t="s">
        <v>922</v>
      </c>
      <c r="C1453" s="0" t="n">
        <v>80</v>
      </c>
      <c r="D1453" s="0" t="n">
        <v>0</v>
      </c>
      <c r="E1453" s="0" t="str">
        <f aca="false">INDEX(lot!$B$2:$B$1201,MATCH(B1453,lot!$A$2:$A$1201,0))</f>
        <v>SUP-E</v>
      </c>
      <c r="F1453" s="3" t="n">
        <f aca="false">YEAR(A1453)*100+MONTH(A1453)</f>
        <v>202605</v>
      </c>
    </row>
    <row r="1454" customFormat="false" ht="15" hidden="false" customHeight="false" outlineLevel="0" collapsed="false">
      <c r="A1454" s="2" t="n">
        <v>46148</v>
      </c>
      <c r="B1454" s="3" t="s">
        <v>922</v>
      </c>
      <c r="C1454" s="0" t="n">
        <v>140</v>
      </c>
      <c r="D1454" s="0" t="n">
        <v>0</v>
      </c>
      <c r="E1454" s="0" t="str">
        <f aca="false">INDEX(lot!$B$2:$B$1201,MATCH(B1454,lot!$A$2:$A$1201,0))</f>
        <v>SUP-E</v>
      </c>
      <c r="F1454" s="3" t="n">
        <f aca="false">YEAR(A1454)*100+MONTH(A1454)</f>
        <v>202605</v>
      </c>
    </row>
    <row r="1455" customFormat="false" ht="15" hidden="false" customHeight="false" outlineLevel="0" collapsed="false">
      <c r="A1455" s="2" t="n">
        <v>46148</v>
      </c>
      <c r="B1455" s="3" t="s">
        <v>980</v>
      </c>
      <c r="C1455" s="0" t="n">
        <v>139</v>
      </c>
      <c r="D1455" s="0" t="n">
        <v>0</v>
      </c>
      <c r="E1455" s="0" t="str">
        <f aca="false">INDEX(lot!$B$2:$B$1201,MATCH(B1455,lot!$A$2:$A$1201,0))</f>
        <v>SUP-D</v>
      </c>
      <c r="F1455" s="3" t="n">
        <f aca="false">YEAR(A1455)*100+MONTH(A1455)</f>
        <v>202605</v>
      </c>
    </row>
    <row r="1456" customFormat="false" ht="15" hidden="false" customHeight="false" outlineLevel="0" collapsed="false">
      <c r="A1456" s="2" t="n">
        <v>46148</v>
      </c>
      <c r="B1456" s="3" t="s">
        <v>980</v>
      </c>
      <c r="C1456" s="0" t="n">
        <v>239</v>
      </c>
      <c r="D1456" s="0" t="n">
        <v>3</v>
      </c>
      <c r="E1456" s="0" t="str">
        <f aca="false">INDEX(lot!$B$2:$B$1201,MATCH(B1456,lot!$A$2:$A$1201,0))</f>
        <v>SUP-D</v>
      </c>
      <c r="F1456" s="3" t="n">
        <f aca="false">YEAR(A1456)*100+MONTH(A1456)</f>
        <v>202605</v>
      </c>
    </row>
    <row r="1457" customFormat="false" ht="15" hidden="false" customHeight="false" outlineLevel="0" collapsed="false">
      <c r="A1457" s="2" t="n">
        <v>46148</v>
      </c>
      <c r="B1457" s="3" t="s">
        <v>1099</v>
      </c>
      <c r="C1457" s="0" t="n">
        <v>130</v>
      </c>
      <c r="D1457" s="0" t="n">
        <v>3</v>
      </c>
      <c r="E1457" s="0" t="str">
        <f aca="false">INDEX(lot!$B$2:$B$1201,MATCH(B1457,lot!$A$2:$A$1201,0))</f>
        <v>SUP-C</v>
      </c>
      <c r="F1457" s="3" t="n">
        <f aca="false">YEAR(A1457)*100+MONTH(A1457)</f>
        <v>202605</v>
      </c>
    </row>
    <row r="1458" customFormat="false" ht="15" hidden="false" customHeight="false" outlineLevel="0" collapsed="false">
      <c r="A1458" s="2" t="n">
        <v>46148</v>
      </c>
      <c r="B1458" s="3" t="s">
        <v>1147</v>
      </c>
      <c r="C1458" s="0" t="n">
        <v>213</v>
      </c>
      <c r="D1458" s="0" t="n">
        <v>0</v>
      </c>
      <c r="E1458" s="0" t="str">
        <f aca="false">INDEX(lot!$B$2:$B$1201,MATCH(B1458,lot!$A$2:$A$1201,0))</f>
        <v>SUP-E</v>
      </c>
      <c r="F1458" s="3" t="n">
        <f aca="false">YEAR(A1458)*100+MONTH(A1458)</f>
        <v>202605</v>
      </c>
    </row>
    <row r="1459" customFormat="false" ht="15" hidden="false" customHeight="false" outlineLevel="0" collapsed="false">
      <c r="A1459" s="2" t="n">
        <v>46148</v>
      </c>
      <c r="B1459" s="3" t="s">
        <v>1149</v>
      </c>
      <c r="C1459" s="0" t="n">
        <v>123</v>
      </c>
      <c r="D1459" s="0" t="n">
        <v>9</v>
      </c>
      <c r="E1459" s="0" t="str">
        <f aca="false">INDEX(lot!$B$2:$B$1201,MATCH(B1459,lot!$A$2:$A$1201,0))</f>
        <v>SUP-A</v>
      </c>
      <c r="F1459" s="3" t="n">
        <f aca="false">YEAR(A1459)*100+MONTH(A1459)</f>
        <v>202605</v>
      </c>
    </row>
    <row r="1460" customFormat="false" ht="15" hidden="false" customHeight="false" outlineLevel="0" collapsed="false">
      <c r="A1460" s="2" t="n">
        <v>46148</v>
      </c>
      <c r="B1460" s="3" t="s">
        <v>1149</v>
      </c>
      <c r="C1460" s="0" t="n">
        <v>231</v>
      </c>
      <c r="D1460" s="0" t="n">
        <v>10</v>
      </c>
      <c r="E1460" s="0" t="str">
        <f aca="false">INDEX(lot!$B$2:$B$1201,MATCH(B1460,lot!$A$2:$A$1201,0))</f>
        <v>SUP-A</v>
      </c>
      <c r="F1460" s="3" t="n">
        <f aca="false">YEAR(A1460)*100+MONTH(A1460)</f>
        <v>202605</v>
      </c>
    </row>
    <row r="1461" customFormat="false" ht="15" hidden="false" customHeight="false" outlineLevel="0" collapsed="false">
      <c r="A1461" s="2" t="n">
        <v>46148</v>
      </c>
      <c r="B1461" s="3" t="s">
        <v>1186</v>
      </c>
      <c r="C1461" s="0" t="n">
        <v>182</v>
      </c>
      <c r="D1461" s="0" t="n">
        <v>0</v>
      </c>
      <c r="E1461" s="0" t="str">
        <f aca="false">INDEX(lot!$B$2:$B$1201,MATCH(B1461,lot!$A$2:$A$1201,0))</f>
        <v>SUP-E</v>
      </c>
      <c r="F1461" s="3" t="n">
        <f aca="false">YEAR(A1461)*100+MONTH(A1461)</f>
        <v>202605</v>
      </c>
    </row>
    <row r="1462" customFormat="false" ht="15" hidden="false" customHeight="false" outlineLevel="0" collapsed="false">
      <c r="A1462" s="2" t="n">
        <v>46149</v>
      </c>
      <c r="B1462" s="3" t="s">
        <v>52</v>
      </c>
      <c r="C1462" s="0" t="n">
        <v>227</v>
      </c>
      <c r="D1462" s="0" t="n">
        <v>3</v>
      </c>
      <c r="E1462" s="0" t="str">
        <f aca="false">INDEX(lot!$B$2:$B$1201,MATCH(B1462,lot!$A$2:$A$1201,0))</f>
        <v>SUP-D</v>
      </c>
      <c r="F1462" s="3" t="n">
        <f aca="false">YEAR(A1462)*100+MONTH(A1462)</f>
        <v>202605</v>
      </c>
    </row>
    <row r="1463" customFormat="false" ht="15" hidden="false" customHeight="false" outlineLevel="0" collapsed="false">
      <c r="A1463" s="2" t="n">
        <v>46149</v>
      </c>
      <c r="B1463" s="3" t="s">
        <v>159</v>
      </c>
      <c r="C1463" s="0" t="n">
        <v>168</v>
      </c>
      <c r="D1463" s="0" t="n">
        <v>1</v>
      </c>
      <c r="E1463" s="0" t="str">
        <f aca="false">INDEX(lot!$B$2:$B$1201,MATCH(B1463,lot!$A$2:$A$1201,0))</f>
        <v>SUP-D</v>
      </c>
      <c r="F1463" s="3" t="n">
        <f aca="false">YEAR(A1463)*100+MONTH(A1463)</f>
        <v>202605</v>
      </c>
    </row>
    <row r="1464" customFormat="false" ht="15" hidden="false" customHeight="false" outlineLevel="0" collapsed="false">
      <c r="A1464" s="2" t="n">
        <v>46149</v>
      </c>
      <c r="B1464" s="3" t="s">
        <v>159</v>
      </c>
      <c r="C1464" s="0" t="n">
        <v>199</v>
      </c>
      <c r="D1464" s="0" t="n">
        <v>2</v>
      </c>
      <c r="E1464" s="0" t="str">
        <f aca="false">INDEX(lot!$B$2:$B$1201,MATCH(B1464,lot!$A$2:$A$1201,0))</f>
        <v>SUP-D</v>
      </c>
      <c r="F1464" s="3" t="n">
        <f aca="false">YEAR(A1464)*100+MONTH(A1464)</f>
        <v>202605</v>
      </c>
    </row>
    <row r="1465" customFormat="false" ht="15" hidden="false" customHeight="false" outlineLevel="0" collapsed="false">
      <c r="A1465" s="2" t="n">
        <v>46149</v>
      </c>
      <c r="B1465" s="3" t="s">
        <v>198</v>
      </c>
      <c r="C1465" s="0" t="n">
        <v>230</v>
      </c>
      <c r="D1465" s="0" t="n">
        <v>4</v>
      </c>
      <c r="E1465" s="0" t="str">
        <f aca="false">INDEX(lot!$B$2:$B$1201,MATCH(B1465,lot!$A$2:$A$1201,0))</f>
        <v>SUP-C</v>
      </c>
      <c r="F1465" s="3" t="n">
        <f aca="false">YEAR(A1465)*100+MONTH(A1465)</f>
        <v>202605</v>
      </c>
    </row>
    <row r="1466" customFormat="false" ht="15" hidden="false" customHeight="false" outlineLevel="0" collapsed="false">
      <c r="A1466" s="2" t="n">
        <v>46149</v>
      </c>
      <c r="B1466" s="3" t="s">
        <v>198</v>
      </c>
      <c r="C1466" s="0" t="n">
        <v>134</v>
      </c>
      <c r="D1466" s="0" t="n">
        <v>3</v>
      </c>
      <c r="E1466" s="0" t="str">
        <f aca="false">INDEX(lot!$B$2:$B$1201,MATCH(B1466,lot!$A$2:$A$1201,0))</f>
        <v>SUP-C</v>
      </c>
      <c r="F1466" s="3" t="n">
        <f aca="false">YEAR(A1466)*100+MONTH(A1466)</f>
        <v>202605</v>
      </c>
    </row>
    <row r="1467" customFormat="false" ht="15" hidden="false" customHeight="false" outlineLevel="0" collapsed="false">
      <c r="A1467" s="2" t="n">
        <v>46149</v>
      </c>
      <c r="B1467" s="3" t="s">
        <v>293</v>
      </c>
      <c r="C1467" s="0" t="n">
        <v>172</v>
      </c>
      <c r="D1467" s="0" t="n">
        <v>2</v>
      </c>
      <c r="E1467" s="0" t="str">
        <f aca="false">INDEX(lot!$B$2:$B$1201,MATCH(B1467,lot!$A$2:$A$1201,0))</f>
        <v>SUP-E</v>
      </c>
      <c r="F1467" s="3" t="n">
        <f aca="false">YEAR(A1467)*100+MONTH(A1467)</f>
        <v>202605</v>
      </c>
    </row>
    <row r="1468" customFormat="false" ht="15" hidden="false" customHeight="false" outlineLevel="0" collapsed="false">
      <c r="A1468" s="2" t="n">
        <v>46149</v>
      </c>
      <c r="B1468" s="3" t="s">
        <v>293</v>
      </c>
      <c r="C1468" s="0" t="n">
        <v>211</v>
      </c>
      <c r="D1468" s="0" t="n">
        <v>4</v>
      </c>
      <c r="E1468" s="0" t="str">
        <f aca="false">INDEX(lot!$B$2:$B$1201,MATCH(B1468,lot!$A$2:$A$1201,0))</f>
        <v>SUP-E</v>
      </c>
      <c r="F1468" s="3" t="n">
        <f aca="false">YEAR(A1468)*100+MONTH(A1468)</f>
        <v>202605</v>
      </c>
    </row>
    <row r="1469" customFormat="false" ht="15" hidden="false" customHeight="false" outlineLevel="0" collapsed="false">
      <c r="A1469" s="2" t="n">
        <v>46149</v>
      </c>
      <c r="B1469" s="3" t="s">
        <v>319</v>
      </c>
      <c r="C1469" s="0" t="n">
        <v>155</v>
      </c>
      <c r="D1469" s="0" t="n">
        <v>1</v>
      </c>
      <c r="E1469" s="0" t="str">
        <f aca="false">INDEX(lot!$B$2:$B$1201,MATCH(B1469,lot!$A$2:$A$1201,0))</f>
        <v>SUP-A</v>
      </c>
      <c r="F1469" s="3" t="n">
        <f aca="false">YEAR(A1469)*100+MONTH(A1469)</f>
        <v>202605</v>
      </c>
    </row>
    <row r="1470" customFormat="false" ht="15" hidden="false" customHeight="false" outlineLevel="0" collapsed="false">
      <c r="A1470" s="2" t="n">
        <v>46149</v>
      </c>
      <c r="B1470" s="3" t="s">
        <v>319</v>
      </c>
      <c r="C1470" s="0" t="n">
        <v>222</v>
      </c>
      <c r="D1470" s="0" t="n">
        <v>1</v>
      </c>
      <c r="E1470" s="0" t="str">
        <f aca="false">INDEX(lot!$B$2:$B$1201,MATCH(B1470,lot!$A$2:$A$1201,0))</f>
        <v>SUP-A</v>
      </c>
      <c r="F1470" s="3" t="n">
        <f aca="false">YEAR(A1470)*100+MONTH(A1470)</f>
        <v>202605</v>
      </c>
    </row>
    <row r="1471" customFormat="false" ht="15" hidden="false" customHeight="false" outlineLevel="0" collapsed="false">
      <c r="A1471" s="2" t="n">
        <v>46149</v>
      </c>
      <c r="B1471" s="3" t="s">
        <v>321</v>
      </c>
      <c r="C1471" s="0" t="n">
        <v>142</v>
      </c>
      <c r="D1471" s="0" t="n">
        <v>0</v>
      </c>
      <c r="E1471" s="0" t="str">
        <f aca="false">INDEX(lot!$B$2:$B$1201,MATCH(B1471,lot!$A$2:$A$1201,0))</f>
        <v>SUP-E</v>
      </c>
      <c r="F1471" s="3" t="n">
        <f aca="false">YEAR(A1471)*100+MONTH(A1471)</f>
        <v>202605</v>
      </c>
    </row>
    <row r="1472" customFormat="false" ht="15" hidden="false" customHeight="false" outlineLevel="0" collapsed="false">
      <c r="A1472" s="2" t="n">
        <v>46149</v>
      </c>
      <c r="B1472" s="3" t="s">
        <v>336</v>
      </c>
      <c r="C1472" s="0" t="n">
        <v>242</v>
      </c>
      <c r="D1472" s="0" t="n">
        <v>4</v>
      </c>
      <c r="E1472" s="0" t="str">
        <f aca="false">INDEX(lot!$B$2:$B$1201,MATCH(B1472,lot!$A$2:$A$1201,0))</f>
        <v>SUP-B</v>
      </c>
      <c r="F1472" s="3" t="n">
        <f aca="false">YEAR(A1472)*100+MONTH(A1472)</f>
        <v>202605</v>
      </c>
    </row>
    <row r="1473" customFormat="false" ht="15" hidden="false" customHeight="false" outlineLevel="0" collapsed="false">
      <c r="A1473" s="2" t="n">
        <v>46149</v>
      </c>
      <c r="B1473" s="3" t="s">
        <v>336</v>
      </c>
      <c r="C1473" s="0" t="n">
        <v>118</v>
      </c>
      <c r="D1473" s="0" t="n">
        <v>1</v>
      </c>
      <c r="E1473" s="0" t="str">
        <f aca="false">INDEX(lot!$B$2:$B$1201,MATCH(B1473,lot!$A$2:$A$1201,0))</f>
        <v>SUP-B</v>
      </c>
      <c r="F1473" s="3" t="n">
        <f aca="false">YEAR(A1473)*100+MONTH(A1473)</f>
        <v>202605</v>
      </c>
    </row>
    <row r="1474" customFormat="false" ht="15" hidden="false" customHeight="false" outlineLevel="0" collapsed="false">
      <c r="A1474" s="2" t="n">
        <v>46149</v>
      </c>
      <c r="B1474" s="3" t="s">
        <v>369</v>
      </c>
      <c r="C1474" s="0" t="n">
        <v>115</v>
      </c>
      <c r="D1474" s="0" t="n">
        <v>1</v>
      </c>
      <c r="E1474" s="0" t="str">
        <f aca="false">INDEX(lot!$B$2:$B$1201,MATCH(B1474,lot!$A$2:$A$1201,0))</f>
        <v>SUP-E</v>
      </c>
      <c r="F1474" s="3" t="n">
        <f aca="false">YEAR(A1474)*100+MONTH(A1474)</f>
        <v>202605</v>
      </c>
    </row>
    <row r="1475" customFormat="false" ht="15" hidden="false" customHeight="false" outlineLevel="0" collapsed="false">
      <c r="A1475" s="2" t="n">
        <v>46149</v>
      </c>
      <c r="B1475" s="3" t="s">
        <v>369</v>
      </c>
      <c r="C1475" s="0" t="n">
        <v>104</v>
      </c>
      <c r="D1475" s="0" t="n">
        <v>1</v>
      </c>
      <c r="E1475" s="0" t="str">
        <f aca="false">INDEX(lot!$B$2:$B$1201,MATCH(B1475,lot!$A$2:$A$1201,0))</f>
        <v>SUP-E</v>
      </c>
      <c r="F1475" s="3" t="n">
        <f aca="false">YEAR(A1475)*100+MONTH(A1475)</f>
        <v>202605</v>
      </c>
    </row>
    <row r="1476" customFormat="false" ht="15" hidden="false" customHeight="false" outlineLevel="0" collapsed="false">
      <c r="A1476" s="2" t="n">
        <v>46149</v>
      </c>
      <c r="B1476" s="3" t="s">
        <v>372</v>
      </c>
      <c r="C1476" s="0" t="n">
        <v>191</v>
      </c>
      <c r="D1476" s="0" t="n">
        <v>4</v>
      </c>
      <c r="E1476" s="0" t="str">
        <f aca="false">INDEX(lot!$B$2:$B$1201,MATCH(B1476,lot!$A$2:$A$1201,0))</f>
        <v>SUP-C</v>
      </c>
      <c r="F1476" s="3" t="n">
        <f aca="false">YEAR(A1476)*100+MONTH(A1476)</f>
        <v>202605</v>
      </c>
    </row>
    <row r="1477" customFormat="false" ht="15" hidden="false" customHeight="false" outlineLevel="0" collapsed="false">
      <c r="A1477" s="2" t="n">
        <v>46149</v>
      </c>
      <c r="B1477" s="3" t="s">
        <v>386</v>
      </c>
      <c r="C1477" s="0" t="n">
        <v>246</v>
      </c>
      <c r="D1477" s="0" t="n">
        <v>4</v>
      </c>
      <c r="E1477" s="0" t="str">
        <f aca="false">INDEX(lot!$B$2:$B$1201,MATCH(B1477,lot!$A$2:$A$1201,0))</f>
        <v>SUP-B</v>
      </c>
      <c r="F1477" s="3" t="n">
        <f aca="false">YEAR(A1477)*100+MONTH(A1477)</f>
        <v>202605</v>
      </c>
    </row>
    <row r="1478" customFormat="false" ht="15" hidden="false" customHeight="false" outlineLevel="0" collapsed="false">
      <c r="A1478" s="2" t="n">
        <v>46149</v>
      </c>
      <c r="B1478" s="3" t="s">
        <v>386</v>
      </c>
      <c r="C1478" s="0" t="n">
        <v>109</v>
      </c>
      <c r="D1478" s="0" t="n">
        <v>1</v>
      </c>
      <c r="E1478" s="0" t="str">
        <f aca="false">INDEX(lot!$B$2:$B$1201,MATCH(B1478,lot!$A$2:$A$1201,0))</f>
        <v>SUP-B</v>
      </c>
      <c r="F1478" s="3" t="n">
        <f aca="false">YEAR(A1478)*100+MONTH(A1478)</f>
        <v>202605</v>
      </c>
    </row>
    <row r="1479" customFormat="false" ht="15" hidden="false" customHeight="false" outlineLevel="0" collapsed="false">
      <c r="A1479" s="2" t="n">
        <v>46149</v>
      </c>
      <c r="B1479" s="3" t="s">
        <v>415</v>
      </c>
      <c r="C1479" s="0" t="n">
        <v>110</v>
      </c>
      <c r="D1479" s="0" t="n">
        <v>1</v>
      </c>
      <c r="E1479" s="0" t="str">
        <f aca="false">INDEX(lot!$B$2:$B$1201,MATCH(B1479,lot!$A$2:$A$1201,0))</f>
        <v>SUP-A</v>
      </c>
      <c r="F1479" s="3" t="n">
        <f aca="false">YEAR(A1479)*100+MONTH(A1479)</f>
        <v>202605</v>
      </c>
    </row>
    <row r="1480" customFormat="false" ht="15" hidden="false" customHeight="false" outlineLevel="0" collapsed="false">
      <c r="A1480" s="2" t="n">
        <v>46149</v>
      </c>
      <c r="B1480" s="3" t="s">
        <v>415</v>
      </c>
      <c r="C1480" s="0" t="n">
        <v>157</v>
      </c>
      <c r="D1480" s="0" t="n">
        <v>2</v>
      </c>
      <c r="E1480" s="0" t="str">
        <f aca="false">INDEX(lot!$B$2:$B$1201,MATCH(B1480,lot!$A$2:$A$1201,0))</f>
        <v>SUP-A</v>
      </c>
      <c r="F1480" s="3" t="n">
        <f aca="false">YEAR(A1480)*100+MONTH(A1480)</f>
        <v>202605</v>
      </c>
    </row>
    <row r="1481" customFormat="false" ht="15" hidden="false" customHeight="false" outlineLevel="0" collapsed="false">
      <c r="A1481" s="2" t="n">
        <v>46149</v>
      </c>
      <c r="B1481" s="3" t="s">
        <v>498</v>
      </c>
      <c r="C1481" s="0" t="n">
        <v>239</v>
      </c>
      <c r="D1481" s="0" t="n">
        <v>2</v>
      </c>
      <c r="E1481" s="0" t="str">
        <f aca="false">INDEX(lot!$B$2:$B$1201,MATCH(B1481,lot!$A$2:$A$1201,0))</f>
        <v>SUP-C</v>
      </c>
      <c r="F1481" s="3" t="n">
        <f aca="false">YEAR(A1481)*100+MONTH(A1481)</f>
        <v>202605</v>
      </c>
    </row>
    <row r="1482" customFormat="false" ht="15" hidden="false" customHeight="false" outlineLevel="0" collapsed="false">
      <c r="A1482" s="2" t="n">
        <v>46149</v>
      </c>
      <c r="B1482" s="3" t="s">
        <v>498</v>
      </c>
      <c r="C1482" s="0" t="n">
        <v>81</v>
      </c>
      <c r="D1482" s="0" t="n">
        <v>3</v>
      </c>
      <c r="E1482" s="0" t="str">
        <f aca="false">INDEX(lot!$B$2:$B$1201,MATCH(B1482,lot!$A$2:$A$1201,0))</f>
        <v>SUP-C</v>
      </c>
      <c r="F1482" s="3" t="n">
        <f aca="false">YEAR(A1482)*100+MONTH(A1482)</f>
        <v>202605</v>
      </c>
    </row>
    <row r="1483" customFormat="false" ht="15" hidden="false" customHeight="false" outlineLevel="0" collapsed="false">
      <c r="A1483" s="2" t="n">
        <v>46149</v>
      </c>
      <c r="B1483" s="3" t="s">
        <v>507</v>
      </c>
      <c r="C1483" s="0" t="n">
        <v>168</v>
      </c>
      <c r="D1483" s="0" t="n">
        <v>1</v>
      </c>
      <c r="E1483" s="0" t="str">
        <f aca="false">INDEX(lot!$B$2:$B$1201,MATCH(B1483,lot!$A$2:$A$1201,0))</f>
        <v>SUP-D</v>
      </c>
      <c r="F1483" s="3" t="n">
        <f aca="false">YEAR(A1483)*100+MONTH(A1483)</f>
        <v>202605</v>
      </c>
    </row>
    <row r="1484" customFormat="false" ht="15" hidden="false" customHeight="false" outlineLevel="0" collapsed="false">
      <c r="A1484" s="2" t="n">
        <v>46149</v>
      </c>
      <c r="B1484" s="3" t="s">
        <v>542</v>
      </c>
      <c r="C1484" s="0" t="n">
        <v>81</v>
      </c>
      <c r="D1484" s="0" t="n">
        <v>0</v>
      </c>
      <c r="E1484" s="0" t="str">
        <f aca="false">INDEX(lot!$B$2:$B$1201,MATCH(B1484,lot!$A$2:$A$1201,0))</f>
        <v>SUP-E</v>
      </c>
      <c r="F1484" s="3" t="n">
        <f aca="false">YEAR(A1484)*100+MONTH(A1484)</f>
        <v>202605</v>
      </c>
    </row>
    <row r="1485" customFormat="false" ht="15" hidden="false" customHeight="false" outlineLevel="0" collapsed="false">
      <c r="A1485" s="2" t="n">
        <v>46149</v>
      </c>
      <c r="B1485" s="3" t="s">
        <v>585</v>
      </c>
      <c r="C1485" s="0" t="n">
        <v>201</v>
      </c>
      <c r="D1485" s="0" t="n">
        <v>2</v>
      </c>
      <c r="E1485" s="0" t="str">
        <f aca="false">INDEX(lot!$B$2:$B$1201,MATCH(B1485,lot!$A$2:$A$1201,0))</f>
        <v>SUP-D</v>
      </c>
      <c r="F1485" s="3" t="n">
        <f aca="false">YEAR(A1485)*100+MONTH(A1485)</f>
        <v>202605</v>
      </c>
    </row>
    <row r="1486" customFormat="false" ht="15" hidden="false" customHeight="false" outlineLevel="0" collapsed="false">
      <c r="A1486" s="2" t="n">
        <v>46149</v>
      </c>
      <c r="B1486" s="3" t="s">
        <v>587</v>
      </c>
      <c r="C1486" s="0" t="n">
        <v>165</v>
      </c>
      <c r="D1486" s="0" t="n">
        <v>1</v>
      </c>
      <c r="E1486" s="0" t="str">
        <f aca="false">INDEX(lot!$B$2:$B$1201,MATCH(B1486,lot!$A$2:$A$1201,0))</f>
        <v>SUP-A</v>
      </c>
      <c r="F1486" s="3" t="n">
        <f aca="false">YEAR(A1486)*100+MONTH(A1486)</f>
        <v>202605</v>
      </c>
    </row>
    <row r="1487" customFormat="false" ht="15" hidden="false" customHeight="false" outlineLevel="0" collapsed="false">
      <c r="A1487" s="2" t="n">
        <v>46149</v>
      </c>
      <c r="B1487" s="3" t="s">
        <v>662</v>
      </c>
      <c r="C1487" s="0" t="n">
        <v>204</v>
      </c>
      <c r="D1487" s="0" t="n">
        <v>3</v>
      </c>
      <c r="E1487" s="0" t="str">
        <f aca="false">INDEX(lot!$B$2:$B$1201,MATCH(B1487,lot!$A$2:$A$1201,0))</f>
        <v>SUP-D</v>
      </c>
      <c r="F1487" s="3" t="n">
        <f aca="false">YEAR(A1487)*100+MONTH(A1487)</f>
        <v>202605</v>
      </c>
    </row>
    <row r="1488" customFormat="false" ht="15" hidden="false" customHeight="false" outlineLevel="0" collapsed="false">
      <c r="A1488" s="2" t="n">
        <v>46149</v>
      </c>
      <c r="B1488" s="3" t="s">
        <v>665</v>
      </c>
      <c r="C1488" s="0" t="n">
        <v>156</v>
      </c>
      <c r="D1488" s="0" t="n">
        <v>5</v>
      </c>
      <c r="E1488" s="0" t="str">
        <f aca="false">INDEX(lot!$B$2:$B$1201,MATCH(B1488,lot!$A$2:$A$1201,0))</f>
        <v>SUP-C</v>
      </c>
      <c r="F1488" s="3" t="n">
        <f aca="false">YEAR(A1488)*100+MONTH(A1488)</f>
        <v>202605</v>
      </c>
    </row>
    <row r="1489" customFormat="false" ht="15" hidden="false" customHeight="false" outlineLevel="0" collapsed="false">
      <c r="A1489" s="2" t="n">
        <v>46149</v>
      </c>
      <c r="B1489" s="3" t="s">
        <v>731</v>
      </c>
      <c r="C1489" s="0" t="n">
        <v>69</v>
      </c>
      <c r="D1489" s="0" t="n">
        <v>0</v>
      </c>
      <c r="E1489" s="0" t="str">
        <f aca="false">INDEX(lot!$B$2:$B$1201,MATCH(B1489,lot!$A$2:$A$1201,0))</f>
        <v>SUP-E</v>
      </c>
      <c r="F1489" s="3" t="n">
        <f aca="false">YEAR(A1489)*100+MONTH(A1489)</f>
        <v>202605</v>
      </c>
    </row>
    <row r="1490" customFormat="false" ht="15" hidden="false" customHeight="false" outlineLevel="0" collapsed="false">
      <c r="A1490" s="2" t="n">
        <v>46149</v>
      </c>
      <c r="B1490" s="3" t="s">
        <v>731</v>
      </c>
      <c r="C1490" s="0" t="n">
        <v>160</v>
      </c>
      <c r="D1490" s="0" t="n">
        <v>2</v>
      </c>
      <c r="E1490" s="0" t="str">
        <f aca="false">INDEX(lot!$B$2:$B$1201,MATCH(B1490,lot!$A$2:$A$1201,0))</f>
        <v>SUP-E</v>
      </c>
      <c r="F1490" s="3" t="n">
        <f aca="false">YEAR(A1490)*100+MONTH(A1490)</f>
        <v>202605</v>
      </c>
    </row>
    <row r="1491" customFormat="false" ht="15" hidden="false" customHeight="false" outlineLevel="0" collapsed="false">
      <c r="A1491" s="2" t="n">
        <v>46149</v>
      </c>
      <c r="B1491" s="3" t="s">
        <v>913</v>
      </c>
      <c r="C1491" s="0" t="n">
        <v>230</v>
      </c>
      <c r="D1491" s="0" t="n">
        <v>2</v>
      </c>
      <c r="E1491" s="0" t="str">
        <f aca="false">INDEX(lot!$B$2:$B$1201,MATCH(B1491,lot!$A$2:$A$1201,0))</f>
        <v>SUP-A</v>
      </c>
      <c r="F1491" s="3" t="n">
        <f aca="false">YEAR(A1491)*100+MONTH(A1491)</f>
        <v>202605</v>
      </c>
    </row>
    <row r="1492" customFormat="false" ht="15" hidden="false" customHeight="false" outlineLevel="0" collapsed="false">
      <c r="A1492" s="2" t="n">
        <v>46149</v>
      </c>
      <c r="B1492" s="3" t="s">
        <v>922</v>
      </c>
      <c r="C1492" s="0" t="n">
        <v>167</v>
      </c>
      <c r="D1492" s="0" t="n">
        <v>2</v>
      </c>
      <c r="E1492" s="0" t="str">
        <f aca="false">INDEX(lot!$B$2:$B$1201,MATCH(B1492,lot!$A$2:$A$1201,0))</f>
        <v>SUP-E</v>
      </c>
      <c r="F1492" s="3" t="n">
        <f aca="false">YEAR(A1492)*100+MONTH(A1492)</f>
        <v>202605</v>
      </c>
    </row>
    <row r="1493" customFormat="false" ht="15" hidden="false" customHeight="false" outlineLevel="0" collapsed="false">
      <c r="A1493" s="2" t="n">
        <v>46149</v>
      </c>
      <c r="B1493" s="3" t="s">
        <v>922</v>
      </c>
      <c r="C1493" s="0" t="n">
        <v>70</v>
      </c>
      <c r="D1493" s="0" t="n">
        <v>0</v>
      </c>
      <c r="E1493" s="0" t="str">
        <f aca="false">INDEX(lot!$B$2:$B$1201,MATCH(B1493,lot!$A$2:$A$1201,0))</f>
        <v>SUP-E</v>
      </c>
      <c r="F1493" s="3" t="n">
        <f aca="false">YEAR(A1493)*100+MONTH(A1493)</f>
        <v>202605</v>
      </c>
    </row>
    <row r="1494" customFormat="false" ht="15" hidden="false" customHeight="false" outlineLevel="0" collapsed="false">
      <c r="A1494" s="2" t="n">
        <v>46149</v>
      </c>
      <c r="B1494" s="3" t="s">
        <v>1051</v>
      </c>
      <c r="C1494" s="0" t="n">
        <v>116</v>
      </c>
      <c r="D1494" s="0" t="n">
        <v>1</v>
      </c>
      <c r="E1494" s="0" t="str">
        <f aca="false">INDEX(lot!$B$2:$B$1201,MATCH(B1494,lot!$A$2:$A$1201,0))</f>
        <v>SUP-D</v>
      </c>
      <c r="F1494" s="3" t="n">
        <f aca="false">YEAR(A1494)*100+MONTH(A1494)</f>
        <v>202605</v>
      </c>
    </row>
    <row r="1495" customFormat="false" ht="15" hidden="false" customHeight="false" outlineLevel="0" collapsed="false">
      <c r="A1495" s="2" t="n">
        <v>46149</v>
      </c>
      <c r="B1495" s="3" t="s">
        <v>1099</v>
      </c>
      <c r="C1495" s="0" t="n">
        <v>184</v>
      </c>
      <c r="D1495" s="0" t="n">
        <v>5</v>
      </c>
      <c r="E1495" s="0" t="str">
        <f aca="false">INDEX(lot!$B$2:$B$1201,MATCH(B1495,lot!$A$2:$A$1201,0))</f>
        <v>SUP-C</v>
      </c>
      <c r="F1495" s="3" t="n">
        <f aca="false">YEAR(A1495)*100+MONTH(A1495)</f>
        <v>202605</v>
      </c>
    </row>
    <row r="1496" customFormat="false" ht="15" hidden="false" customHeight="false" outlineLevel="0" collapsed="false">
      <c r="A1496" s="2" t="n">
        <v>46149</v>
      </c>
      <c r="B1496" s="3" t="s">
        <v>1099</v>
      </c>
      <c r="C1496" s="0" t="n">
        <v>146</v>
      </c>
      <c r="D1496" s="0" t="n">
        <v>8</v>
      </c>
      <c r="E1496" s="0" t="str">
        <f aca="false">INDEX(lot!$B$2:$B$1201,MATCH(B1496,lot!$A$2:$A$1201,0))</f>
        <v>SUP-C</v>
      </c>
      <c r="F1496" s="3" t="n">
        <f aca="false">YEAR(A1496)*100+MONTH(A1496)</f>
        <v>202605</v>
      </c>
    </row>
    <row r="1497" customFormat="false" ht="15" hidden="false" customHeight="false" outlineLevel="0" collapsed="false">
      <c r="A1497" s="2" t="n">
        <v>46150</v>
      </c>
      <c r="B1497" s="3" t="s">
        <v>52</v>
      </c>
      <c r="C1497" s="0" t="n">
        <v>174</v>
      </c>
      <c r="D1497" s="0" t="n">
        <v>2</v>
      </c>
      <c r="E1497" s="0" t="str">
        <f aca="false">INDEX(lot!$B$2:$B$1201,MATCH(B1497,lot!$A$2:$A$1201,0))</f>
        <v>SUP-D</v>
      </c>
      <c r="F1497" s="3" t="n">
        <f aca="false">YEAR(A1497)*100+MONTH(A1497)</f>
        <v>202605</v>
      </c>
    </row>
    <row r="1498" customFormat="false" ht="15" hidden="false" customHeight="false" outlineLevel="0" collapsed="false">
      <c r="A1498" s="2" t="n">
        <v>46150</v>
      </c>
      <c r="B1498" s="3" t="s">
        <v>121</v>
      </c>
      <c r="C1498" s="0" t="n">
        <v>187</v>
      </c>
      <c r="D1498" s="0" t="n">
        <v>5</v>
      </c>
      <c r="E1498" s="0" t="str">
        <f aca="false">INDEX(lot!$B$2:$B$1201,MATCH(B1498,lot!$A$2:$A$1201,0))</f>
        <v>SUP-A</v>
      </c>
      <c r="F1498" s="3" t="n">
        <f aca="false">YEAR(A1498)*100+MONTH(A1498)</f>
        <v>202605</v>
      </c>
    </row>
    <row r="1499" customFormat="false" ht="15" hidden="false" customHeight="false" outlineLevel="0" collapsed="false">
      <c r="A1499" s="2" t="n">
        <v>46150</v>
      </c>
      <c r="B1499" s="3" t="s">
        <v>121</v>
      </c>
      <c r="C1499" s="0" t="n">
        <v>109</v>
      </c>
      <c r="D1499" s="0" t="n">
        <v>0</v>
      </c>
      <c r="E1499" s="0" t="str">
        <f aca="false">INDEX(lot!$B$2:$B$1201,MATCH(B1499,lot!$A$2:$A$1201,0))</f>
        <v>SUP-A</v>
      </c>
      <c r="F1499" s="3" t="n">
        <f aca="false">YEAR(A1499)*100+MONTH(A1499)</f>
        <v>202605</v>
      </c>
    </row>
    <row r="1500" customFormat="false" ht="15" hidden="false" customHeight="false" outlineLevel="0" collapsed="false">
      <c r="A1500" s="2" t="n">
        <v>46150</v>
      </c>
      <c r="B1500" s="3" t="s">
        <v>133</v>
      </c>
      <c r="C1500" s="0" t="n">
        <v>211</v>
      </c>
      <c r="D1500" s="0" t="n">
        <v>1</v>
      </c>
      <c r="E1500" s="0" t="str">
        <f aca="false">INDEX(lot!$B$2:$B$1201,MATCH(B1500,lot!$A$2:$A$1201,0))</f>
        <v>SUP-E</v>
      </c>
      <c r="F1500" s="3" t="n">
        <f aca="false">YEAR(A1500)*100+MONTH(A1500)</f>
        <v>202605</v>
      </c>
    </row>
    <row r="1501" customFormat="false" ht="15" hidden="false" customHeight="false" outlineLevel="0" collapsed="false">
      <c r="A1501" s="2" t="n">
        <v>46150</v>
      </c>
      <c r="B1501" s="3" t="s">
        <v>159</v>
      </c>
      <c r="C1501" s="0" t="n">
        <v>63</v>
      </c>
      <c r="D1501" s="0" t="n">
        <v>0</v>
      </c>
      <c r="E1501" s="0" t="str">
        <f aca="false">INDEX(lot!$B$2:$B$1201,MATCH(B1501,lot!$A$2:$A$1201,0))</f>
        <v>SUP-D</v>
      </c>
      <c r="F1501" s="3" t="n">
        <f aca="false">YEAR(A1501)*100+MONTH(A1501)</f>
        <v>202605</v>
      </c>
    </row>
    <row r="1502" customFormat="false" ht="15" hidden="false" customHeight="false" outlineLevel="0" collapsed="false">
      <c r="A1502" s="2" t="n">
        <v>46150</v>
      </c>
      <c r="B1502" s="3" t="s">
        <v>159</v>
      </c>
      <c r="C1502" s="0" t="n">
        <v>201</v>
      </c>
      <c r="D1502" s="0" t="n">
        <v>2</v>
      </c>
      <c r="E1502" s="0" t="str">
        <f aca="false">INDEX(lot!$B$2:$B$1201,MATCH(B1502,lot!$A$2:$A$1201,0))</f>
        <v>SUP-D</v>
      </c>
      <c r="F1502" s="3" t="n">
        <f aca="false">YEAR(A1502)*100+MONTH(A1502)</f>
        <v>202605</v>
      </c>
    </row>
    <row r="1503" customFormat="false" ht="15" hidden="false" customHeight="false" outlineLevel="0" collapsed="false">
      <c r="A1503" s="2" t="n">
        <v>46150</v>
      </c>
      <c r="B1503" s="3" t="s">
        <v>189</v>
      </c>
      <c r="C1503" s="0" t="n">
        <v>89</v>
      </c>
      <c r="D1503" s="0" t="n">
        <v>1</v>
      </c>
      <c r="E1503" s="0" t="str">
        <f aca="false">INDEX(lot!$B$2:$B$1201,MATCH(B1503,lot!$A$2:$A$1201,0))</f>
        <v>SUP-E</v>
      </c>
      <c r="F1503" s="3" t="n">
        <f aca="false">YEAR(A1503)*100+MONTH(A1503)</f>
        <v>202605</v>
      </c>
    </row>
    <row r="1504" customFormat="false" ht="15" hidden="false" customHeight="false" outlineLevel="0" collapsed="false">
      <c r="A1504" s="2" t="n">
        <v>46150</v>
      </c>
      <c r="B1504" s="3" t="s">
        <v>253</v>
      </c>
      <c r="C1504" s="0" t="n">
        <v>187</v>
      </c>
      <c r="D1504" s="0" t="n">
        <v>0</v>
      </c>
      <c r="E1504" s="0" t="str">
        <f aca="false">INDEX(lot!$B$2:$B$1201,MATCH(B1504,lot!$A$2:$A$1201,0))</f>
        <v>SUP-D</v>
      </c>
      <c r="F1504" s="3" t="n">
        <f aca="false">YEAR(A1504)*100+MONTH(A1504)</f>
        <v>202605</v>
      </c>
    </row>
    <row r="1505" customFormat="false" ht="15" hidden="false" customHeight="false" outlineLevel="0" collapsed="false">
      <c r="A1505" s="2" t="n">
        <v>46150</v>
      </c>
      <c r="B1505" s="3" t="s">
        <v>256</v>
      </c>
      <c r="C1505" s="0" t="n">
        <v>226</v>
      </c>
      <c r="D1505" s="0" t="n">
        <v>1</v>
      </c>
      <c r="E1505" s="0" t="str">
        <f aca="false">INDEX(lot!$B$2:$B$1201,MATCH(B1505,lot!$A$2:$A$1201,0))</f>
        <v>SUP-D</v>
      </c>
      <c r="F1505" s="3" t="n">
        <f aca="false">YEAR(A1505)*100+MONTH(A1505)</f>
        <v>202605</v>
      </c>
    </row>
    <row r="1506" customFormat="false" ht="15" hidden="false" customHeight="false" outlineLevel="0" collapsed="false">
      <c r="A1506" s="2" t="n">
        <v>46150</v>
      </c>
      <c r="B1506" s="3" t="s">
        <v>256</v>
      </c>
      <c r="C1506" s="0" t="n">
        <v>83</v>
      </c>
      <c r="D1506" s="0" t="n">
        <v>2</v>
      </c>
      <c r="E1506" s="0" t="str">
        <f aca="false">INDEX(lot!$B$2:$B$1201,MATCH(B1506,lot!$A$2:$A$1201,0))</f>
        <v>SUP-D</v>
      </c>
      <c r="F1506" s="3" t="n">
        <f aca="false">YEAR(A1506)*100+MONTH(A1506)</f>
        <v>202605</v>
      </c>
    </row>
    <row r="1507" customFormat="false" ht="15" hidden="false" customHeight="false" outlineLevel="0" collapsed="false">
      <c r="A1507" s="2" t="n">
        <v>46150</v>
      </c>
      <c r="B1507" s="3" t="s">
        <v>293</v>
      </c>
      <c r="C1507" s="0" t="n">
        <v>81</v>
      </c>
      <c r="D1507" s="0" t="n">
        <v>1</v>
      </c>
      <c r="E1507" s="0" t="str">
        <f aca="false">INDEX(lot!$B$2:$B$1201,MATCH(B1507,lot!$A$2:$A$1201,0))</f>
        <v>SUP-E</v>
      </c>
      <c r="F1507" s="3" t="n">
        <f aca="false">YEAR(A1507)*100+MONTH(A1507)</f>
        <v>202605</v>
      </c>
    </row>
    <row r="1508" customFormat="false" ht="15" hidden="false" customHeight="false" outlineLevel="0" collapsed="false">
      <c r="A1508" s="2" t="n">
        <v>46150</v>
      </c>
      <c r="B1508" s="3" t="s">
        <v>293</v>
      </c>
      <c r="C1508" s="0" t="n">
        <v>184</v>
      </c>
      <c r="D1508" s="0" t="n">
        <v>1</v>
      </c>
      <c r="E1508" s="0" t="str">
        <f aca="false">INDEX(lot!$B$2:$B$1201,MATCH(B1508,lot!$A$2:$A$1201,0))</f>
        <v>SUP-E</v>
      </c>
      <c r="F1508" s="3" t="n">
        <f aca="false">YEAR(A1508)*100+MONTH(A1508)</f>
        <v>202605</v>
      </c>
    </row>
    <row r="1509" customFormat="false" ht="15" hidden="false" customHeight="false" outlineLevel="0" collapsed="false">
      <c r="A1509" s="2" t="n">
        <v>46150</v>
      </c>
      <c r="B1509" s="3" t="s">
        <v>321</v>
      </c>
      <c r="C1509" s="0" t="n">
        <v>78</v>
      </c>
      <c r="D1509" s="0" t="n">
        <v>1</v>
      </c>
      <c r="E1509" s="0" t="str">
        <f aca="false">INDEX(lot!$B$2:$B$1201,MATCH(B1509,lot!$A$2:$A$1201,0))</f>
        <v>SUP-E</v>
      </c>
      <c r="F1509" s="3" t="n">
        <f aca="false">YEAR(A1509)*100+MONTH(A1509)</f>
        <v>202605</v>
      </c>
    </row>
    <row r="1510" customFormat="false" ht="15" hidden="false" customHeight="false" outlineLevel="0" collapsed="false">
      <c r="A1510" s="2" t="n">
        <v>46150</v>
      </c>
      <c r="B1510" s="3" t="s">
        <v>321</v>
      </c>
      <c r="C1510" s="0" t="n">
        <v>249</v>
      </c>
      <c r="D1510" s="0" t="n">
        <v>3</v>
      </c>
      <c r="E1510" s="0" t="str">
        <f aca="false">INDEX(lot!$B$2:$B$1201,MATCH(B1510,lot!$A$2:$A$1201,0))</f>
        <v>SUP-E</v>
      </c>
      <c r="F1510" s="3" t="n">
        <f aca="false">YEAR(A1510)*100+MONTH(A1510)</f>
        <v>202605</v>
      </c>
    </row>
    <row r="1511" customFormat="false" ht="15" hidden="false" customHeight="false" outlineLevel="0" collapsed="false">
      <c r="A1511" s="2" t="n">
        <v>46150</v>
      </c>
      <c r="B1511" s="3" t="s">
        <v>325</v>
      </c>
      <c r="C1511" s="0" t="n">
        <v>83</v>
      </c>
      <c r="D1511" s="0" t="n">
        <v>6</v>
      </c>
      <c r="E1511" s="0" t="str">
        <f aca="false">INDEX(lot!$B$2:$B$1201,MATCH(B1511,lot!$A$2:$A$1201,0))</f>
        <v>SUP-E</v>
      </c>
      <c r="F1511" s="3" t="n">
        <f aca="false">YEAR(A1511)*100+MONTH(A1511)</f>
        <v>202605</v>
      </c>
    </row>
    <row r="1512" customFormat="false" ht="15" hidden="false" customHeight="false" outlineLevel="0" collapsed="false">
      <c r="A1512" s="2" t="n">
        <v>46150</v>
      </c>
      <c r="B1512" s="3" t="s">
        <v>369</v>
      </c>
      <c r="C1512" s="0" t="n">
        <v>75</v>
      </c>
      <c r="D1512" s="0" t="n">
        <v>2</v>
      </c>
      <c r="E1512" s="0" t="str">
        <f aca="false">INDEX(lot!$B$2:$B$1201,MATCH(B1512,lot!$A$2:$A$1201,0))</f>
        <v>SUP-E</v>
      </c>
      <c r="F1512" s="3" t="n">
        <f aca="false">YEAR(A1512)*100+MONTH(A1512)</f>
        <v>202605</v>
      </c>
    </row>
    <row r="1513" customFormat="false" ht="15" hidden="false" customHeight="false" outlineLevel="0" collapsed="false">
      <c r="A1513" s="2" t="n">
        <v>46150</v>
      </c>
      <c r="B1513" s="3" t="s">
        <v>369</v>
      </c>
      <c r="C1513" s="0" t="n">
        <v>146</v>
      </c>
      <c r="D1513" s="0" t="n">
        <v>1</v>
      </c>
      <c r="E1513" s="0" t="str">
        <f aca="false">INDEX(lot!$B$2:$B$1201,MATCH(B1513,lot!$A$2:$A$1201,0))</f>
        <v>SUP-E</v>
      </c>
      <c r="F1513" s="3" t="n">
        <f aca="false">YEAR(A1513)*100+MONTH(A1513)</f>
        <v>202605</v>
      </c>
    </row>
    <row r="1514" customFormat="false" ht="15" hidden="false" customHeight="false" outlineLevel="0" collapsed="false">
      <c r="A1514" s="2" t="n">
        <v>46150</v>
      </c>
      <c r="B1514" s="3" t="s">
        <v>585</v>
      </c>
      <c r="C1514" s="0" t="n">
        <v>247</v>
      </c>
      <c r="D1514" s="0" t="n">
        <v>2</v>
      </c>
      <c r="E1514" s="0" t="str">
        <f aca="false">INDEX(lot!$B$2:$B$1201,MATCH(B1514,lot!$A$2:$A$1201,0))</f>
        <v>SUP-D</v>
      </c>
      <c r="F1514" s="3" t="n">
        <f aca="false">YEAR(A1514)*100+MONTH(A1514)</f>
        <v>202605</v>
      </c>
    </row>
    <row r="1515" customFormat="false" ht="15" hidden="false" customHeight="false" outlineLevel="0" collapsed="false">
      <c r="A1515" s="2" t="n">
        <v>46150</v>
      </c>
      <c r="B1515" s="3" t="s">
        <v>609</v>
      </c>
      <c r="C1515" s="0" t="n">
        <v>123</v>
      </c>
      <c r="D1515" s="0" t="n">
        <v>0</v>
      </c>
      <c r="E1515" s="0" t="str">
        <f aca="false">INDEX(lot!$B$2:$B$1201,MATCH(B1515,lot!$A$2:$A$1201,0))</f>
        <v>SUP-D</v>
      </c>
      <c r="F1515" s="3" t="n">
        <f aca="false">YEAR(A1515)*100+MONTH(A1515)</f>
        <v>202605</v>
      </c>
    </row>
    <row r="1516" customFormat="false" ht="15" hidden="false" customHeight="false" outlineLevel="0" collapsed="false">
      <c r="A1516" s="2" t="n">
        <v>46150</v>
      </c>
      <c r="B1516" s="3" t="s">
        <v>609</v>
      </c>
      <c r="C1516" s="0" t="n">
        <v>229</v>
      </c>
      <c r="D1516" s="0" t="n">
        <v>2</v>
      </c>
      <c r="E1516" s="0" t="str">
        <f aca="false">INDEX(lot!$B$2:$B$1201,MATCH(B1516,lot!$A$2:$A$1201,0))</f>
        <v>SUP-D</v>
      </c>
      <c r="F1516" s="3" t="n">
        <f aca="false">YEAR(A1516)*100+MONTH(A1516)</f>
        <v>202605</v>
      </c>
    </row>
    <row r="1517" customFormat="false" ht="15" hidden="false" customHeight="false" outlineLevel="0" collapsed="false">
      <c r="A1517" s="2" t="n">
        <v>46150</v>
      </c>
      <c r="B1517" s="3" t="s">
        <v>662</v>
      </c>
      <c r="C1517" s="0" t="n">
        <v>187</v>
      </c>
      <c r="D1517" s="0" t="n">
        <v>3</v>
      </c>
      <c r="E1517" s="0" t="str">
        <f aca="false">INDEX(lot!$B$2:$B$1201,MATCH(B1517,lot!$A$2:$A$1201,0))</f>
        <v>SUP-D</v>
      </c>
      <c r="F1517" s="3" t="n">
        <f aca="false">YEAR(A1517)*100+MONTH(A1517)</f>
        <v>202605</v>
      </c>
    </row>
    <row r="1518" customFormat="false" ht="15" hidden="false" customHeight="false" outlineLevel="0" collapsed="false">
      <c r="A1518" s="2" t="n">
        <v>46150</v>
      </c>
      <c r="B1518" s="3" t="s">
        <v>662</v>
      </c>
      <c r="C1518" s="0" t="n">
        <v>130</v>
      </c>
      <c r="D1518" s="0" t="n">
        <v>1</v>
      </c>
      <c r="E1518" s="0" t="str">
        <f aca="false">INDEX(lot!$B$2:$B$1201,MATCH(B1518,lot!$A$2:$A$1201,0))</f>
        <v>SUP-D</v>
      </c>
      <c r="F1518" s="3" t="n">
        <f aca="false">YEAR(A1518)*100+MONTH(A1518)</f>
        <v>202605</v>
      </c>
    </row>
    <row r="1519" customFormat="false" ht="15" hidden="false" customHeight="false" outlineLevel="0" collapsed="false">
      <c r="A1519" s="2" t="n">
        <v>46150</v>
      </c>
      <c r="B1519" s="3" t="s">
        <v>665</v>
      </c>
      <c r="C1519" s="0" t="n">
        <v>111</v>
      </c>
      <c r="D1519" s="0" t="n">
        <v>5</v>
      </c>
      <c r="E1519" s="0" t="str">
        <f aca="false">INDEX(lot!$B$2:$B$1201,MATCH(B1519,lot!$A$2:$A$1201,0))</f>
        <v>SUP-C</v>
      </c>
      <c r="F1519" s="3" t="n">
        <f aca="false">YEAR(A1519)*100+MONTH(A1519)</f>
        <v>202605</v>
      </c>
    </row>
    <row r="1520" customFormat="false" ht="15" hidden="false" customHeight="false" outlineLevel="0" collapsed="false">
      <c r="A1520" s="2" t="n">
        <v>46150</v>
      </c>
      <c r="B1520" s="3" t="s">
        <v>731</v>
      </c>
      <c r="C1520" s="0" t="n">
        <v>235</v>
      </c>
      <c r="D1520" s="0" t="n">
        <v>1</v>
      </c>
      <c r="E1520" s="0" t="str">
        <f aca="false">INDEX(lot!$B$2:$B$1201,MATCH(B1520,lot!$A$2:$A$1201,0))</f>
        <v>SUP-E</v>
      </c>
      <c r="F1520" s="3" t="n">
        <f aca="false">YEAR(A1520)*100+MONTH(A1520)</f>
        <v>202605</v>
      </c>
    </row>
    <row r="1521" customFormat="false" ht="15" hidden="false" customHeight="false" outlineLevel="0" collapsed="false">
      <c r="A1521" s="2" t="n">
        <v>46150</v>
      </c>
      <c r="B1521" s="3" t="s">
        <v>731</v>
      </c>
      <c r="C1521" s="0" t="n">
        <v>156</v>
      </c>
      <c r="D1521" s="0" t="n">
        <v>2</v>
      </c>
      <c r="E1521" s="0" t="str">
        <f aca="false">INDEX(lot!$B$2:$B$1201,MATCH(B1521,lot!$A$2:$A$1201,0))</f>
        <v>SUP-E</v>
      </c>
      <c r="F1521" s="3" t="n">
        <f aca="false">YEAR(A1521)*100+MONTH(A1521)</f>
        <v>202605</v>
      </c>
    </row>
    <row r="1522" customFormat="false" ht="15" hidden="false" customHeight="false" outlineLevel="0" collapsed="false">
      <c r="A1522" s="2" t="n">
        <v>46150</v>
      </c>
      <c r="B1522" s="3" t="s">
        <v>883</v>
      </c>
      <c r="C1522" s="0" t="n">
        <v>248</v>
      </c>
      <c r="D1522" s="0" t="n">
        <v>6</v>
      </c>
      <c r="E1522" s="0" t="str">
        <f aca="false">INDEX(lot!$B$2:$B$1201,MATCH(B1522,lot!$A$2:$A$1201,0))</f>
        <v>SUP-D</v>
      </c>
      <c r="F1522" s="3" t="n">
        <f aca="false">YEAR(A1522)*100+MONTH(A1522)</f>
        <v>202605</v>
      </c>
    </row>
    <row r="1523" customFormat="false" ht="15" hidden="false" customHeight="false" outlineLevel="0" collapsed="false">
      <c r="A1523" s="2" t="n">
        <v>46150</v>
      </c>
      <c r="B1523" s="3" t="s">
        <v>1006</v>
      </c>
      <c r="C1523" s="0" t="n">
        <v>244</v>
      </c>
      <c r="D1523" s="0" t="n">
        <v>1</v>
      </c>
      <c r="E1523" s="0" t="str">
        <f aca="false">INDEX(lot!$B$2:$B$1201,MATCH(B1523,lot!$A$2:$A$1201,0))</f>
        <v>SUP-E</v>
      </c>
      <c r="F1523" s="3" t="n">
        <f aca="false">YEAR(A1523)*100+MONTH(A1523)</f>
        <v>202605</v>
      </c>
    </row>
    <row r="1524" customFormat="false" ht="15" hidden="false" customHeight="false" outlineLevel="0" collapsed="false">
      <c r="A1524" s="2" t="n">
        <v>46150</v>
      </c>
      <c r="B1524" s="3" t="s">
        <v>1006</v>
      </c>
      <c r="C1524" s="0" t="n">
        <v>144</v>
      </c>
      <c r="D1524" s="0" t="n">
        <v>2</v>
      </c>
      <c r="E1524" s="0" t="str">
        <f aca="false">INDEX(lot!$B$2:$B$1201,MATCH(B1524,lot!$A$2:$A$1201,0))</f>
        <v>SUP-E</v>
      </c>
      <c r="F1524" s="3" t="n">
        <f aca="false">YEAR(A1524)*100+MONTH(A1524)</f>
        <v>202605</v>
      </c>
    </row>
    <row r="1525" customFormat="false" ht="15" hidden="false" customHeight="false" outlineLevel="0" collapsed="false">
      <c r="A1525" s="2" t="n">
        <v>46150</v>
      </c>
      <c r="B1525" s="3" t="s">
        <v>1016</v>
      </c>
      <c r="C1525" s="0" t="n">
        <v>94</v>
      </c>
      <c r="D1525" s="0" t="n">
        <v>1</v>
      </c>
      <c r="E1525" s="0" t="str">
        <f aca="false">INDEX(lot!$B$2:$B$1201,MATCH(B1525,lot!$A$2:$A$1201,0))</f>
        <v>SUP-E</v>
      </c>
      <c r="F1525" s="3" t="n">
        <f aca="false">YEAR(A1525)*100+MONTH(A1525)</f>
        <v>202605</v>
      </c>
    </row>
    <row r="1526" customFormat="false" ht="15" hidden="false" customHeight="false" outlineLevel="0" collapsed="false">
      <c r="A1526" s="2" t="n">
        <v>46150</v>
      </c>
      <c r="B1526" s="3" t="s">
        <v>1016</v>
      </c>
      <c r="C1526" s="0" t="n">
        <v>116</v>
      </c>
      <c r="D1526" s="0" t="n">
        <v>1</v>
      </c>
      <c r="E1526" s="0" t="str">
        <f aca="false">INDEX(lot!$B$2:$B$1201,MATCH(B1526,lot!$A$2:$A$1201,0))</f>
        <v>SUP-E</v>
      </c>
      <c r="F1526" s="3" t="n">
        <f aca="false">YEAR(A1526)*100+MONTH(A1526)</f>
        <v>202605</v>
      </c>
    </row>
    <row r="1527" customFormat="false" ht="15" hidden="false" customHeight="false" outlineLevel="0" collapsed="false">
      <c r="A1527" s="2" t="n">
        <v>46150</v>
      </c>
      <c r="B1527" s="3" t="s">
        <v>1174</v>
      </c>
      <c r="C1527" s="0" t="n">
        <v>102</v>
      </c>
      <c r="D1527" s="0" t="n">
        <v>2</v>
      </c>
      <c r="E1527" s="0" t="str">
        <f aca="false">INDEX(lot!$B$2:$B$1201,MATCH(B1527,lot!$A$2:$A$1201,0))</f>
        <v>SUP-D</v>
      </c>
      <c r="F1527" s="3" t="n">
        <f aca="false">YEAR(A1527)*100+MONTH(A1527)</f>
        <v>202605</v>
      </c>
    </row>
    <row r="1528" customFormat="false" ht="15" hidden="false" customHeight="false" outlineLevel="0" collapsed="false">
      <c r="A1528" s="2" t="n">
        <v>46150</v>
      </c>
      <c r="B1528" s="3" t="s">
        <v>1174</v>
      </c>
      <c r="C1528" s="0" t="n">
        <v>197</v>
      </c>
      <c r="D1528" s="0" t="n">
        <v>3</v>
      </c>
      <c r="E1528" s="0" t="str">
        <f aca="false">INDEX(lot!$B$2:$B$1201,MATCH(B1528,lot!$A$2:$A$1201,0))</f>
        <v>SUP-D</v>
      </c>
      <c r="F1528" s="3" t="n">
        <f aca="false">YEAR(A1528)*100+MONTH(A1528)</f>
        <v>202605</v>
      </c>
    </row>
    <row r="1529" customFormat="false" ht="15" hidden="false" customHeight="false" outlineLevel="0" collapsed="false">
      <c r="A1529" s="2" t="n">
        <v>46150</v>
      </c>
      <c r="B1529" s="3" t="s">
        <v>1178</v>
      </c>
      <c r="C1529" s="0" t="n">
        <v>153</v>
      </c>
      <c r="D1529" s="0" t="n">
        <v>1</v>
      </c>
      <c r="E1529" s="0" t="str">
        <f aca="false">INDEX(lot!$B$2:$B$1201,MATCH(B1529,lot!$A$2:$A$1201,0))</f>
        <v>SUP-D</v>
      </c>
      <c r="F1529" s="3" t="n">
        <f aca="false">YEAR(A1529)*100+MONTH(A1529)</f>
        <v>202605</v>
      </c>
    </row>
    <row r="1530" customFormat="false" ht="15" hidden="false" customHeight="false" outlineLevel="0" collapsed="false">
      <c r="A1530" s="2" t="n">
        <v>46150</v>
      </c>
      <c r="B1530" s="3" t="s">
        <v>1178</v>
      </c>
      <c r="C1530" s="0" t="n">
        <v>94</v>
      </c>
      <c r="D1530" s="0" t="n">
        <v>0</v>
      </c>
      <c r="E1530" s="0" t="str">
        <f aca="false">INDEX(lot!$B$2:$B$1201,MATCH(B1530,lot!$A$2:$A$1201,0))</f>
        <v>SUP-D</v>
      </c>
      <c r="F1530" s="3" t="n">
        <f aca="false">YEAR(A1530)*100+MONTH(A1530)</f>
        <v>202605</v>
      </c>
    </row>
    <row r="1531" customFormat="false" ht="15" hidden="false" customHeight="false" outlineLevel="0" collapsed="false">
      <c r="A1531" s="2" t="n">
        <v>46153</v>
      </c>
      <c r="B1531" s="3" t="s">
        <v>18</v>
      </c>
      <c r="C1531" s="0" t="n">
        <v>181</v>
      </c>
      <c r="D1531" s="0" t="n">
        <v>1</v>
      </c>
      <c r="E1531" s="0" t="str">
        <f aca="false">INDEX(lot!$B$2:$B$1201,MATCH(B1531,lot!$A$2:$A$1201,0))</f>
        <v>SUP-D</v>
      </c>
      <c r="F1531" s="3" t="n">
        <f aca="false">YEAR(A1531)*100+MONTH(A1531)</f>
        <v>202605</v>
      </c>
    </row>
    <row r="1532" customFormat="false" ht="15" hidden="false" customHeight="false" outlineLevel="0" collapsed="false">
      <c r="A1532" s="2" t="n">
        <v>46153</v>
      </c>
      <c r="B1532" s="3" t="s">
        <v>18</v>
      </c>
      <c r="C1532" s="0" t="n">
        <v>189</v>
      </c>
      <c r="D1532" s="0" t="n">
        <v>1</v>
      </c>
      <c r="E1532" s="0" t="str">
        <f aca="false">INDEX(lot!$B$2:$B$1201,MATCH(B1532,lot!$A$2:$A$1201,0))</f>
        <v>SUP-D</v>
      </c>
      <c r="F1532" s="3" t="n">
        <f aca="false">YEAR(A1532)*100+MONTH(A1532)</f>
        <v>202605</v>
      </c>
    </row>
    <row r="1533" customFormat="false" ht="15" hidden="false" customHeight="false" outlineLevel="0" collapsed="false">
      <c r="A1533" s="2" t="n">
        <v>46153</v>
      </c>
      <c r="B1533" s="3" t="s">
        <v>121</v>
      </c>
      <c r="C1533" s="0" t="n">
        <v>170</v>
      </c>
      <c r="D1533" s="0" t="n">
        <v>0</v>
      </c>
      <c r="E1533" s="0" t="str">
        <f aca="false">INDEX(lot!$B$2:$B$1201,MATCH(B1533,lot!$A$2:$A$1201,0))</f>
        <v>SUP-A</v>
      </c>
      <c r="F1533" s="3" t="n">
        <f aca="false">YEAR(A1533)*100+MONTH(A1533)</f>
        <v>202605</v>
      </c>
    </row>
    <row r="1534" customFormat="false" ht="15" hidden="false" customHeight="false" outlineLevel="0" collapsed="false">
      <c r="A1534" s="2" t="n">
        <v>46153</v>
      </c>
      <c r="B1534" s="3" t="s">
        <v>121</v>
      </c>
      <c r="C1534" s="0" t="n">
        <v>103</v>
      </c>
      <c r="D1534" s="0" t="n">
        <v>1</v>
      </c>
      <c r="E1534" s="0" t="str">
        <f aca="false">INDEX(lot!$B$2:$B$1201,MATCH(B1534,lot!$A$2:$A$1201,0))</f>
        <v>SUP-A</v>
      </c>
      <c r="F1534" s="3" t="n">
        <f aca="false">YEAR(A1534)*100+MONTH(A1534)</f>
        <v>202605</v>
      </c>
    </row>
    <row r="1535" customFormat="false" ht="15" hidden="false" customHeight="false" outlineLevel="0" collapsed="false">
      <c r="A1535" s="2" t="n">
        <v>46153</v>
      </c>
      <c r="B1535" s="3" t="s">
        <v>172</v>
      </c>
      <c r="C1535" s="0" t="n">
        <v>108</v>
      </c>
      <c r="D1535" s="0" t="n">
        <v>21</v>
      </c>
      <c r="E1535" s="0" t="str">
        <f aca="false">INDEX(lot!$B$2:$B$1201,MATCH(B1535,lot!$A$2:$A$1201,0))</f>
        <v>SUP-C</v>
      </c>
      <c r="F1535" s="3" t="n">
        <f aca="false">YEAR(A1535)*100+MONTH(A1535)</f>
        <v>202605</v>
      </c>
    </row>
    <row r="1536" customFormat="false" ht="15" hidden="false" customHeight="false" outlineLevel="0" collapsed="false">
      <c r="A1536" s="2" t="n">
        <v>46153</v>
      </c>
      <c r="B1536" s="3" t="s">
        <v>189</v>
      </c>
      <c r="C1536" s="0" t="n">
        <v>249</v>
      </c>
      <c r="D1536" s="0" t="n">
        <v>1</v>
      </c>
      <c r="E1536" s="0" t="str">
        <f aca="false">INDEX(lot!$B$2:$B$1201,MATCH(B1536,lot!$A$2:$A$1201,0))</f>
        <v>SUP-E</v>
      </c>
      <c r="F1536" s="3" t="n">
        <f aca="false">YEAR(A1536)*100+MONTH(A1536)</f>
        <v>202605</v>
      </c>
    </row>
    <row r="1537" customFormat="false" ht="15" hidden="false" customHeight="false" outlineLevel="0" collapsed="false">
      <c r="A1537" s="2" t="n">
        <v>46153</v>
      </c>
      <c r="B1537" s="3" t="s">
        <v>215</v>
      </c>
      <c r="C1537" s="0" t="n">
        <v>166</v>
      </c>
      <c r="D1537" s="0" t="n">
        <v>3</v>
      </c>
      <c r="E1537" s="0" t="str">
        <f aca="false">INDEX(lot!$B$2:$B$1201,MATCH(B1537,lot!$A$2:$A$1201,0))</f>
        <v>SUP-C</v>
      </c>
      <c r="F1537" s="3" t="n">
        <f aca="false">YEAR(A1537)*100+MONTH(A1537)</f>
        <v>202605</v>
      </c>
    </row>
    <row r="1538" customFormat="false" ht="15" hidden="false" customHeight="false" outlineLevel="0" collapsed="false">
      <c r="A1538" s="2" t="n">
        <v>46153</v>
      </c>
      <c r="B1538" s="3" t="s">
        <v>234</v>
      </c>
      <c r="C1538" s="0" t="n">
        <v>198</v>
      </c>
      <c r="D1538" s="0" t="n">
        <v>3</v>
      </c>
      <c r="E1538" s="0" t="str">
        <f aca="false">INDEX(lot!$B$2:$B$1201,MATCH(B1538,lot!$A$2:$A$1201,0))</f>
        <v>SUP-D</v>
      </c>
      <c r="F1538" s="3" t="n">
        <f aca="false">YEAR(A1538)*100+MONTH(A1538)</f>
        <v>202605</v>
      </c>
    </row>
    <row r="1539" customFormat="false" ht="15" hidden="false" customHeight="false" outlineLevel="0" collapsed="false">
      <c r="A1539" s="2" t="n">
        <v>46153</v>
      </c>
      <c r="B1539" s="3" t="s">
        <v>253</v>
      </c>
      <c r="C1539" s="0" t="n">
        <v>145</v>
      </c>
      <c r="D1539" s="0" t="n">
        <v>0</v>
      </c>
      <c r="E1539" s="0" t="str">
        <f aca="false">INDEX(lot!$B$2:$B$1201,MATCH(B1539,lot!$A$2:$A$1201,0))</f>
        <v>SUP-D</v>
      </c>
      <c r="F1539" s="3" t="n">
        <f aca="false">YEAR(A1539)*100+MONTH(A1539)</f>
        <v>202605</v>
      </c>
    </row>
    <row r="1540" customFormat="false" ht="15" hidden="false" customHeight="false" outlineLevel="0" collapsed="false">
      <c r="A1540" s="2" t="n">
        <v>46153</v>
      </c>
      <c r="B1540" s="3" t="s">
        <v>253</v>
      </c>
      <c r="C1540" s="0" t="n">
        <v>208</v>
      </c>
      <c r="D1540" s="0" t="n">
        <v>3</v>
      </c>
      <c r="E1540" s="0" t="str">
        <f aca="false">INDEX(lot!$B$2:$B$1201,MATCH(B1540,lot!$A$2:$A$1201,0))</f>
        <v>SUP-D</v>
      </c>
      <c r="F1540" s="3" t="n">
        <f aca="false">YEAR(A1540)*100+MONTH(A1540)</f>
        <v>202605</v>
      </c>
    </row>
    <row r="1541" customFormat="false" ht="15" hidden="false" customHeight="false" outlineLevel="0" collapsed="false">
      <c r="A1541" s="2" t="n">
        <v>46153</v>
      </c>
      <c r="B1541" s="3" t="s">
        <v>299</v>
      </c>
      <c r="C1541" s="0" t="n">
        <v>214</v>
      </c>
      <c r="D1541" s="0" t="n">
        <v>2</v>
      </c>
      <c r="E1541" s="0" t="str">
        <f aca="false">INDEX(lot!$B$2:$B$1201,MATCH(B1541,lot!$A$2:$A$1201,0))</f>
        <v>SUP-E</v>
      </c>
      <c r="F1541" s="3" t="n">
        <f aca="false">YEAR(A1541)*100+MONTH(A1541)</f>
        <v>202605</v>
      </c>
    </row>
    <row r="1542" customFormat="false" ht="15" hidden="false" customHeight="false" outlineLevel="0" collapsed="false">
      <c r="A1542" s="2" t="n">
        <v>46153</v>
      </c>
      <c r="B1542" s="3" t="s">
        <v>325</v>
      </c>
      <c r="C1542" s="0" t="n">
        <v>244</v>
      </c>
      <c r="D1542" s="0" t="n">
        <v>6</v>
      </c>
      <c r="E1542" s="0" t="str">
        <f aca="false">INDEX(lot!$B$2:$B$1201,MATCH(B1542,lot!$A$2:$A$1201,0))</f>
        <v>SUP-E</v>
      </c>
      <c r="F1542" s="3" t="n">
        <f aca="false">YEAR(A1542)*100+MONTH(A1542)</f>
        <v>202605</v>
      </c>
    </row>
    <row r="1543" customFormat="false" ht="15" hidden="false" customHeight="false" outlineLevel="0" collapsed="false">
      <c r="A1543" s="2" t="n">
        <v>46153</v>
      </c>
      <c r="B1543" s="3" t="s">
        <v>325</v>
      </c>
      <c r="C1543" s="0" t="n">
        <v>234</v>
      </c>
      <c r="D1543" s="0" t="n">
        <v>8</v>
      </c>
      <c r="E1543" s="0" t="str">
        <f aca="false">INDEX(lot!$B$2:$B$1201,MATCH(B1543,lot!$A$2:$A$1201,0))</f>
        <v>SUP-E</v>
      </c>
      <c r="F1543" s="3" t="n">
        <f aca="false">YEAR(A1543)*100+MONTH(A1543)</f>
        <v>202605</v>
      </c>
    </row>
    <row r="1544" customFormat="false" ht="15" hidden="false" customHeight="false" outlineLevel="0" collapsed="false">
      <c r="A1544" s="2" t="n">
        <v>46153</v>
      </c>
      <c r="B1544" s="3" t="s">
        <v>362</v>
      </c>
      <c r="C1544" s="0" t="n">
        <v>121</v>
      </c>
      <c r="D1544" s="0" t="n">
        <v>2</v>
      </c>
      <c r="E1544" s="0" t="str">
        <f aca="false">INDEX(lot!$B$2:$B$1201,MATCH(B1544,lot!$A$2:$A$1201,0))</f>
        <v>SUP-E</v>
      </c>
      <c r="F1544" s="3" t="n">
        <f aca="false">YEAR(A1544)*100+MONTH(A1544)</f>
        <v>202605</v>
      </c>
    </row>
    <row r="1545" customFormat="false" ht="15" hidden="false" customHeight="false" outlineLevel="0" collapsed="false">
      <c r="A1545" s="2" t="n">
        <v>46153</v>
      </c>
      <c r="B1545" s="3" t="s">
        <v>362</v>
      </c>
      <c r="C1545" s="0" t="n">
        <v>139</v>
      </c>
      <c r="D1545" s="0" t="n">
        <v>3</v>
      </c>
      <c r="E1545" s="0" t="str">
        <f aca="false">INDEX(lot!$B$2:$B$1201,MATCH(B1545,lot!$A$2:$A$1201,0))</f>
        <v>SUP-E</v>
      </c>
      <c r="F1545" s="3" t="n">
        <f aca="false">YEAR(A1545)*100+MONTH(A1545)</f>
        <v>202605</v>
      </c>
    </row>
    <row r="1546" customFormat="false" ht="15" hidden="false" customHeight="false" outlineLevel="0" collapsed="false">
      <c r="A1546" s="2" t="n">
        <v>46153</v>
      </c>
      <c r="B1546" s="3" t="s">
        <v>369</v>
      </c>
      <c r="C1546" s="0" t="n">
        <v>142</v>
      </c>
      <c r="D1546" s="0" t="n">
        <v>2</v>
      </c>
      <c r="E1546" s="0" t="str">
        <f aca="false">INDEX(lot!$B$2:$B$1201,MATCH(B1546,lot!$A$2:$A$1201,0))</f>
        <v>SUP-E</v>
      </c>
      <c r="F1546" s="3" t="n">
        <f aca="false">YEAR(A1546)*100+MONTH(A1546)</f>
        <v>202605</v>
      </c>
    </row>
    <row r="1547" customFormat="false" ht="15" hidden="false" customHeight="false" outlineLevel="0" collapsed="false">
      <c r="A1547" s="2" t="n">
        <v>46153</v>
      </c>
      <c r="B1547" s="3" t="s">
        <v>369</v>
      </c>
      <c r="C1547" s="0" t="n">
        <v>206</v>
      </c>
      <c r="D1547" s="0" t="n">
        <v>3</v>
      </c>
      <c r="E1547" s="0" t="str">
        <f aca="false">INDEX(lot!$B$2:$B$1201,MATCH(B1547,lot!$A$2:$A$1201,0))</f>
        <v>SUP-E</v>
      </c>
      <c r="F1547" s="3" t="n">
        <f aca="false">YEAR(A1547)*100+MONTH(A1547)</f>
        <v>202605</v>
      </c>
    </row>
    <row r="1548" customFormat="false" ht="15" hidden="false" customHeight="false" outlineLevel="0" collapsed="false">
      <c r="A1548" s="2" t="n">
        <v>46153</v>
      </c>
      <c r="B1548" s="3" t="s">
        <v>435</v>
      </c>
      <c r="C1548" s="0" t="n">
        <v>96</v>
      </c>
      <c r="D1548" s="0" t="n">
        <v>0</v>
      </c>
      <c r="E1548" s="0" t="str">
        <f aca="false">INDEX(lot!$B$2:$B$1201,MATCH(B1548,lot!$A$2:$A$1201,0))</f>
        <v>SUP-E</v>
      </c>
      <c r="F1548" s="3" t="n">
        <f aca="false">YEAR(A1548)*100+MONTH(A1548)</f>
        <v>202605</v>
      </c>
    </row>
    <row r="1549" customFormat="false" ht="15" hidden="false" customHeight="false" outlineLevel="0" collapsed="false">
      <c r="A1549" s="2" t="n">
        <v>46153</v>
      </c>
      <c r="B1549" s="3" t="s">
        <v>435</v>
      </c>
      <c r="C1549" s="0" t="n">
        <v>207</v>
      </c>
      <c r="D1549" s="0" t="n">
        <v>0</v>
      </c>
      <c r="E1549" s="0" t="str">
        <f aca="false">INDEX(lot!$B$2:$B$1201,MATCH(B1549,lot!$A$2:$A$1201,0))</f>
        <v>SUP-E</v>
      </c>
      <c r="F1549" s="3" t="n">
        <f aca="false">YEAR(A1549)*100+MONTH(A1549)</f>
        <v>202605</v>
      </c>
    </row>
    <row r="1550" customFormat="false" ht="15" hidden="false" customHeight="false" outlineLevel="0" collapsed="false">
      <c r="A1550" s="2" t="n">
        <v>46153</v>
      </c>
      <c r="B1550" s="3" t="s">
        <v>585</v>
      </c>
      <c r="C1550" s="0" t="n">
        <v>155</v>
      </c>
      <c r="D1550" s="0" t="n">
        <v>1</v>
      </c>
      <c r="E1550" s="0" t="str">
        <f aca="false">INDEX(lot!$B$2:$B$1201,MATCH(B1550,lot!$A$2:$A$1201,0))</f>
        <v>SUP-D</v>
      </c>
      <c r="F1550" s="3" t="n">
        <f aca="false">YEAR(A1550)*100+MONTH(A1550)</f>
        <v>202605</v>
      </c>
    </row>
    <row r="1551" customFormat="false" ht="15" hidden="false" customHeight="false" outlineLevel="0" collapsed="false">
      <c r="A1551" s="2" t="n">
        <v>46153</v>
      </c>
      <c r="B1551" s="3" t="s">
        <v>609</v>
      </c>
      <c r="C1551" s="0" t="n">
        <v>136</v>
      </c>
      <c r="D1551" s="0" t="n">
        <v>2</v>
      </c>
      <c r="E1551" s="0" t="str">
        <f aca="false">INDEX(lot!$B$2:$B$1201,MATCH(B1551,lot!$A$2:$A$1201,0))</f>
        <v>SUP-D</v>
      </c>
      <c r="F1551" s="3" t="n">
        <f aca="false">YEAR(A1551)*100+MONTH(A1551)</f>
        <v>202605</v>
      </c>
    </row>
    <row r="1552" customFormat="false" ht="15" hidden="false" customHeight="false" outlineLevel="0" collapsed="false">
      <c r="A1552" s="2" t="n">
        <v>46153</v>
      </c>
      <c r="B1552" s="3" t="s">
        <v>665</v>
      </c>
      <c r="C1552" s="0" t="n">
        <v>92</v>
      </c>
      <c r="D1552" s="0" t="n">
        <v>4</v>
      </c>
      <c r="E1552" s="0" t="str">
        <f aca="false">INDEX(lot!$B$2:$B$1201,MATCH(B1552,lot!$A$2:$A$1201,0))</f>
        <v>SUP-C</v>
      </c>
      <c r="F1552" s="3" t="n">
        <f aca="false">YEAR(A1552)*100+MONTH(A1552)</f>
        <v>202605</v>
      </c>
    </row>
    <row r="1553" customFormat="false" ht="15" hidden="false" customHeight="false" outlineLevel="0" collapsed="false">
      <c r="A1553" s="2" t="n">
        <v>46153</v>
      </c>
      <c r="B1553" s="3" t="s">
        <v>665</v>
      </c>
      <c r="C1553" s="0" t="n">
        <v>116</v>
      </c>
      <c r="D1553" s="0" t="n">
        <v>4</v>
      </c>
      <c r="E1553" s="0" t="str">
        <f aca="false">INDEX(lot!$B$2:$B$1201,MATCH(B1553,lot!$A$2:$A$1201,0))</f>
        <v>SUP-C</v>
      </c>
      <c r="F1553" s="3" t="n">
        <f aca="false">YEAR(A1553)*100+MONTH(A1553)</f>
        <v>202605</v>
      </c>
    </row>
    <row r="1554" customFormat="false" ht="15" hidden="false" customHeight="false" outlineLevel="0" collapsed="false">
      <c r="A1554" s="2" t="n">
        <v>46153</v>
      </c>
      <c r="B1554" s="3" t="s">
        <v>762</v>
      </c>
      <c r="C1554" s="0" t="n">
        <v>192</v>
      </c>
      <c r="D1554" s="0" t="n">
        <v>4</v>
      </c>
      <c r="E1554" s="0" t="str">
        <f aca="false">INDEX(lot!$B$2:$B$1201,MATCH(B1554,lot!$A$2:$A$1201,0))</f>
        <v>SUP-D</v>
      </c>
      <c r="F1554" s="3" t="n">
        <f aca="false">YEAR(A1554)*100+MONTH(A1554)</f>
        <v>202605</v>
      </c>
    </row>
    <row r="1555" customFormat="false" ht="15" hidden="false" customHeight="false" outlineLevel="0" collapsed="false">
      <c r="A1555" s="2" t="n">
        <v>46153</v>
      </c>
      <c r="B1555" s="3" t="s">
        <v>883</v>
      </c>
      <c r="C1555" s="0" t="n">
        <v>189</v>
      </c>
      <c r="D1555" s="0" t="n">
        <v>2</v>
      </c>
      <c r="E1555" s="0" t="str">
        <f aca="false">INDEX(lot!$B$2:$B$1201,MATCH(B1555,lot!$A$2:$A$1201,0))</f>
        <v>SUP-D</v>
      </c>
      <c r="F1555" s="3" t="n">
        <f aca="false">YEAR(A1555)*100+MONTH(A1555)</f>
        <v>202605</v>
      </c>
    </row>
    <row r="1556" customFormat="false" ht="15" hidden="false" customHeight="false" outlineLevel="0" collapsed="false">
      <c r="A1556" s="2" t="n">
        <v>46153</v>
      </c>
      <c r="B1556" s="3" t="s">
        <v>890</v>
      </c>
      <c r="C1556" s="0" t="n">
        <v>231</v>
      </c>
      <c r="D1556" s="0" t="n">
        <v>3</v>
      </c>
      <c r="E1556" s="0" t="str">
        <f aca="false">INDEX(lot!$B$2:$B$1201,MATCH(B1556,lot!$A$2:$A$1201,0))</f>
        <v>SUP-D</v>
      </c>
      <c r="F1556" s="3" t="n">
        <f aca="false">YEAR(A1556)*100+MONTH(A1556)</f>
        <v>202605</v>
      </c>
    </row>
    <row r="1557" customFormat="false" ht="15" hidden="false" customHeight="false" outlineLevel="0" collapsed="false">
      <c r="A1557" s="2" t="n">
        <v>46153</v>
      </c>
      <c r="B1557" s="3" t="s">
        <v>950</v>
      </c>
      <c r="C1557" s="0" t="n">
        <v>230</v>
      </c>
      <c r="D1557" s="0" t="n">
        <v>1</v>
      </c>
      <c r="E1557" s="0" t="str">
        <f aca="false">INDEX(lot!$B$2:$B$1201,MATCH(B1557,lot!$A$2:$A$1201,0))</f>
        <v>SUP-E</v>
      </c>
      <c r="F1557" s="3" t="n">
        <f aca="false">YEAR(A1557)*100+MONTH(A1557)</f>
        <v>202605</v>
      </c>
    </row>
    <row r="1558" customFormat="false" ht="15" hidden="false" customHeight="false" outlineLevel="0" collapsed="false">
      <c r="A1558" s="2" t="n">
        <v>46153</v>
      </c>
      <c r="B1558" s="3" t="s">
        <v>965</v>
      </c>
      <c r="C1558" s="0" t="n">
        <v>142</v>
      </c>
      <c r="D1558" s="0" t="n">
        <v>1</v>
      </c>
      <c r="E1558" s="0" t="str">
        <f aca="false">INDEX(lot!$B$2:$B$1201,MATCH(B1558,lot!$A$2:$A$1201,0))</f>
        <v>SUP-D</v>
      </c>
      <c r="F1558" s="3" t="n">
        <f aca="false">YEAR(A1558)*100+MONTH(A1558)</f>
        <v>202605</v>
      </c>
    </row>
    <row r="1559" customFormat="false" ht="15" hidden="false" customHeight="false" outlineLevel="0" collapsed="false">
      <c r="A1559" s="2" t="n">
        <v>46153</v>
      </c>
      <c r="B1559" s="3" t="s">
        <v>973</v>
      </c>
      <c r="C1559" s="0" t="n">
        <v>102</v>
      </c>
      <c r="D1559" s="0" t="n">
        <v>0</v>
      </c>
      <c r="E1559" s="0" t="str">
        <f aca="false">INDEX(lot!$B$2:$B$1201,MATCH(B1559,lot!$A$2:$A$1201,0))</f>
        <v>SUP-E</v>
      </c>
      <c r="F1559" s="3" t="n">
        <f aca="false">YEAR(A1559)*100+MONTH(A1559)</f>
        <v>202605</v>
      </c>
    </row>
    <row r="1560" customFormat="false" ht="15" hidden="false" customHeight="false" outlineLevel="0" collapsed="false">
      <c r="A1560" s="2" t="n">
        <v>46153</v>
      </c>
      <c r="B1560" s="3" t="s">
        <v>992</v>
      </c>
      <c r="C1560" s="0" t="n">
        <v>200</v>
      </c>
      <c r="D1560" s="0" t="n">
        <v>1</v>
      </c>
      <c r="E1560" s="0" t="str">
        <f aca="false">INDEX(lot!$B$2:$B$1201,MATCH(B1560,lot!$A$2:$A$1201,0))</f>
        <v>SUP-E</v>
      </c>
      <c r="F1560" s="3" t="n">
        <f aca="false">YEAR(A1560)*100+MONTH(A1560)</f>
        <v>202605</v>
      </c>
    </row>
    <row r="1561" customFormat="false" ht="15" hidden="false" customHeight="false" outlineLevel="0" collapsed="false">
      <c r="A1561" s="2" t="n">
        <v>46153</v>
      </c>
      <c r="B1561" s="3" t="s">
        <v>1006</v>
      </c>
      <c r="C1561" s="0" t="n">
        <v>223</v>
      </c>
      <c r="D1561" s="0" t="n">
        <v>0</v>
      </c>
      <c r="E1561" s="0" t="str">
        <f aca="false">INDEX(lot!$B$2:$B$1201,MATCH(B1561,lot!$A$2:$A$1201,0))</f>
        <v>SUP-E</v>
      </c>
      <c r="F1561" s="3" t="n">
        <f aca="false">YEAR(A1561)*100+MONTH(A1561)</f>
        <v>202605</v>
      </c>
    </row>
    <row r="1562" customFormat="false" ht="15" hidden="false" customHeight="false" outlineLevel="0" collapsed="false">
      <c r="A1562" s="2" t="n">
        <v>46153</v>
      </c>
      <c r="B1562" s="3" t="s">
        <v>1006</v>
      </c>
      <c r="C1562" s="0" t="n">
        <v>219</v>
      </c>
      <c r="D1562" s="0" t="n">
        <v>2</v>
      </c>
      <c r="E1562" s="0" t="str">
        <f aca="false">INDEX(lot!$B$2:$B$1201,MATCH(B1562,lot!$A$2:$A$1201,0))</f>
        <v>SUP-E</v>
      </c>
      <c r="F1562" s="3" t="n">
        <f aca="false">YEAR(A1562)*100+MONTH(A1562)</f>
        <v>202605</v>
      </c>
    </row>
    <row r="1563" customFormat="false" ht="15" hidden="false" customHeight="false" outlineLevel="0" collapsed="false">
      <c r="A1563" s="2" t="n">
        <v>46153</v>
      </c>
      <c r="B1563" s="3" t="s">
        <v>1174</v>
      </c>
      <c r="C1563" s="0" t="n">
        <v>65</v>
      </c>
      <c r="D1563" s="0" t="n">
        <v>0</v>
      </c>
      <c r="E1563" s="0" t="str">
        <f aca="false">INDEX(lot!$B$2:$B$1201,MATCH(B1563,lot!$A$2:$A$1201,0))</f>
        <v>SUP-D</v>
      </c>
      <c r="F1563" s="3" t="n">
        <f aca="false">YEAR(A1563)*100+MONTH(A1563)</f>
        <v>202605</v>
      </c>
    </row>
    <row r="1564" customFormat="false" ht="15" hidden="false" customHeight="false" outlineLevel="0" collapsed="false">
      <c r="A1564" s="2" t="n">
        <v>46153</v>
      </c>
      <c r="B1564" s="3" t="s">
        <v>1178</v>
      </c>
      <c r="C1564" s="0" t="n">
        <v>193</v>
      </c>
      <c r="D1564" s="0" t="n">
        <v>2</v>
      </c>
      <c r="E1564" s="0" t="str">
        <f aca="false">INDEX(lot!$B$2:$B$1201,MATCH(B1564,lot!$A$2:$A$1201,0))</f>
        <v>SUP-D</v>
      </c>
      <c r="F1564" s="3" t="n">
        <f aca="false">YEAR(A1564)*100+MONTH(A1564)</f>
        <v>202605</v>
      </c>
    </row>
    <row r="1565" customFormat="false" ht="15" hidden="false" customHeight="false" outlineLevel="0" collapsed="false">
      <c r="A1565" s="2" t="n">
        <v>46153</v>
      </c>
      <c r="B1565" s="3" t="s">
        <v>1178</v>
      </c>
      <c r="C1565" s="0" t="n">
        <v>71</v>
      </c>
      <c r="D1565" s="0" t="n">
        <v>0</v>
      </c>
      <c r="E1565" s="0" t="str">
        <f aca="false">INDEX(lot!$B$2:$B$1201,MATCH(B1565,lot!$A$2:$A$1201,0))</f>
        <v>SUP-D</v>
      </c>
      <c r="F1565" s="3" t="n">
        <f aca="false">YEAR(A1565)*100+MONTH(A1565)</f>
        <v>202605</v>
      </c>
    </row>
    <row r="1566" customFormat="false" ht="15" hidden="false" customHeight="false" outlineLevel="0" collapsed="false">
      <c r="A1566" s="2" t="n">
        <v>46154</v>
      </c>
      <c r="B1566" s="3" t="s">
        <v>121</v>
      </c>
      <c r="C1566" s="0" t="n">
        <v>217</v>
      </c>
      <c r="D1566" s="0" t="n">
        <v>2</v>
      </c>
      <c r="E1566" s="0" t="str">
        <f aca="false">INDEX(lot!$B$2:$B$1201,MATCH(B1566,lot!$A$2:$A$1201,0))</f>
        <v>SUP-A</v>
      </c>
      <c r="F1566" s="3" t="n">
        <f aca="false">YEAR(A1566)*100+MONTH(A1566)</f>
        <v>202605</v>
      </c>
    </row>
    <row r="1567" customFormat="false" ht="15" hidden="false" customHeight="false" outlineLevel="0" collapsed="false">
      <c r="A1567" s="2" t="n">
        <v>46154</v>
      </c>
      <c r="B1567" s="3" t="s">
        <v>156</v>
      </c>
      <c r="C1567" s="0" t="n">
        <v>163</v>
      </c>
      <c r="D1567" s="0" t="n">
        <v>3</v>
      </c>
      <c r="E1567" s="0" t="str">
        <f aca="false">INDEX(lot!$B$2:$B$1201,MATCH(B1567,lot!$A$2:$A$1201,0))</f>
        <v>SUP-C</v>
      </c>
      <c r="F1567" s="3" t="n">
        <f aca="false">YEAR(A1567)*100+MONTH(A1567)</f>
        <v>202605</v>
      </c>
    </row>
    <row r="1568" customFormat="false" ht="15" hidden="false" customHeight="false" outlineLevel="0" collapsed="false">
      <c r="A1568" s="2" t="n">
        <v>46154</v>
      </c>
      <c r="B1568" s="3" t="s">
        <v>172</v>
      </c>
      <c r="C1568" s="0" t="n">
        <v>233</v>
      </c>
      <c r="D1568" s="0" t="n">
        <v>39</v>
      </c>
      <c r="E1568" s="0" t="str">
        <f aca="false">INDEX(lot!$B$2:$B$1201,MATCH(B1568,lot!$A$2:$A$1201,0))</f>
        <v>SUP-C</v>
      </c>
      <c r="F1568" s="3" t="n">
        <f aca="false">YEAR(A1568)*100+MONTH(A1568)</f>
        <v>202605</v>
      </c>
    </row>
    <row r="1569" customFormat="false" ht="15" hidden="false" customHeight="false" outlineLevel="0" collapsed="false">
      <c r="A1569" s="2" t="n">
        <v>46154</v>
      </c>
      <c r="B1569" s="3" t="s">
        <v>172</v>
      </c>
      <c r="C1569" s="0" t="n">
        <v>77</v>
      </c>
      <c r="D1569" s="0" t="n">
        <v>17</v>
      </c>
      <c r="E1569" s="0" t="str">
        <f aca="false">INDEX(lot!$B$2:$B$1201,MATCH(B1569,lot!$A$2:$A$1201,0))</f>
        <v>SUP-C</v>
      </c>
      <c r="F1569" s="3" t="n">
        <f aca="false">YEAR(A1569)*100+MONTH(A1569)</f>
        <v>202605</v>
      </c>
    </row>
    <row r="1570" customFormat="false" ht="15" hidden="false" customHeight="false" outlineLevel="0" collapsed="false">
      <c r="A1570" s="2" t="n">
        <v>46154</v>
      </c>
      <c r="B1570" s="3" t="s">
        <v>189</v>
      </c>
      <c r="C1570" s="0" t="n">
        <v>194</v>
      </c>
      <c r="D1570" s="0" t="n">
        <v>3</v>
      </c>
      <c r="E1570" s="0" t="str">
        <f aca="false">INDEX(lot!$B$2:$B$1201,MATCH(B1570,lot!$A$2:$A$1201,0))</f>
        <v>SUP-E</v>
      </c>
      <c r="F1570" s="3" t="n">
        <f aca="false">YEAR(A1570)*100+MONTH(A1570)</f>
        <v>202605</v>
      </c>
    </row>
    <row r="1571" customFormat="false" ht="15" hidden="false" customHeight="false" outlineLevel="0" collapsed="false">
      <c r="A1571" s="2" t="n">
        <v>46154</v>
      </c>
      <c r="B1571" s="3" t="s">
        <v>189</v>
      </c>
      <c r="C1571" s="0" t="n">
        <v>168</v>
      </c>
      <c r="D1571" s="0" t="n">
        <v>1</v>
      </c>
      <c r="E1571" s="0" t="str">
        <f aca="false">INDEX(lot!$B$2:$B$1201,MATCH(B1571,lot!$A$2:$A$1201,0))</f>
        <v>SUP-E</v>
      </c>
      <c r="F1571" s="3" t="n">
        <f aca="false">YEAR(A1571)*100+MONTH(A1571)</f>
        <v>202605</v>
      </c>
    </row>
    <row r="1572" customFormat="false" ht="15" hidden="false" customHeight="false" outlineLevel="0" collapsed="false">
      <c r="A1572" s="2" t="n">
        <v>46154</v>
      </c>
      <c r="B1572" s="3" t="s">
        <v>215</v>
      </c>
      <c r="C1572" s="0" t="n">
        <v>243</v>
      </c>
      <c r="D1572" s="0" t="n">
        <v>10</v>
      </c>
      <c r="E1572" s="0" t="str">
        <f aca="false">INDEX(lot!$B$2:$B$1201,MATCH(B1572,lot!$A$2:$A$1201,0))</f>
        <v>SUP-C</v>
      </c>
      <c r="F1572" s="3" t="n">
        <f aca="false">YEAR(A1572)*100+MONTH(A1572)</f>
        <v>202605</v>
      </c>
    </row>
    <row r="1573" customFormat="false" ht="15" hidden="false" customHeight="false" outlineLevel="0" collapsed="false">
      <c r="A1573" s="2" t="n">
        <v>46154</v>
      </c>
      <c r="B1573" s="3" t="s">
        <v>215</v>
      </c>
      <c r="C1573" s="0" t="n">
        <v>67</v>
      </c>
      <c r="D1573" s="0" t="n">
        <v>3</v>
      </c>
      <c r="E1573" s="0" t="str">
        <f aca="false">INDEX(lot!$B$2:$B$1201,MATCH(B1573,lot!$A$2:$A$1201,0))</f>
        <v>SUP-C</v>
      </c>
      <c r="F1573" s="3" t="n">
        <f aca="false">YEAR(A1573)*100+MONTH(A1573)</f>
        <v>202605</v>
      </c>
    </row>
    <row r="1574" customFormat="false" ht="15" hidden="false" customHeight="false" outlineLevel="0" collapsed="false">
      <c r="A1574" s="2" t="n">
        <v>46154</v>
      </c>
      <c r="B1574" s="3" t="s">
        <v>253</v>
      </c>
      <c r="C1574" s="0" t="n">
        <v>108</v>
      </c>
      <c r="D1574" s="0" t="n">
        <v>2</v>
      </c>
      <c r="E1574" s="0" t="str">
        <f aca="false">INDEX(lot!$B$2:$B$1201,MATCH(B1574,lot!$A$2:$A$1201,0))</f>
        <v>SUP-D</v>
      </c>
      <c r="F1574" s="3" t="n">
        <f aca="false">YEAR(A1574)*100+MONTH(A1574)</f>
        <v>202605</v>
      </c>
    </row>
    <row r="1575" customFormat="false" ht="15" hidden="false" customHeight="false" outlineLevel="0" collapsed="false">
      <c r="A1575" s="2" t="n">
        <v>46154</v>
      </c>
      <c r="B1575" s="3" t="s">
        <v>299</v>
      </c>
      <c r="C1575" s="0" t="n">
        <v>161</v>
      </c>
      <c r="D1575" s="0" t="n">
        <v>1</v>
      </c>
      <c r="E1575" s="0" t="str">
        <f aca="false">INDEX(lot!$B$2:$B$1201,MATCH(B1575,lot!$A$2:$A$1201,0))</f>
        <v>SUP-E</v>
      </c>
      <c r="F1575" s="3" t="n">
        <f aca="false">YEAR(A1575)*100+MONTH(A1575)</f>
        <v>202605</v>
      </c>
    </row>
    <row r="1576" customFormat="false" ht="15" hidden="false" customHeight="false" outlineLevel="0" collapsed="false">
      <c r="A1576" s="2" t="n">
        <v>46154</v>
      </c>
      <c r="B1576" s="3" t="s">
        <v>299</v>
      </c>
      <c r="C1576" s="0" t="n">
        <v>131</v>
      </c>
      <c r="D1576" s="0" t="n">
        <v>0</v>
      </c>
      <c r="E1576" s="0" t="str">
        <f aca="false">INDEX(lot!$B$2:$B$1201,MATCH(B1576,lot!$A$2:$A$1201,0))</f>
        <v>SUP-E</v>
      </c>
      <c r="F1576" s="3" t="n">
        <f aca="false">YEAR(A1576)*100+MONTH(A1576)</f>
        <v>202605</v>
      </c>
    </row>
    <row r="1577" customFormat="false" ht="15" hidden="false" customHeight="false" outlineLevel="0" collapsed="false">
      <c r="A1577" s="2" t="n">
        <v>46154</v>
      </c>
      <c r="B1577" s="3" t="s">
        <v>325</v>
      </c>
      <c r="C1577" s="0" t="n">
        <v>179</v>
      </c>
      <c r="D1577" s="0" t="n">
        <v>8</v>
      </c>
      <c r="E1577" s="0" t="str">
        <f aca="false">INDEX(lot!$B$2:$B$1201,MATCH(B1577,lot!$A$2:$A$1201,0))</f>
        <v>SUP-E</v>
      </c>
      <c r="F1577" s="3" t="n">
        <f aca="false">YEAR(A1577)*100+MONTH(A1577)</f>
        <v>202605</v>
      </c>
    </row>
    <row r="1578" customFormat="false" ht="15" hidden="false" customHeight="false" outlineLevel="0" collapsed="false">
      <c r="A1578" s="2" t="n">
        <v>46154</v>
      </c>
      <c r="B1578" s="3" t="s">
        <v>325</v>
      </c>
      <c r="C1578" s="0" t="n">
        <v>181</v>
      </c>
      <c r="D1578" s="0" t="n">
        <v>7</v>
      </c>
      <c r="E1578" s="0" t="str">
        <f aca="false">INDEX(lot!$B$2:$B$1201,MATCH(B1578,lot!$A$2:$A$1201,0))</f>
        <v>SUP-E</v>
      </c>
      <c r="F1578" s="3" t="n">
        <f aca="false">YEAR(A1578)*100+MONTH(A1578)</f>
        <v>202605</v>
      </c>
    </row>
    <row r="1579" customFormat="false" ht="15" hidden="false" customHeight="false" outlineLevel="0" collapsed="false">
      <c r="A1579" s="2" t="n">
        <v>46154</v>
      </c>
      <c r="B1579" s="3" t="s">
        <v>358</v>
      </c>
      <c r="C1579" s="0" t="n">
        <v>150</v>
      </c>
      <c r="D1579" s="0" t="n">
        <v>1</v>
      </c>
      <c r="E1579" s="0" t="str">
        <f aca="false">INDEX(lot!$B$2:$B$1201,MATCH(B1579,lot!$A$2:$A$1201,0))</f>
        <v>SUP-D</v>
      </c>
      <c r="F1579" s="3" t="n">
        <f aca="false">YEAR(A1579)*100+MONTH(A1579)</f>
        <v>202605</v>
      </c>
    </row>
    <row r="1580" customFormat="false" ht="15" hidden="false" customHeight="false" outlineLevel="0" collapsed="false">
      <c r="A1580" s="2" t="n">
        <v>46154</v>
      </c>
      <c r="B1580" s="3" t="s">
        <v>362</v>
      </c>
      <c r="C1580" s="0" t="n">
        <v>233</v>
      </c>
      <c r="D1580" s="0" t="n">
        <v>1</v>
      </c>
      <c r="E1580" s="0" t="str">
        <f aca="false">INDEX(lot!$B$2:$B$1201,MATCH(B1580,lot!$A$2:$A$1201,0))</f>
        <v>SUP-E</v>
      </c>
      <c r="F1580" s="3" t="n">
        <f aca="false">YEAR(A1580)*100+MONTH(A1580)</f>
        <v>202605</v>
      </c>
    </row>
    <row r="1581" customFormat="false" ht="15" hidden="false" customHeight="false" outlineLevel="0" collapsed="false">
      <c r="A1581" s="2" t="n">
        <v>46154</v>
      </c>
      <c r="B1581" s="3" t="s">
        <v>435</v>
      </c>
      <c r="C1581" s="0" t="n">
        <v>140</v>
      </c>
      <c r="D1581" s="0" t="n">
        <v>0</v>
      </c>
      <c r="E1581" s="0" t="str">
        <f aca="false">INDEX(lot!$B$2:$B$1201,MATCH(B1581,lot!$A$2:$A$1201,0))</f>
        <v>SUP-E</v>
      </c>
      <c r="F1581" s="3" t="n">
        <f aca="false">YEAR(A1581)*100+MONTH(A1581)</f>
        <v>202605</v>
      </c>
    </row>
    <row r="1582" customFormat="false" ht="15" hidden="false" customHeight="false" outlineLevel="0" collapsed="false">
      <c r="A1582" s="2" t="n">
        <v>46154</v>
      </c>
      <c r="B1582" s="3" t="s">
        <v>492</v>
      </c>
      <c r="C1582" s="0" t="n">
        <v>147</v>
      </c>
      <c r="D1582" s="0" t="n">
        <v>2</v>
      </c>
      <c r="E1582" s="0" t="str">
        <f aca="false">INDEX(lot!$B$2:$B$1201,MATCH(B1582,lot!$A$2:$A$1201,0))</f>
        <v>SUP-D</v>
      </c>
      <c r="F1582" s="3" t="n">
        <f aca="false">YEAR(A1582)*100+MONTH(A1582)</f>
        <v>202605</v>
      </c>
    </row>
    <row r="1583" customFormat="false" ht="15" hidden="false" customHeight="false" outlineLevel="0" collapsed="false">
      <c r="A1583" s="2" t="n">
        <v>46154</v>
      </c>
      <c r="B1583" s="3" t="s">
        <v>492</v>
      </c>
      <c r="C1583" s="0" t="n">
        <v>74</v>
      </c>
      <c r="D1583" s="0" t="n">
        <v>0</v>
      </c>
      <c r="E1583" s="0" t="str">
        <f aca="false">INDEX(lot!$B$2:$B$1201,MATCH(B1583,lot!$A$2:$A$1201,0))</f>
        <v>SUP-D</v>
      </c>
      <c r="F1583" s="3" t="n">
        <f aca="false">YEAR(A1583)*100+MONTH(A1583)</f>
        <v>202605</v>
      </c>
    </row>
    <row r="1584" customFormat="false" ht="15" hidden="false" customHeight="false" outlineLevel="0" collapsed="false">
      <c r="A1584" s="2" t="n">
        <v>46154</v>
      </c>
      <c r="B1584" s="3" t="s">
        <v>548</v>
      </c>
      <c r="C1584" s="0" t="n">
        <v>163</v>
      </c>
      <c r="D1584" s="0" t="n">
        <v>0</v>
      </c>
      <c r="E1584" s="0" t="str">
        <f aca="false">INDEX(lot!$B$2:$B$1201,MATCH(B1584,lot!$A$2:$A$1201,0))</f>
        <v>SUP-A</v>
      </c>
      <c r="F1584" s="3" t="n">
        <f aca="false">YEAR(A1584)*100+MONTH(A1584)</f>
        <v>202605</v>
      </c>
    </row>
    <row r="1585" customFormat="false" ht="15" hidden="false" customHeight="false" outlineLevel="0" collapsed="false">
      <c r="A1585" s="2" t="n">
        <v>46154</v>
      </c>
      <c r="B1585" s="3" t="s">
        <v>548</v>
      </c>
      <c r="C1585" s="0" t="n">
        <v>121</v>
      </c>
      <c r="D1585" s="0" t="n">
        <v>0</v>
      </c>
      <c r="E1585" s="0" t="str">
        <f aca="false">INDEX(lot!$B$2:$B$1201,MATCH(B1585,lot!$A$2:$A$1201,0))</f>
        <v>SUP-A</v>
      </c>
      <c r="F1585" s="3" t="n">
        <f aca="false">YEAR(A1585)*100+MONTH(A1585)</f>
        <v>202605</v>
      </c>
    </row>
    <row r="1586" customFormat="false" ht="15" hidden="false" customHeight="false" outlineLevel="0" collapsed="false">
      <c r="A1586" s="2" t="n">
        <v>46154</v>
      </c>
      <c r="B1586" s="3" t="s">
        <v>762</v>
      </c>
      <c r="C1586" s="0" t="n">
        <v>179</v>
      </c>
      <c r="D1586" s="0" t="n">
        <v>3</v>
      </c>
      <c r="E1586" s="0" t="str">
        <f aca="false">INDEX(lot!$B$2:$B$1201,MATCH(B1586,lot!$A$2:$A$1201,0))</f>
        <v>SUP-D</v>
      </c>
      <c r="F1586" s="3" t="n">
        <f aca="false">YEAR(A1586)*100+MONTH(A1586)</f>
        <v>202605</v>
      </c>
    </row>
    <row r="1587" customFormat="false" ht="15" hidden="false" customHeight="false" outlineLevel="0" collapsed="false">
      <c r="A1587" s="2" t="n">
        <v>46154</v>
      </c>
      <c r="B1587" s="3" t="s">
        <v>762</v>
      </c>
      <c r="C1587" s="0" t="n">
        <v>112</v>
      </c>
      <c r="D1587" s="0" t="n">
        <v>0</v>
      </c>
      <c r="E1587" s="0" t="str">
        <f aca="false">INDEX(lot!$B$2:$B$1201,MATCH(B1587,lot!$A$2:$A$1201,0))</f>
        <v>SUP-D</v>
      </c>
      <c r="F1587" s="3" t="n">
        <f aca="false">YEAR(A1587)*100+MONTH(A1587)</f>
        <v>202605</v>
      </c>
    </row>
    <row r="1588" customFormat="false" ht="15" hidden="false" customHeight="false" outlineLevel="0" collapsed="false">
      <c r="A1588" s="2" t="n">
        <v>46154</v>
      </c>
      <c r="B1588" s="3" t="s">
        <v>879</v>
      </c>
      <c r="C1588" s="0" t="n">
        <v>209</v>
      </c>
      <c r="D1588" s="0" t="n">
        <v>1</v>
      </c>
      <c r="E1588" s="0" t="str">
        <f aca="false">INDEX(lot!$B$2:$B$1201,MATCH(B1588,lot!$A$2:$A$1201,0))</f>
        <v>SUP-E</v>
      </c>
      <c r="F1588" s="3" t="n">
        <f aca="false">YEAR(A1588)*100+MONTH(A1588)</f>
        <v>202605</v>
      </c>
    </row>
    <row r="1589" customFormat="false" ht="15" hidden="false" customHeight="false" outlineLevel="0" collapsed="false">
      <c r="A1589" s="2" t="n">
        <v>46154</v>
      </c>
      <c r="B1589" s="3" t="s">
        <v>879</v>
      </c>
      <c r="C1589" s="0" t="n">
        <v>117</v>
      </c>
      <c r="D1589" s="0" t="n">
        <v>0</v>
      </c>
      <c r="E1589" s="0" t="str">
        <f aca="false">INDEX(lot!$B$2:$B$1201,MATCH(B1589,lot!$A$2:$A$1201,0))</f>
        <v>SUP-E</v>
      </c>
      <c r="F1589" s="3" t="n">
        <f aca="false">YEAR(A1589)*100+MONTH(A1589)</f>
        <v>202605</v>
      </c>
    </row>
    <row r="1590" customFormat="false" ht="15" hidden="false" customHeight="false" outlineLevel="0" collapsed="false">
      <c r="A1590" s="2" t="n">
        <v>46154</v>
      </c>
      <c r="B1590" s="3" t="s">
        <v>890</v>
      </c>
      <c r="C1590" s="0" t="n">
        <v>179</v>
      </c>
      <c r="D1590" s="0" t="n">
        <v>1</v>
      </c>
      <c r="E1590" s="0" t="str">
        <f aca="false">INDEX(lot!$B$2:$B$1201,MATCH(B1590,lot!$A$2:$A$1201,0))</f>
        <v>SUP-D</v>
      </c>
      <c r="F1590" s="3" t="n">
        <f aca="false">YEAR(A1590)*100+MONTH(A1590)</f>
        <v>202605</v>
      </c>
    </row>
    <row r="1591" customFormat="false" ht="15" hidden="false" customHeight="false" outlineLevel="0" collapsed="false">
      <c r="A1591" s="2" t="n">
        <v>46154</v>
      </c>
      <c r="B1591" s="3" t="s">
        <v>950</v>
      </c>
      <c r="C1591" s="0" t="n">
        <v>237</v>
      </c>
      <c r="D1591" s="0" t="n">
        <v>5</v>
      </c>
      <c r="E1591" s="0" t="str">
        <f aca="false">INDEX(lot!$B$2:$B$1201,MATCH(B1591,lot!$A$2:$A$1201,0))</f>
        <v>SUP-E</v>
      </c>
      <c r="F1591" s="3" t="n">
        <f aca="false">YEAR(A1591)*100+MONTH(A1591)</f>
        <v>202605</v>
      </c>
    </row>
    <row r="1592" customFormat="false" ht="15" hidden="false" customHeight="false" outlineLevel="0" collapsed="false">
      <c r="A1592" s="2" t="n">
        <v>46154</v>
      </c>
      <c r="B1592" s="3" t="s">
        <v>950</v>
      </c>
      <c r="C1592" s="0" t="n">
        <v>242</v>
      </c>
      <c r="D1592" s="0" t="n">
        <v>3</v>
      </c>
      <c r="E1592" s="0" t="str">
        <f aca="false">INDEX(lot!$B$2:$B$1201,MATCH(B1592,lot!$A$2:$A$1201,0))</f>
        <v>SUP-E</v>
      </c>
      <c r="F1592" s="3" t="n">
        <f aca="false">YEAR(A1592)*100+MONTH(A1592)</f>
        <v>202605</v>
      </c>
    </row>
    <row r="1593" customFormat="false" ht="15" hidden="false" customHeight="false" outlineLevel="0" collapsed="false">
      <c r="A1593" s="2" t="n">
        <v>46154</v>
      </c>
      <c r="B1593" s="3" t="s">
        <v>1174</v>
      </c>
      <c r="C1593" s="0" t="n">
        <v>68</v>
      </c>
      <c r="D1593" s="0" t="n">
        <v>1</v>
      </c>
      <c r="E1593" s="0" t="str">
        <f aca="false">INDEX(lot!$B$2:$B$1201,MATCH(B1593,lot!$A$2:$A$1201,0))</f>
        <v>SUP-D</v>
      </c>
      <c r="F1593" s="3" t="n">
        <f aca="false">YEAR(A1593)*100+MONTH(A1593)</f>
        <v>202605</v>
      </c>
    </row>
    <row r="1594" customFormat="false" ht="15" hidden="false" customHeight="false" outlineLevel="0" collapsed="false">
      <c r="A1594" s="2" t="n">
        <v>46154</v>
      </c>
      <c r="B1594" s="3" t="s">
        <v>1174</v>
      </c>
      <c r="C1594" s="0" t="n">
        <v>209</v>
      </c>
      <c r="D1594" s="0" t="n">
        <v>1</v>
      </c>
      <c r="E1594" s="0" t="str">
        <f aca="false">INDEX(lot!$B$2:$B$1201,MATCH(B1594,lot!$A$2:$A$1201,0))</f>
        <v>SUP-D</v>
      </c>
      <c r="F1594" s="3" t="n">
        <f aca="false">YEAR(A1594)*100+MONTH(A1594)</f>
        <v>202605</v>
      </c>
    </row>
    <row r="1595" customFormat="false" ht="15" hidden="false" customHeight="false" outlineLevel="0" collapsed="false">
      <c r="A1595" s="2" t="n">
        <v>46155</v>
      </c>
      <c r="B1595" s="3" t="s">
        <v>156</v>
      </c>
      <c r="C1595" s="0" t="n">
        <v>187</v>
      </c>
      <c r="D1595" s="0" t="n">
        <v>5</v>
      </c>
      <c r="E1595" s="0" t="str">
        <f aca="false">INDEX(lot!$B$2:$B$1201,MATCH(B1595,lot!$A$2:$A$1201,0))</f>
        <v>SUP-C</v>
      </c>
      <c r="F1595" s="3" t="n">
        <f aca="false">YEAR(A1595)*100+MONTH(A1595)</f>
        <v>202605</v>
      </c>
    </row>
    <row r="1596" customFormat="false" ht="15" hidden="false" customHeight="false" outlineLevel="0" collapsed="false">
      <c r="A1596" s="2" t="n">
        <v>46155</v>
      </c>
      <c r="B1596" s="3" t="s">
        <v>156</v>
      </c>
      <c r="C1596" s="0" t="n">
        <v>74</v>
      </c>
      <c r="D1596" s="0" t="n">
        <v>1</v>
      </c>
      <c r="E1596" s="0" t="str">
        <f aca="false">INDEX(lot!$B$2:$B$1201,MATCH(B1596,lot!$A$2:$A$1201,0))</f>
        <v>SUP-C</v>
      </c>
      <c r="F1596" s="3" t="n">
        <f aca="false">YEAR(A1596)*100+MONTH(A1596)</f>
        <v>202605</v>
      </c>
    </row>
    <row r="1597" customFormat="false" ht="15" hidden="false" customHeight="false" outlineLevel="0" collapsed="false">
      <c r="A1597" s="2" t="n">
        <v>46155</v>
      </c>
      <c r="B1597" s="3" t="s">
        <v>201</v>
      </c>
      <c r="C1597" s="0" t="n">
        <v>96</v>
      </c>
      <c r="D1597" s="0" t="n">
        <v>3</v>
      </c>
      <c r="E1597" s="0" t="str">
        <f aca="false">INDEX(lot!$B$2:$B$1201,MATCH(B1597,lot!$A$2:$A$1201,0))</f>
        <v>SUP-E</v>
      </c>
      <c r="F1597" s="3" t="n">
        <f aca="false">YEAR(A1597)*100+MONTH(A1597)</f>
        <v>202605</v>
      </c>
    </row>
    <row r="1598" customFormat="false" ht="15" hidden="false" customHeight="false" outlineLevel="0" collapsed="false">
      <c r="A1598" s="2" t="n">
        <v>46155</v>
      </c>
      <c r="B1598" s="3" t="s">
        <v>201</v>
      </c>
      <c r="C1598" s="0" t="n">
        <v>120</v>
      </c>
      <c r="D1598" s="0" t="n">
        <v>14</v>
      </c>
      <c r="E1598" s="0" t="str">
        <f aca="false">INDEX(lot!$B$2:$B$1201,MATCH(B1598,lot!$A$2:$A$1201,0))</f>
        <v>SUP-E</v>
      </c>
      <c r="F1598" s="3" t="n">
        <f aca="false">YEAR(A1598)*100+MONTH(A1598)</f>
        <v>202605</v>
      </c>
    </row>
    <row r="1599" customFormat="false" ht="15" hidden="false" customHeight="false" outlineLevel="0" collapsed="false">
      <c r="A1599" s="2" t="n">
        <v>46155</v>
      </c>
      <c r="B1599" s="3" t="s">
        <v>259</v>
      </c>
      <c r="C1599" s="0" t="n">
        <v>74</v>
      </c>
      <c r="D1599" s="0" t="n">
        <v>0</v>
      </c>
      <c r="E1599" s="0" t="str">
        <f aca="false">INDEX(lot!$B$2:$B$1201,MATCH(B1599,lot!$A$2:$A$1201,0))</f>
        <v>SUP-D</v>
      </c>
      <c r="F1599" s="3" t="n">
        <f aca="false">YEAR(A1599)*100+MONTH(A1599)</f>
        <v>202605</v>
      </c>
    </row>
    <row r="1600" customFormat="false" ht="15" hidden="false" customHeight="false" outlineLevel="0" collapsed="false">
      <c r="A1600" s="2" t="n">
        <v>46155</v>
      </c>
      <c r="B1600" s="3" t="s">
        <v>299</v>
      </c>
      <c r="C1600" s="0" t="n">
        <v>148</v>
      </c>
      <c r="D1600" s="0" t="n">
        <v>3</v>
      </c>
      <c r="E1600" s="0" t="str">
        <f aca="false">INDEX(lot!$B$2:$B$1201,MATCH(B1600,lot!$A$2:$A$1201,0))</f>
        <v>SUP-E</v>
      </c>
      <c r="F1600" s="3" t="n">
        <f aca="false">YEAR(A1600)*100+MONTH(A1600)</f>
        <v>202605</v>
      </c>
    </row>
    <row r="1601" customFormat="false" ht="15" hidden="false" customHeight="false" outlineLevel="0" collapsed="false">
      <c r="A1601" s="2" t="n">
        <v>46155</v>
      </c>
      <c r="B1601" s="3" t="s">
        <v>299</v>
      </c>
      <c r="C1601" s="0" t="n">
        <v>194</v>
      </c>
      <c r="D1601" s="0" t="n">
        <v>1</v>
      </c>
      <c r="E1601" s="0" t="str">
        <f aca="false">INDEX(lot!$B$2:$B$1201,MATCH(B1601,lot!$A$2:$A$1201,0))</f>
        <v>SUP-E</v>
      </c>
      <c r="F1601" s="3" t="n">
        <f aca="false">YEAR(A1601)*100+MONTH(A1601)</f>
        <v>202605</v>
      </c>
    </row>
    <row r="1602" customFormat="false" ht="15" hidden="false" customHeight="false" outlineLevel="0" collapsed="false">
      <c r="A1602" s="2" t="n">
        <v>46155</v>
      </c>
      <c r="B1602" s="3" t="s">
        <v>358</v>
      </c>
      <c r="C1602" s="0" t="n">
        <v>142</v>
      </c>
      <c r="D1602" s="0" t="n">
        <v>1</v>
      </c>
      <c r="E1602" s="0" t="str">
        <f aca="false">INDEX(lot!$B$2:$B$1201,MATCH(B1602,lot!$A$2:$A$1201,0))</f>
        <v>SUP-D</v>
      </c>
      <c r="F1602" s="3" t="n">
        <f aca="false">YEAR(A1602)*100+MONTH(A1602)</f>
        <v>202605</v>
      </c>
    </row>
    <row r="1603" customFormat="false" ht="15" hidden="false" customHeight="false" outlineLevel="0" collapsed="false">
      <c r="A1603" s="2" t="n">
        <v>46155</v>
      </c>
      <c r="B1603" s="3" t="s">
        <v>358</v>
      </c>
      <c r="C1603" s="0" t="n">
        <v>222</v>
      </c>
      <c r="D1603" s="0" t="n">
        <v>4</v>
      </c>
      <c r="E1603" s="0" t="str">
        <f aca="false">INDEX(lot!$B$2:$B$1201,MATCH(B1603,lot!$A$2:$A$1201,0))</f>
        <v>SUP-D</v>
      </c>
      <c r="F1603" s="3" t="n">
        <f aca="false">YEAR(A1603)*100+MONTH(A1603)</f>
        <v>202605</v>
      </c>
    </row>
    <row r="1604" customFormat="false" ht="15" hidden="false" customHeight="false" outlineLevel="0" collapsed="false">
      <c r="A1604" s="2" t="n">
        <v>46155</v>
      </c>
      <c r="B1604" s="3" t="s">
        <v>362</v>
      </c>
      <c r="C1604" s="0" t="n">
        <v>81</v>
      </c>
      <c r="D1604" s="0" t="n">
        <v>0</v>
      </c>
      <c r="E1604" s="0" t="str">
        <f aca="false">INDEX(lot!$B$2:$B$1201,MATCH(B1604,lot!$A$2:$A$1201,0))</f>
        <v>SUP-E</v>
      </c>
      <c r="F1604" s="3" t="n">
        <f aca="false">YEAR(A1604)*100+MONTH(A1604)</f>
        <v>202605</v>
      </c>
    </row>
    <row r="1605" customFormat="false" ht="15" hidden="false" customHeight="false" outlineLevel="0" collapsed="false">
      <c r="A1605" s="2" t="n">
        <v>46155</v>
      </c>
      <c r="B1605" s="3" t="s">
        <v>412</v>
      </c>
      <c r="C1605" s="0" t="n">
        <v>203</v>
      </c>
      <c r="D1605" s="0" t="n">
        <v>0</v>
      </c>
      <c r="E1605" s="0" t="str">
        <f aca="false">INDEX(lot!$B$2:$B$1201,MATCH(B1605,lot!$A$2:$A$1201,0))</f>
        <v>SUP-A</v>
      </c>
      <c r="F1605" s="3" t="n">
        <f aca="false">YEAR(A1605)*100+MONTH(A1605)</f>
        <v>202605</v>
      </c>
    </row>
    <row r="1606" customFormat="false" ht="15" hidden="false" customHeight="false" outlineLevel="0" collapsed="false">
      <c r="A1606" s="2" t="n">
        <v>46155</v>
      </c>
      <c r="B1606" s="3" t="s">
        <v>435</v>
      </c>
      <c r="C1606" s="0" t="n">
        <v>170</v>
      </c>
      <c r="D1606" s="0" t="n">
        <v>2</v>
      </c>
      <c r="E1606" s="0" t="str">
        <f aca="false">INDEX(lot!$B$2:$B$1201,MATCH(B1606,lot!$A$2:$A$1201,0))</f>
        <v>SUP-E</v>
      </c>
      <c r="F1606" s="3" t="n">
        <f aca="false">YEAR(A1606)*100+MONTH(A1606)</f>
        <v>202605</v>
      </c>
    </row>
    <row r="1607" customFormat="false" ht="15" hidden="false" customHeight="false" outlineLevel="0" collapsed="false">
      <c r="A1607" s="2" t="n">
        <v>46155</v>
      </c>
      <c r="B1607" s="3" t="s">
        <v>465</v>
      </c>
      <c r="C1607" s="0" t="n">
        <v>167</v>
      </c>
      <c r="D1607" s="0" t="n">
        <v>5</v>
      </c>
      <c r="E1607" s="0" t="str">
        <f aca="false">INDEX(lot!$B$2:$B$1201,MATCH(B1607,lot!$A$2:$A$1201,0))</f>
        <v>SUP-C</v>
      </c>
      <c r="F1607" s="3" t="n">
        <f aca="false">YEAR(A1607)*100+MONTH(A1607)</f>
        <v>202605</v>
      </c>
    </row>
    <row r="1608" customFormat="false" ht="15" hidden="false" customHeight="false" outlineLevel="0" collapsed="false">
      <c r="A1608" s="2" t="n">
        <v>46155</v>
      </c>
      <c r="B1608" s="3" t="s">
        <v>492</v>
      </c>
      <c r="C1608" s="0" t="n">
        <v>171</v>
      </c>
      <c r="D1608" s="0" t="n">
        <v>1</v>
      </c>
      <c r="E1608" s="0" t="str">
        <f aca="false">INDEX(lot!$B$2:$B$1201,MATCH(B1608,lot!$A$2:$A$1201,0))</f>
        <v>SUP-D</v>
      </c>
      <c r="F1608" s="3" t="n">
        <f aca="false">YEAR(A1608)*100+MONTH(A1608)</f>
        <v>202605</v>
      </c>
    </row>
    <row r="1609" customFormat="false" ht="15" hidden="false" customHeight="false" outlineLevel="0" collapsed="false">
      <c r="A1609" s="2" t="n">
        <v>46155</v>
      </c>
      <c r="B1609" s="3" t="s">
        <v>538</v>
      </c>
      <c r="C1609" s="0" t="n">
        <v>206</v>
      </c>
      <c r="D1609" s="0" t="n">
        <v>6</v>
      </c>
      <c r="E1609" s="0" t="str">
        <f aca="false">INDEX(lot!$B$2:$B$1201,MATCH(B1609,lot!$A$2:$A$1201,0))</f>
        <v>SUP-E</v>
      </c>
      <c r="F1609" s="3" t="n">
        <f aca="false">YEAR(A1609)*100+MONTH(A1609)</f>
        <v>202605</v>
      </c>
    </row>
    <row r="1610" customFormat="false" ht="15" hidden="false" customHeight="false" outlineLevel="0" collapsed="false">
      <c r="A1610" s="2" t="n">
        <v>46155</v>
      </c>
      <c r="B1610" s="3" t="s">
        <v>548</v>
      </c>
      <c r="C1610" s="0" t="n">
        <v>122</v>
      </c>
      <c r="D1610" s="0" t="n">
        <v>1</v>
      </c>
      <c r="E1610" s="0" t="str">
        <f aca="false">INDEX(lot!$B$2:$B$1201,MATCH(B1610,lot!$A$2:$A$1201,0))</f>
        <v>SUP-A</v>
      </c>
      <c r="F1610" s="3" t="n">
        <f aca="false">YEAR(A1610)*100+MONTH(A1610)</f>
        <v>202605</v>
      </c>
    </row>
    <row r="1611" customFormat="false" ht="15" hidden="false" customHeight="false" outlineLevel="0" collapsed="false">
      <c r="A1611" s="2" t="n">
        <v>46155</v>
      </c>
      <c r="B1611" s="3" t="s">
        <v>548</v>
      </c>
      <c r="C1611" s="0" t="n">
        <v>56</v>
      </c>
      <c r="D1611" s="0" t="n">
        <v>0</v>
      </c>
      <c r="E1611" s="0" t="str">
        <f aca="false">INDEX(lot!$B$2:$B$1201,MATCH(B1611,lot!$A$2:$A$1201,0))</f>
        <v>SUP-A</v>
      </c>
      <c r="F1611" s="3" t="n">
        <f aca="false">YEAR(A1611)*100+MONTH(A1611)</f>
        <v>202605</v>
      </c>
    </row>
    <row r="1612" customFormat="false" ht="15" hidden="false" customHeight="false" outlineLevel="0" collapsed="false">
      <c r="A1612" s="2" t="n">
        <v>46155</v>
      </c>
      <c r="B1612" s="3" t="s">
        <v>597</v>
      </c>
      <c r="C1612" s="0" t="n">
        <v>99</v>
      </c>
      <c r="D1612" s="0" t="n">
        <v>1</v>
      </c>
      <c r="E1612" s="0" t="str">
        <f aca="false">INDEX(lot!$B$2:$B$1201,MATCH(B1612,lot!$A$2:$A$1201,0))</f>
        <v>SUP-E</v>
      </c>
      <c r="F1612" s="3" t="n">
        <f aca="false">YEAR(A1612)*100+MONTH(A1612)</f>
        <v>202605</v>
      </c>
    </row>
    <row r="1613" customFormat="false" ht="15" hidden="false" customHeight="false" outlineLevel="0" collapsed="false">
      <c r="A1613" s="2" t="n">
        <v>46155</v>
      </c>
      <c r="B1613" s="3" t="s">
        <v>597</v>
      </c>
      <c r="C1613" s="0" t="n">
        <v>127</v>
      </c>
      <c r="D1613" s="0" t="n">
        <v>0</v>
      </c>
      <c r="E1613" s="0" t="str">
        <f aca="false">INDEX(lot!$B$2:$B$1201,MATCH(B1613,lot!$A$2:$A$1201,0))</f>
        <v>SUP-E</v>
      </c>
      <c r="F1613" s="3" t="n">
        <f aca="false">YEAR(A1613)*100+MONTH(A1613)</f>
        <v>202605</v>
      </c>
    </row>
    <row r="1614" customFormat="false" ht="15" hidden="false" customHeight="false" outlineLevel="0" collapsed="false">
      <c r="A1614" s="2" t="n">
        <v>46155</v>
      </c>
      <c r="B1614" s="3" t="s">
        <v>666</v>
      </c>
      <c r="C1614" s="0" t="n">
        <v>231</v>
      </c>
      <c r="D1614" s="0" t="n">
        <v>4</v>
      </c>
      <c r="E1614" s="0" t="str">
        <f aca="false">INDEX(lot!$B$2:$B$1201,MATCH(B1614,lot!$A$2:$A$1201,0))</f>
        <v>SUP-D</v>
      </c>
      <c r="F1614" s="3" t="n">
        <f aca="false">YEAR(A1614)*100+MONTH(A1614)</f>
        <v>202605</v>
      </c>
    </row>
    <row r="1615" customFormat="false" ht="15" hidden="false" customHeight="false" outlineLevel="0" collapsed="false">
      <c r="A1615" s="2" t="n">
        <v>46155</v>
      </c>
      <c r="B1615" s="3" t="s">
        <v>666</v>
      </c>
      <c r="C1615" s="0" t="n">
        <v>223</v>
      </c>
      <c r="D1615" s="0" t="n">
        <v>1</v>
      </c>
      <c r="E1615" s="0" t="str">
        <f aca="false">INDEX(lot!$B$2:$B$1201,MATCH(B1615,lot!$A$2:$A$1201,0))</f>
        <v>SUP-D</v>
      </c>
      <c r="F1615" s="3" t="n">
        <f aca="false">YEAR(A1615)*100+MONTH(A1615)</f>
        <v>202605</v>
      </c>
    </row>
    <row r="1616" customFormat="false" ht="15" hidden="false" customHeight="false" outlineLevel="0" collapsed="false">
      <c r="A1616" s="2" t="n">
        <v>46155</v>
      </c>
      <c r="B1616" s="3" t="s">
        <v>762</v>
      </c>
      <c r="C1616" s="0" t="n">
        <v>183</v>
      </c>
      <c r="D1616" s="0" t="n">
        <v>1</v>
      </c>
      <c r="E1616" s="0" t="str">
        <f aca="false">INDEX(lot!$B$2:$B$1201,MATCH(B1616,lot!$A$2:$A$1201,0))</f>
        <v>SUP-D</v>
      </c>
      <c r="F1616" s="3" t="n">
        <f aca="false">YEAR(A1616)*100+MONTH(A1616)</f>
        <v>202605</v>
      </c>
    </row>
    <row r="1617" customFormat="false" ht="15" hidden="false" customHeight="false" outlineLevel="0" collapsed="false">
      <c r="A1617" s="2" t="n">
        <v>46155</v>
      </c>
      <c r="B1617" s="3" t="s">
        <v>893</v>
      </c>
      <c r="C1617" s="0" t="n">
        <v>223</v>
      </c>
      <c r="D1617" s="0" t="n">
        <v>3</v>
      </c>
      <c r="E1617" s="0" t="str">
        <f aca="false">INDEX(lot!$B$2:$B$1201,MATCH(B1617,lot!$A$2:$A$1201,0))</f>
        <v>SUP-C</v>
      </c>
      <c r="F1617" s="3" t="n">
        <f aca="false">YEAR(A1617)*100+MONTH(A1617)</f>
        <v>202605</v>
      </c>
    </row>
    <row r="1618" customFormat="false" ht="15" hidden="false" customHeight="false" outlineLevel="0" collapsed="false">
      <c r="A1618" s="2" t="n">
        <v>46155</v>
      </c>
      <c r="B1618" s="3" t="s">
        <v>893</v>
      </c>
      <c r="C1618" s="0" t="n">
        <v>130</v>
      </c>
      <c r="D1618" s="0" t="n">
        <v>3</v>
      </c>
      <c r="E1618" s="0" t="str">
        <f aca="false">INDEX(lot!$B$2:$B$1201,MATCH(B1618,lot!$A$2:$A$1201,0))</f>
        <v>SUP-C</v>
      </c>
      <c r="F1618" s="3" t="n">
        <f aca="false">YEAR(A1618)*100+MONTH(A1618)</f>
        <v>202605</v>
      </c>
    </row>
    <row r="1619" customFormat="false" ht="15" hidden="false" customHeight="false" outlineLevel="0" collapsed="false">
      <c r="A1619" s="2" t="n">
        <v>46155</v>
      </c>
      <c r="B1619" s="3" t="s">
        <v>981</v>
      </c>
      <c r="C1619" s="0" t="n">
        <v>105</v>
      </c>
      <c r="D1619" s="0" t="n">
        <v>4</v>
      </c>
      <c r="E1619" s="0" t="str">
        <f aca="false">INDEX(lot!$B$2:$B$1201,MATCH(B1619,lot!$A$2:$A$1201,0))</f>
        <v>SUP-C</v>
      </c>
      <c r="F1619" s="3" t="n">
        <f aca="false">YEAR(A1619)*100+MONTH(A1619)</f>
        <v>202605</v>
      </c>
    </row>
    <row r="1620" customFormat="false" ht="15" hidden="false" customHeight="false" outlineLevel="0" collapsed="false">
      <c r="A1620" s="2" t="n">
        <v>46155</v>
      </c>
      <c r="B1620" s="3" t="s">
        <v>1128</v>
      </c>
      <c r="C1620" s="0" t="n">
        <v>112</v>
      </c>
      <c r="D1620" s="0" t="n">
        <v>0</v>
      </c>
      <c r="E1620" s="0" t="str">
        <f aca="false">INDEX(lot!$B$2:$B$1201,MATCH(B1620,lot!$A$2:$A$1201,0))</f>
        <v>SUP-E</v>
      </c>
      <c r="F1620" s="3" t="n">
        <f aca="false">YEAR(A1620)*100+MONTH(A1620)</f>
        <v>202605</v>
      </c>
    </row>
    <row r="1621" customFormat="false" ht="15" hidden="false" customHeight="false" outlineLevel="0" collapsed="false">
      <c r="A1621" s="2" t="n">
        <v>46155</v>
      </c>
      <c r="B1621" s="3" t="s">
        <v>1128</v>
      </c>
      <c r="C1621" s="0" t="n">
        <v>225</v>
      </c>
      <c r="D1621" s="0" t="n">
        <v>4</v>
      </c>
      <c r="E1621" s="0" t="str">
        <f aca="false">INDEX(lot!$B$2:$B$1201,MATCH(B1621,lot!$A$2:$A$1201,0))</f>
        <v>SUP-E</v>
      </c>
      <c r="F1621" s="3" t="n">
        <f aca="false">YEAR(A1621)*100+MONTH(A1621)</f>
        <v>202605</v>
      </c>
    </row>
    <row r="1622" customFormat="false" ht="15" hidden="false" customHeight="false" outlineLevel="0" collapsed="false">
      <c r="A1622" s="2" t="n">
        <v>46155</v>
      </c>
      <c r="B1622" s="3" t="s">
        <v>1154</v>
      </c>
      <c r="C1622" s="0" t="n">
        <v>197</v>
      </c>
      <c r="D1622" s="0" t="n">
        <v>4</v>
      </c>
      <c r="E1622" s="0" t="str">
        <f aca="false">INDEX(lot!$B$2:$B$1201,MATCH(B1622,lot!$A$2:$A$1201,0))</f>
        <v>SUP-D</v>
      </c>
      <c r="F1622" s="3" t="n">
        <f aca="false">YEAR(A1622)*100+MONTH(A1622)</f>
        <v>202605</v>
      </c>
    </row>
    <row r="1623" customFormat="false" ht="15" hidden="false" customHeight="false" outlineLevel="0" collapsed="false">
      <c r="A1623" s="2" t="n">
        <v>46155</v>
      </c>
      <c r="B1623" s="3" t="s">
        <v>1154</v>
      </c>
      <c r="C1623" s="0" t="n">
        <v>172</v>
      </c>
      <c r="D1623" s="0" t="n">
        <v>3</v>
      </c>
      <c r="E1623" s="0" t="str">
        <f aca="false">INDEX(lot!$B$2:$B$1201,MATCH(B1623,lot!$A$2:$A$1201,0))</f>
        <v>SUP-D</v>
      </c>
      <c r="F1623" s="3" t="n">
        <f aca="false">YEAR(A1623)*100+MONTH(A1623)</f>
        <v>202605</v>
      </c>
    </row>
    <row r="1624" customFormat="false" ht="15" hidden="false" customHeight="false" outlineLevel="0" collapsed="false">
      <c r="A1624" s="2" t="n">
        <v>46155</v>
      </c>
      <c r="B1624" s="3" t="s">
        <v>1203</v>
      </c>
      <c r="C1624" s="0" t="n">
        <v>117</v>
      </c>
      <c r="D1624" s="0" t="n">
        <v>1</v>
      </c>
      <c r="E1624" s="0" t="str">
        <f aca="false">INDEX(lot!$B$2:$B$1201,MATCH(B1624,lot!$A$2:$A$1201,0))</f>
        <v>SUP-E</v>
      </c>
      <c r="F1624" s="3" t="n">
        <f aca="false">YEAR(A1624)*100+MONTH(A1624)</f>
        <v>202605</v>
      </c>
    </row>
    <row r="1625" customFormat="false" ht="15" hidden="false" customHeight="false" outlineLevel="0" collapsed="false">
      <c r="A1625" s="2" t="n">
        <v>46155</v>
      </c>
      <c r="B1625" s="3" t="s">
        <v>1203</v>
      </c>
      <c r="C1625" s="0" t="n">
        <v>165</v>
      </c>
      <c r="D1625" s="0" t="n">
        <v>1</v>
      </c>
      <c r="E1625" s="0" t="str">
        <f aca="false">INDEX(lot!$B$2:$B$1201,MATCH(B1625,lot!$A$2:$A$1201,0))</f>
        <v>SUP-E</v>
      </c>
      <c r="F1625" s="3" t="n">
        <f aca="false">YEAR(A1625)*100+MONTH(A1625)</f>
        <v>202605</v>
      </c>
    </row>
    <row r="1626" customFormat="false" ht="15" hidden="false" customHeight="false" outlineLevel="0" collapsed="false">
      <c r="A1626" s="2" t="n">
        <v>46156</v>
      </c>
      <c r="B1626" s="3" t="s">
        <v>28</v>
      </c>
      <c r="C1626" s="0" t="n">
        <v>146</v>
      </c>
      <c r="D1626" s="0" t="n">
        <v>1</v>
      </c>
      <c r="E1626" s="0" t="str">
        <f aca="false">INDEX(lot!$B$2:$B$1201,MATCH(B1626,lot!$A$2:$A$1201,0))</f>
        <v>SUP-E</v>
      </c>
      <c r="F1626" s="3" t="n">
        <f aca="false">YEAR(A1626)*100+MONTH(A1626)</f>
        <v>202605</v>
      </c>
    </row>
    <row r="1627" customFormat="false" ht="15" hidden="false" customHeight="false" outlineLevel="0" collapsed="false">
      <c r="A1627" s="2" t="n">
        <v>46156</v>
      </c>
      <c r="B1627" s="3" t="s">
        <v>28</v>
      </c>
      <c r="C1627" s="0" t="n">
        <v>147</v>
      </c>
      <c r="D1627" s="0" t="n">
        <v>1</v>
      </c>
      <c r="E1627" s="0" t="str">
        <f aca="false">INDEX(lot!$B$2:$B$1201,MATCH(B1627,lot!$A$2:$A$1201,0))</f>
        <v>SUP-E</v>
      </c>
      <c r="F1627" s="3" t="n">
        <f aca="false">YEAR(A1627)*100+MONTH(A1627)</f>
        <v>202605</v>
      </c>
    </row>
    <row r="1628" customFormat="false" ht="15" hidden="false" customHeight="false" outlineLevel="0" collapsed="false">
      <c r="A1628" s="2" t="n">
        <v>46156</v>
      </c>
      <c r="B1628" s="3" t="s">
        <v>156</v>
      </c>
      <c r="C1628" s="0" t="n">
        <v>198</v>
      </c>
      <c r="D1628" s="0" t="n">
        <v>7</v>
      </c>
      <c r="E1628" s="0" t="str">
        <f aca="false">INDEX(lot!$B$2:$B$1201,MATCH(B1628,lot!$A$2:$A$1201,0))</f>
        <v>SUP-C</v>
      </c>
      <c r="F1628" s="3" t="n">
        <f aca="false">YEAR(A1628)*100+MONTH(A1628)</f>
        <v>202605</v>
      </c>
    </row>
    <row r="1629" customFormat="false" ht="15" hidden="false" customHeight="false" outlineLevel="0" collapsed="false">
      <c r="A1629" s="2" t="n">
        <v>46156</v>
      </c>
      <c r="B1629" s="3" t="s">
        <v>156</v>
      </c>
      <c r="C1629" s="0" t="n">
        <v>64</v>
      </c>
      <c r="D1629" s="0" t="n">
        <v>1</v>
      </c>
      <c r="E1629" s="0" t="str">
        <f aca="false">INDEX(lot!$B$2:$B$1201,MATCH(B1629,lot!$A$2:$A$1201,0))</f>
        <v>SUP-C</v>
      </c>
      <c r="F1629" s="3" t="n">
        <f aca="false">YEAR(A1629)*100+MONTH(A1629)</f>
        <v>202605</v>
      </c>
    </row>
    <row r="1630" customFormat="false" ht="15" hidden="false" customHeight="false" outlineLevel="0" collapsed="false">
      <c r="A1630" s="2" t="n">
        <v>46156</v>
      </c>
      <c r="B1630" s="3" t="s">
        <v>191</v>
      </c>
      <c r="C1630" s="0" t="n">
        <v>234</v>
      </c>
      <c r="D1630" s="0" t="n">
        <v>1</v>
      </c>
      <c r="E1630" s="0" t="str">
        <f aca="false">INDEX(lot!$B$2:$B$1201,MATCH(B1630,lot!$A$2:$A$1201,0))</f>
        <v>SUP-D</v>
      </c>
      <c r="F1630" s="3" t="n">
        <f aca="false">YEAR(A1630)*100+MONTH(A1630)</f>
        <v>202605</v>
      </c>
    </row>
    <row r="1631" customFormat="false" ht="15" hidden="false" customHeight="false" outlineLevel="0" collapsed="false">
      <c r="A1631" s="2" t="n">
        <v>46156</v>
      </c>
      <c r="B1631" s="3" t="s">
        <v>291</v>
      </c>
      <c r="C1631" s="0" t="n">
        <v>181</v>
      </c>
      <c r="D1631" s="0" t="n">
        <v>1</v>
      </c>
      <c r="E1631" s="0" t="str">
        <f aca="false">INDEX(lot!$B$2:$B$1201,MATCH(B1631,lot!$A$2:$A$1201,0))</f>
        <v>SUP-E</v>
      </c>
      <c r="F1631" s="3" t="n">
        <f aca="false">YEAR(A1631)*100+MONTH(A1631)</f>
        <v>202605</v>
      </c>
    </row>
    <row r="1632" customFormat="false" ht="15" hidden="false" customHeight="false" outlineLevel="0" collapsed="false">
      <c r="A1632" s="2" t="n">
        <v>46156</v>
      </c>
      <c r="B1632" s="3" t="s">
        <v>358</v>
      </c>
      <c r="C1632" s="0" t="n">
        <v>188</v>
      </c>
      <c r="D1632" s="0" t="n">
        <v>1</v>
      </c>
      <c r="E1632" s="0" t="str">
        <f aca="false">INDEX(lot!$B$2:$B$1201,MATCH(B1632,lot!$A$2:$A$1201,0))</f>
        <v>SUP-D</v>
      </c>
      <c r="F1632" s="3" t="n">
        <f aca="false">YEAR(A1632)*100+MONTH(A1632)</f>
        <v>202605</v>
      </c>
    </row>
    <row r="1633" customFormat="false" ht="15" hidden="false" customHeight="false" outlineLevel="0" collapsed="false">
      <c r="A1633" s="2" t="n">
        <v>46156</v>
      </c>
      <c r="B1633" s="3" t="s">
        <v>412</v>
      </c>
      <c r="C1633" s="0" t="n">
        <v>146</v>
      </c>
      <c r="D1633" s="0" t="n">
        <v>0</v>
      </c>
      <c r="E1633" s="0" t="str">
        <f aca="false">INDEX(lot!$B$2:$B$1201,MATCH(B1633,lot!$A$2:$A$1201,0))</f>
        <v>SUP-A</v>
      </c>
      <c r="F1633" s="3" t="n">
        <f aca="false">YEAR(A1633)*100+MONTH(A1633)</f>
        <v>202605</v>
      </c>
    </row>
    <row r="1634" customFormat="false" ht="15" hidden="false" customHeight="false" outlineLevel="0" collapsed="false">
      <c r="A1634" s="2" t="n">
        <v>46156</v>
      </c>
      <c r="B1634" s="3" t="s">
        <v>429</v>
      </c>
      <c r="C1634" s="0" t="n">
        <v>142</v>
      </c>
      <c r="D1634" s="0" t="n">
        <v>2</v>
      </c>
      <c r="E1634" s="0" t="str">
        <f aca="false">INDEX(lot!$B$2:$B$1201,MATCH(B1634,lot!$A$2:$A$1201,0))</f>
        <v>SUP-A</v>
      </c>
      <c r="F1634" s="3" t="n">
        <f aca="false">YEAR(A1634)*100+MONTH(A1634)</f>
        <v>202605</v>
      </c>
    </row>
    <row r="1635" customFormat="false" ht="15" hidden="false" customHeight="false" outlineLevel="0" collapsed="false">
      <c r="A1635" s="2" t="n">
        <v>46156</v>
      </c>
      <c r="B1635" s="3" t="s">
        <v>429</v>
      </c>
      <c r="C1635" s="0" t="n">
        <v>84</v>
      </c>
      <c r="D1635" s="0" t="n">
        <v>2</v>
      </c>
      <c r="E1635" s="0" t="str">
        <f aca="false">INDEX(lot!$B$2:$B$1201,MATCH(B1635,lot!$A$2:$A$1201,0))</f>
        <v>SUP-A</v>
      </c>
      <c r="F1635" s="3" t="n">
        <f aca="false">YEAR(A1635)*100+MONTH(A1635)</f>
        <v>202605</v>
      </c>
    </row>
    <row r="1636" customFormat="false" ht="15" hidden="false" customHeight="false" outlineLevel="0" collapsed="false">
      <c r="A1636" s="2" t="n">
        <v>46156</v>
      </c>
      <c r="B1636" s="3" t="s">
        <v>457</v>
      </c>
      <c r="C1636" s="0" t="n">
        <v>176</v>
      </c>
      <c r="D1636" s="0" t="n">
        <v>3</v>
      </c>
      <c r="E1636" s="0" t="str">
        <f aca="false">INDEX(lot!$B$2:$B$1201,MATCH(B1636,lot!$A$2:$A$1201,0))</f>
        <v>SUP-A</v>
      </c>
      <c r="F1636" s="3" t="n">
        <f aca="false">YEAR(A1636)*100+MONTH(A1636)</f>
        <v>202605</v>
      </c>
    </row>
    <row r="1637" customFormat="false" ht="15" hidden="false" customHeight="false" outlineLevel="0" collapsed="false">
      <c r="A1637" s="2" t="n">
        <v>46156</v>
      </c>
      <c r="B1637" s="3" t="s">
        <v>597</v>
      </c>
      <c r="C1637" s="0" t="n">
        <v>152</v>
      </c>
      <c r="D1637" s="0" t="n">
        <v>1</v>
      </c>
      <c r="E1637" s="0" t="str">
        <f aca="false">INDEX(lot!$B$2:$B$1201,MATCH(B1637,lot!$A$2:$A$1201,0))</f>
        <v>SUP-E</v>
      </c>
      <c r="F1637" s="3" t="n">
        <f aca="false">YEAR(A1637)*100+MONTH(A1637)</f>
        <v>202605</v>
      </c>
    </row>
    <row r="1638" customFormat="false" ht="15" hidden="false" customHeight="false" outlineLevel="0" collapsed="false">
      <c r="A1638" s="2" t="n">
        <v>46156</v>
      </c>
      <c r="B1638" s="3" t="s">
        <v>666</v>
      </c>
      <c r="C1638" s="0" t="n">
        <v>173</v>
      </c>
      <c r="D1638" s="0" t="n">
        <v>3</v>
      </c>
      <c r="E1638" s="0" t="str">
        <f aca="false">INDEX(lot!$B$2:$B$1201,MATCH(B1638,lot!$A$2:$A$1201,0))</f>
        <v>SUP-D</v>
      </c>
      <c r="F1638" s="3" t="n">
        <f aca="false">YEAR(A1638)*100+MONTH(A1638)</f>
        <v>202605</v>
      </c>
    </row>
    <row r="1639" customFormat="false" ht="15" hidden="false" customHeight="false" outlineLevel="0" collapsed="false">
      <c r="A1639" s="2" t="n">
        <v>46156</v>
      </c>
      <c r="B1639" s="3" t="s">
        <v>666</v>
      </c>
      <c r="C1639" s="0" t="n">
        <v>153</v>
      </c>
      <c r="D1639" s="0" t="n">
        <v>0</v>
      </c>
      <c r="E1639" s="0" t="str">
        <f aca="false">INDEX(lot!$B$2:$B$1201,MATCH(B1639,lot!$A$2:$A$1201,0))</f>
        <v>SUP-D</v>
      </c>
      <c r="F1639" s="3" t="n">
        <f aca="false">YEAR(A1639)*100+MONTH(A1639)</f>
        <v>202605</v>
      </c>
    </row>
    <row r="1640" customFormat="false" ht="15" hidden="false" customHeight="false" outlineLevel="0" collapsed="false">
      <c r="A1640" s="2" t="n">
        <v>46156</v>
      </c>
      <c r="B1640" s="3" t="s">
        <v>810</v>
      </c>
      <c r="C1640" s="0" t="n">
        <v>137</v>
      </c>
      <c r="D1640" s="0" t="n">
        <v>1</v>
      </c>
      <c r="E1640" s="0" t="str">
        <f aca="false">INDEX(lot!$B$2:$B$1201,MATCH(B1640,lot!$A$2:$A$1201,0))</f>
        <v>SUP-B</v>
      </c>
      <c r="F1640" s="3" t="n">
        <f aca="false">YEAR(A1640)*100+MONTH(A1640)</f>
        <v>202605</v>
      </c>
    </row>
    <row r="1641" customFormat="false" ht="15" hidden="false" customHeight="false" outlineLevel="0" collapsed="false">
      <c r="A1641" s="2" t="n">
        <v>46156</v>
      </c>
      <c r="B1641" s="3" t="s">
        <v>810</v>
      </c>
      <c r="C1641" s="0" t="n">
        <v>102</v>
      </c>
      <c r="D1641" s="0" t="n">
        <v>2</v>
      </c>
      <c r="E1641" s="0" t="str">
        <f aca="false">INDEX(lot!$B$2:$B$1201,MATCH(B1641,lot!$A$2:$A$1201,0))</f>
        <v>SUP-B</v>
      </c>
      <c r="F1641" s="3" t="n">
        <f aca="false">YEAR(A1641)*100+MONTH(A1641)</f>
        <v>202605</v>
      </c>
    </row>
    <row r="1642" customFormat="false" ht="15" hidden="false" customHeight="false" outlineLevel="0" collapsed="false">
      <c r="A1642" s="2" t="n">
        <v>46156</v>
      </c>
      <c r="B1642" s="3" t="s">
        <v>880</v>
      </c>
      <c r="C1642" s="0" t="n">
        <v>71</v>
      </c>
      <c r="D1642" s="0" t="n">
        <v>0</v>
      </c>
      <c r="E1642" s="0" t="str">
        <f aca="false">INDEX(lot!$B$2:$B$1201,MATCH(B1642,lot!$A$2:$A$1201,0))</f>
        <v>SUP-D</v>
      </c>
      <c r="F1642" s="3" t="n">
        <f aca="false">YEAR(A1642)*100+MONTH(A1642)</f>
        <v>202605</v>
      </c>
    </row>
    <row r="1643" customFormat="false" ht="15" hidden="false" customHeight="false" outlineLevel="0" collapsed="false">
      <c r="A1643" s="2" t="n">
        <v>46156</v>
      </c>
      <c r="B1643" s="3" t="s">
        <v>893</v>
      </c>
      <c r="C1643" s="0" t="n">
        <v>138</v>
      </c>
      <c r="D1643" s="0" t="n">
        <v>6</v>
      </c>
      <c r="E1643" s="0" t="str">
        <f aca="false">INDEX(lot!$B$2:$B$1201,MATCH(B1643,lot!$A$2:$A$1201,0))</f>
        <v>SUP-C</v>
      </c>
      <c r="F1643" s="3" t="n">
        <f aca="false">YEAR(A1643)*100+MONTH(A1643)</f>
        <v>202605</v>
      </c>
    </row>
    <row r="1644" customFormat="false" ht="15" hidden="false" customHeight="false" outlineLevel="0" collapsed="false">
      <c r="A1644" s="2" t="n">
        <v>46156</v>
      </c>
      <c r="B1644" s="3" t="s">
        <v>1045</v>
      </c>
      <c r="C1644" s="0" t="n">
        <v>231</v>
      </c>
      <c r="D1644" s="0" t="n">
        <v>1</v>
      </c>
      <c r="E1644" s="0" t="str">
        <f aca="false">INDEX(lot!$B$2:$B$1201,MATCH(B1644,lot!$A$2:$A$1201,0))</f>
        <v>SUP-A</v>
      </c>
      <c r="F1644" s="3" t="n">
        <f aca="false">YEAR(A1644)*100+MONTH(A1644)</f>
        <v>202605</v>
      </c>
    </row>
    <row r="1645" customFormat="false" ht="15" hidden="false" customHeight="false" outlineLevel="0" collapsed="false">
      <c r="A1645" s="2" t="n">
        <v>46156</v>
      </c>
      <c r="B1645" s="3" t="s">
        <v>1045</v>
      </c>
      <c r="C1645" s="0" t="n">
        <v>148</v>
      </c>
      <c r="D1645" s="0" t="n">
        <v>3</v>
      </c>
      <c r="E1645" s="0" t="str">
        <f aca="false">INDEX(lot!$B$2:$B$1201,MATCH(B1645,lot!$A$2:$A$1201,0))</f>
        <v>SUP-A</v>
      </c>
      <c r="F1645" s="3" t="n">
        <f aca="false">YEAR(A1645)*100+MONTH(A1645)</f>
        <v>202605</v>
      </c>
    </row>
    <row r="1646" customFormat="false" ht="15" hidden="false" customHeight="false" outlineLevel="0" collapsed="false">
      <c r="A1646" s="2" t="n">
        <v>46156</v>
      </c>
      <c r="B1646" s="3" t="s">
        <v>1128</v>
      </c>
      <c r="C1646" s="0" t="n">
        <v>163</v>
      </c>
      <c r="D1646" s="0" t="n">
        <v>1</v>
      </c>
      <c r="E1646" s="0" t="str">
        <f aca="false">INDEX(lot!$B$2:$B$1201,MATCH(B1646,lot!$A$2:$A$1201,0))</f>
        <v>SUP-E</v>
      </c>
      <c r="F1646" s="3" t="n">
        <f aca="false">YEAR(A1646)*100+MONTH(A1646)</f>
        <v>202605</v>
      </c>
    </row>
    <row r="1647" customFormat="false" ht="15" hidden="false" customHeight="false" outlineLevel="0" collapsed="false">
      <c r="A1647" s="2" t="n">
        <v>46156</v>
      </c>
      <c r="B1647" s="3" t="s">
        <v>1128</v>
      </c>
      <c r="C1647" s="0" t="n">
        <v>88</v>
      </c>
      <c r="D1647" s="0" t="n">
        <v>0</v>
      </c>
      <c r="E1647" s="0" t="str">
        <f aca="false">INDEX(lot!$B$2:$B$1201,MATCH(B1647,lot!$A$2:$A$1201,0))</f>
        <v>SUP-E</v>
      </c>
      <c r="F1647" s="3" t="n">
        <f aca="false">YEAR(A1647)*100+MONTH(A1647)</f>
        <v>202605</v>
      </c>
    </row>
    <row r="1648" customFormat="false" ht="15" hidden="false" customHeight="false" outlineLevel="0" collapsed="false">
      <c r="A1648" s="2" t="n">
        <v>46156</v>
      </c>
      <c r="B1648" s="3" t="s">
        <v>1154</v>
      </c>
      <c r="C1648" s="0" t="n">
        <v>227</v>
      </c>
      <c r="D1648" s="0" t="n">
        <v>2</v>
      </c>
      <c r="E1648" s="0" t="str">
        <f aca="false">INDEX(lot!$B$2:$B$1201,MATCH(B1648,lot!$A$2:$A$1201,0))</f>
        <v>SUP-D</v>
      </c>
      <c r="F1648" s="3" t="n">
        <f aca="false">YEAR(A1648)*100+MONTH(A1648)</f>
        <v>202605</v>
      </c>
    </row>
    <row r="1649" customFormat="false" ht="15" hidden="false" customHeight="false" outlineLevel="0" collapsed="false">
      <c r="A1649" s="2" t="n">
        <v>46156</v>
      </c>
      <c r="B1649" s="3" t="s">
        <v>1154</v>
      </c>
      <c r="C1649" s="0" t="n">
        <v>184</v>
      </c>
      <c r="D1649" s="0" t="n">
        <v>1</v>
      </c>
      <c r="E1649" s="0" t="str">
        <f aca="false">INDEX(lot!$B$2:$B$1201,MATCH(B1649,lot!$A$2:$A$1201,0))</f>
        <v>SUP-D</v>
      </c>
      <c r="F1649" s="3" t="n">
        <f aca="false">YEAR(A1649)*100+MONTH(A1649)</f>
        <v>202605</v>
      </c>
    </row>
    <row r="1650" customFormat="false" ht="15" hidden="false" customHeight="false" outlineLevel="0" collapsed="false">
      <c r="A1650" s="2" t="n">
        <v>46156</v>
      </c>
      <c r="B1650" s="3" t="s">
        <v>1203</v>
      </c>
      <c r="C1650" s="0" t="n">
        <v>177</v>
      </c>
      <c r="D1650" s="0" t="n">
        <v>3</v>
      </c>
      <c r="E1650" s="0" t="str">
        <f aca="false">INDEX(lot!$B$2:$B$1201,MATCH(B1650,lot!$A$2:$A$1201,0))</f>
        <v>SUP-E</v>
      </c>
      <c r="F1650" s="3" t="n">
        <f aca="false">YEAR(A1650)*100+MONTH(A1650)</f>
        <v>202605</v>
      </c>
    </row>
    <row r="1651" customFormat="false" ht="15" hidden="false" customHeight="false" outlineLevel="0" collapsed="false">
      <c r="A1651" s="2" t="n">
        <v>46156</v>
      </c>
      <c r="B1651" s="3" t="s">
        <v>1203</v>
      </c>
      <c r="C1651" s="0" t="n">
        <v>172</v>
      </c>
      <c r="D1651" s="0" t="n">
        <v>1</v>
      </c>
      <c r="E1651" s="0" t="str">
        <f aca="false">INDEX(lot!$B$2:$B$1201,MATCH(B1651,lot!$A$2:$A$1201,0))</f>
        <v>SUP-E</v>
      </c>
      <c r="F1651" s="3" t="n">
        <f aca="false">YEAR(A1651)*100+MONTH(A1651)</f>
        <v>202605</v>
      </c>
    </row>
    <row r="1652" customFormat="false" ht="15" hidden="false" customHeight="false" outlineLevel="0" collapsed="false">
      <c r="A1652" s="2" t="n">
        <v>46157</v>
      </c>
      <c r="B1652" s="3" t="s">
        <v>28</v>
      </c>
      <c r="C1652" s="0" t="n">
        <v>236</v>
      </c>
      <c r="D1652" s="0" t="n">
        <v>3</v>
      </c>
      <c r="E1652" s="0" t="str">
        <f aca="false">INDEX(lot!$B$2:$B$1201,MATCH(B1652,lot!$A$2:$A$1201,0))</f>
        <v>SUP-E</v>
      </c>
      <c r="F1652" s="3" t="n">
        <f aca="false">YEAR(A1652)*100+MONTH(A1652)</f>
        <v>202605</v>
      </c>
    </row>
    <row r="1653" customFormat="false" ht="15" hidden="false" customHeight="false" outlineLevel="0" collapsed="false">
      <c r="A1653" s="2" t="n">
        <v>46157</v>
      </c>
      <c r="B1653" s="3" t="s">
        <v>28</v>
      </c>
      <c r="C1653" s="0" t="n">
        <v>226</v>
      </c>
      <c r="D1653" s="0" t="n">
        <v>3</v>
      </c>
      <c r="E1653" s="0" t="str">
        <f aca="false">INDEX(lot!$B$2:$B$1201,MATCH(B1653,lot!$A$2:$A$1201,0))</f>
        <v>SUP-E</v>
      </c>
      <c r="F1653" s="3" t="n">
        <f aca="false">YEAR(A1653)*100+MONTH(A1653)</f>
        <v>202605</v>
      </c>
    </row>
    <row r="1654" customFormat="false" ht="15" hidden="false" customHeight="false" outlineLevel="0" collapsed="false">
      <c r="A1654" s="2" t="n">
        <v>46157</v>
      </c>
      <c r="B1654" s="3" t="s">
        <v>68</v>
      </c>
      <c r="C1654" s="0" t="n">
        <v>80</v>
      </c>
      <c r="D1654" s="0" t="n">
        <v>2</v>
      </c>
      <c r="E1654" s="0" t="str">
        <f aca="false">INDEX(lot!$B$2:$B$1201,MATCH(B1654,lot!$A$2:$A$1201,0))</f>
        <v>SUP-D</v>
      </c>
      <c r="F1654" s="3" t="n">
        <f aca="false">YEAR(A1654)*100+MONTH(A1654)</f>
        <v>202605</v>
      </c>
    </row>
    <row r="1655" customFormat="false" ht="15" hidden="false" customHeight="false" outlineLevel="0" collapsed="false">
      <c r="A1655" s="2" t="n">
        <v>46157</v>
      </c>
      <c r="B1655" s="3" t="s">
        <v>68</v>
      </c>
      <c r="C1655" s="0" t="n">
        <v>63</v>
      </c>
      <c r="D1655" s="0" t="n">
        <v>0</v>
      </c>
      <c r="E1655" s="0" t="str">
        <f aca="false">INDEX(lot!$B$2:$B$1201,MATCH(B1655,lot!$A$2:$A$1201,0))</f>
        <v>SUP-D</v>
      </c>
      <c r="F1655" s="3" t="n">
        <f aca="false">YEAR(A1655)*100+MONTH(A1655)</f>
        <v>202605</v>
      </c>
    </row>
    <row r="1656" customFormat="false" ht="15" hidden="false" customHeight="false" outlineLevel="0" collapsed="false">
      <c r="A1656" s="2" t="n">
        <v>46157</v>
      </c>
      <c r="B1656" s="3" t="s">
        <v>153</v>
      </c>
      <c r="C1656" s="0" t="n">
        <v>79</v>
      </c>
      <c r="D1656" s="0" t="n">
        <v>2</v>
      </c>
      <c r="E1656" s="0" t="str">
        <f aca="false">INDEX(lot!$B$2:$B$1201,MATCH(B1656,lot!$A$2:$A$1201,0))</f>
        <v>SUP-C</v>
      </c>
      <c r="F1656" s="3" t="n">
        <f aca="false">YEAR(A1656)*100+MONTH(A1656)</f>
        <v>202605</v>
      </c>
    </row>
    <row r="1657" customFormat="false" ht="15" hidden="false" customHeight="false" outlineLevel="0" collapsed="false">
      <c r="A1657" s="2" t="n">
        <v>46157</v>
      </c>
      <c r="B1657" s="3" t="s">
        <v>164</v>
      </c>
      <c r="C1657" s="0" t="n">
        <v>212</v>
      </c>
      <c r="D1657" s="0" t="n">
        <v>3</v>
      </c>
      <c r="E1657" s="0" t="str">
        <f aca="false">INDEX(lot!$B$2:$B$1201,MATCH(B1657,lot!$A$2:$A$1201,0))</f>
        <v>SUP-C</v>
      </c>
      <c r="F1657" s="3" t="n">
        <f aca="false">YEAR(A1657)*100+MONTH(A1657)</f>
        <v>202605</v>
      </c>
    </row>
    <row r="1658" customFormat="false" ht="15" hidden="false" customHeight="false" outlineLevel="0" collapsed="false">
      <c r="A1658" s="2" t="n">
        <v>46157</v>
      </c>
      <c r="B1658" s="3" t="s">
        <v>164</v>
      </c>
      <c r="C1658" s="0" t="n">
        <v>137</v>
      </c>
      <c r="D1658" s="0" t="n">
        <v>6</v>
      </c>
      <c r="E1658" s="0" t="str">
        <f aca="false">INDEX(lot!$B$2:$B$1201,MATCH(B1658,lot!$A$2:$A$1201,0))</f>
        <v>SUP-C</v>
      </c>
      <c r="F1658" s="3" t="n">
        <f aca="false">YEAR(A1658)*100+MONTH(A1658)</f>
        <v>202605</v>
      </c>
    </row>
    <row r="1659" customFormat="false" ht="15" hidden="false" customHeight="false" outlineLevel="0" collapsed="false">
      <c r="A1659" s="2" t="n">
        <v>46157</v>
      </c>
      <c r="B1659" s="3" t="s">
        <v>191</v>
      </c>
      <c r="C1659" s="0" t="n">
        <v>160</v>
      </c>
      <c r="D1659" s="0" t="n">
        <v>1</v>
      </c>
      <c r="E1659" s="0" t="str">
        <f aca="false">INDEX(lot!$B$2:$B$1201,MATCH(B1659,lot!$A$2:$A$1201,0))</f>
        <v>SUP-D</v>
      </c>
      <c r="F1659" s="3" t="n">
        <f aca="false">YEAR(A1659)*100+MONTH(A1659)</f>
        <v>202605</v>
      </c>
    </row>
    <row r="1660" customFormat="false" ht="15" hidden="false" customHeight="false" outlineLevel="0" collapsed="false">
      <c r="A1660" s="2" t="n">
        <v>46157</v>
      </c>
      <c r="B1660" s="3" t="s">
        <v>246</v>
      </c>
      <c r="C1660" s="0" t="n">
        <v>128</v>
      </c>
      <c r="D1660" s="0" t="n">
        <v>1</v>
      </c>
      <c r="E1660" s="0" t="str">
        <f aca="false">INDEX(lot!$B$2:$B$1201,MATCH(B1660,lot!$A$2:$A$1201,0))</f>
        <v>SUP-A</v>
      </c>
      <c r="F1660" s="3" t="n">
        <f aca="false">YEAR(A1660)*100+MONTH(A1660)</f>
        <v>202605</v>
      </c>
    </row>
    <row r="1661" customFormat="false" ht="15" hidden="false" customHeight="false" outlineLevel="0" collapsed="false">
      <c r="A1661" s="2" t="n">
        <v>46157</v>
      </c>
      <c r="B1661" s="3" t="s">
        <v>246</v>
      </c>
      <c r="C1661" s="0" t="n">
        <v>248</v>
      </c>
      <c r="D1661" s="0" t="n">
        <v>3</v>
      </c>
      <c r="E1661" s="0" t="str">
        <f aca="false">INDEX(lot!$B$2:$B$1201,MATCH(B1661,lot!$A$2:$A$1201,0))</f>
        <v>SUP-A</v>
      </c>
      <c r="F1661" s="3" t="n">
        <f aca="false">YEAR(A1661)*100+MONTH(A1661)</f>
        <v>202605</v>
      </c>
    </row>
    <row r="1662" customFormat="false" ht="15" hidden="false" customHeight="false" outlineLevel="0" collapsed="false">
      <c r="A1662" s="2" t="n">
        <v>46157</v>
      </c>
      <c r="B1662" s="3" t="s">
        <v>291</v>
      </c>
      <c r="C1662" s="0" t="n">
        <v>98</v>
      </c>
      <c r="D1662" s="0" t="n">
        <v>2</v>
      </c>
      <c r="E1662" s="0" t="str">
        <f aca="false">INDEX(lot!$B$2:$B$1201,MATCH(B1662,lot!$A$2:$A$1201,0))</f>
        <v>SUP-E</v>
      </c>
      <c r="F1662" s="3" t="n">
        <f aca="false">YEAR(A1662)*100+MONTH(A1662)</f>
        <v>202605</v>
      </c>
    </row>
    <row r="1663" customFormat="false" ht="15" hidden="false" customHeight="false" outlineLevel="0" collapsed="false">
      <c r="A1663" s="2" t="n">
        <v>46157</v>
      </c>
      <c r="B1663" s="3" t="s">
        <v>291</v>
      </c>
      <c r="C1663" s="0" t="n">
        <v>210</v>
      </c>
      <c r="D1663" s="0" t="n">
        <v>3</v>
      </c>
      <c r="E1663" s="0" t="str">
        <f aca="false">INDEX(lot!$B$2:$B$1201,MATCH(B1663,lot!$A$2:$A$1201,0))</f>
        <v>SUP-E</v>
      </c>
      <c r="F1663" s="3" t="n">
        <f aca="false">YEAR(A1663)*100+MONTH(A1663)</f>
        <v>202605</v>
      </c>
    </row>
    <row r="1664" customFormat="false" ht="15" hidden="false" customHeight="false" outlineLevel="0" collapsed="false">
      <c r="A1664" s="2" t="n">
        <v>46157</v>
      </c>
      <c r="B1664" s="3" t="s">
        <v>396</v>
      </c>
      <c r="C1664" s="0" t="n">
        <v>191</v>
      </c>
      <c r="D1664" s="0" t="n">
        <v>4</v>
      </c>
      <c r="E1664" s="0" t="str">
        <f aca="false">INDEX(lot!$B$2:$B$1201,MATCH(B1664,lot!$A$2:$A$1201,0))</f>
        <v>SUP-C</v>
      </c>
      <c r="F1664" s="3" t="n">
        <f aca="false">YEAR(A1664)*100+MONTH(A1664)</f>
        <v>202605</v>
      </c>
    </row>
    <row r="1665" customFormat="false" ht="15" hidden="false" customHeight="false" outlineLevel="0" collapsed="false">
      <c r="A1665" s="2" t="n">
        <v>46157</v>
      </c>
      <c r="B1665" s="3" t="s">
        <v>457</v>
      </c>
      <c r="C1665" s="0" t="n">
        <v>104</v>
      </c>
      <c r="D1665" s="0" t="n">
        <v>1</v>
      </c>
      <c r="E1665" s="0" t="str">
        <f aca="false">INDEX(lot!$B$2:$B$1201,MATCH(B1665,lot!$A$2:$A$1201,0))</f>
        <v>SUP-A</v>
      </c>
      <c r="F1665" s="3" t="n">
        <f aca="false">YEAR(A1665)*100+MONTH(A1665)</f>
        <v>202605</v>
      </c>
    </row>
    <row r="1666" customFormat="false" ht="15" hidden="false" customHeight="false" outlineLevel="0" collapsed="false">
      <c r="A1666" s="2" t="n">
        <v>46157</v>
      </c>
      <c r="B1666" s="3" t="s">
        <v>457</v>
      </c>
      <c r="C1666" s="0" t="n">
        <v>66</v>
      </c>
      <c r="D1666" s="0" t="n">
        <v>1</v>
      </c>
      <c r="E1666" s="0" t="str">
        <f aca="false">INDEX(lot!$B$2:$B$1201,MATCH(B1666,lot!$A$2:$A$1201,0))</f>
        <v>SUP-A</v>
      </c>
      <c r="F1666" s="3" t="n">
        <f aca="false">YEAR(A1666)*100+MONTH(A1666)</f>
        <v>202605</v>
      </c>
    </row>
    <row r="1667" customFormat="false" ht="15" hidden="false" customHeight="false" outlineLevel="0" collapsed="false">
      <c r="A1667" s="2" t="n">
        <v>46157</v>
      </c>
      <c r="B1667" s="3" t="s">
        <v>666</v>
      </c>
      <c r="C1667" s="0" t="n">
        <v>138</v>
      </c>
      <c r="D1667" s="0" t="n">
        <v>2</v>
      </c>
      <c r="E1667" s="0" t="str">
        <f aca="false">INDEX(lot!$B$2:$B$1201,MATCH(B1667,lot!$A$2:$A$1201,0))</f>
        <v>SUP-D</v>
      </c>
      <c r="F1667" s="3" t="n">
        <f aca="false">YEAR(A1667)*100+MONTH(A1667)</f>
        <v>202605</v>
      </c>
    </row>
    <row r="1668" customFormat="false" ht="15" hidden="false" customHeight="false" outlineLevel="0" collapsed="false">
      <c r="A1668" s="2" t="n">
        <v>46157</v>
      </c>
      <c r="B1668" s="3" t="s">
        <v>666</v>
      </c>
      <c r="C1668" s="0" t="n">
        <v>219</v>
      </c>
      <c r="D1668" s="0" t="n">
        <v>1</v>
      </c>
      <c r="E1668" s="0" t="str">
        <f aca="false">INDEX(lot!$B$2:$B$1201,MATCH(B1668,lot!$A$2:$A$1201,0))</f>
        <v>SUP-D</v>
      </c>
      <c r="F1668" s="3" t="n">
        <f aca="false">YEAR(A1668)*100+MONTH(A1668)</f>
        <v>202605</v>
      </c>
    </row>
    <row r="1669" customFormat="false" ht="15" hidden="false" customHeight="false" outlineLevel="0" collapsed="false">
      <c r="A1669" s="2" t="n">
        <v>46157</v>
      </c>
      <c r="B1669" s="3" t="s">
        <v>880</v>
      </c>
      <c r="C1669" s="0" t="n">
        <v>210</v>
      </c>
      <c r="D1669" s="0" t="n">
        <v>2</v>
      </c>
      <c r="E1669" s="0" t="str">
        <f aca="false">INDEX(lot!$B$2:$B$1201,MATCH(B1669,lot!$A$2:$A$1201,0))</f>
        <v>SUP-D</v>
      </c>
      <c r="F1669" s="3" t="n">
        <f aca="false">YEAR(A1669)*100+MONTH(A1669)</f>
        <v>202605</v>
      </c>
    </row>
    <row r="1670" customFormat="false" ht="15" hidden="false" customHeight="false" outlineLevel="0" collapsed="false">
      <c r="A1670" s="2" t="n">
        <v>46157</v>
      </c>
      <c r="B1670" s="3" t="s">
        <v>880</v>
      </c>
      <c r="C1670" s="0" t="n">
        <v>77</v>
      </c>
      <c r="D1670" s="0" t="n">
        <v>1</v>
      </c>
      <c r="E1670" s="0" t="str">
        <f aca="false">INDEX(lot!$B$2:$B$1201,MATCH(B1670,lot!$A$2:$A$1201,0))</f>
        <v>SUP-D</v>
      </c>
      <c r="F1670" s="3" t="n">
        <f aca="false">YEAR(A1670)*100+MONTH(A1670)</f>
        <v>202605</v>
      </c>
    </row>
    <row r="1671" customFormat="false" ht="15" hidden="false" customHeight="false" outlineLevel="0" collapsed="false">
      <c r="A1671" s="2" t="n">
        <v>46157</v>
      </c>
      <c r="B1671" s="3" t="s">
        <v>1045</v>
      </c>
      <c r="C1671" s="0" t="n">
        <v>211</v>
      </c>
      <c r="D1671" s="0" t="n">
        <v>2</v>
      </c>
      <c r="E1671" s="0" t="str">
        <f aca="false">INDEX(lot!$B$2:$B$1201,MATCH(B1671,lot!$A$2:$A$1201,0))</f>
        <v>SUP-A</v>
      </c>
      <c r="F1671" s="3" t="n">
        <f aca="false">YEAR(A1671)*100+MONTH(A1671)</f>
        <v>202605</v>
      </c>
    </row>
    <row r="1672" customFormat="false" ht="15" hidden="false" customHeight="false" outlineLevel="0" collapsed="false">
      <c r="A1672" s="2" t="n">
        <v>46157</v>
      </c>
      <c r="B1672" s="3" t="s">
        <v>1154</v>
      </c>
      <c r="C1672" s="0" t="n">
        <v>168</v>
      </c>
      <c r="D1672" s="0" t="n">
        <v>2</v>
      </c>
      <c r="E1672" s="0" t="str">
        <f aca="false">INDEX(lot!$B$2:$B$1201,MATCH(B1672,lot!$A$2:$A$1201,0))</f>
        <v>SUP-D</v>
      </c>
      <c r="F1672" s="3" t="n">
        <f aca="false">YEAR(A1672)*100+MONTH(A1672)</f>
        <v>202605</v>
      </c>
    </row>
    <row r="1673" customFormat="false" ht="15" hidden="false" customHeight="false" outlineLevel="0" collapsed="false">
      <c r="A1673" s="2" t="n">
        <v>46157</v>
      </c>
      <c r="B1673" s="3" t="s">
        <v>1199</v>
      </c>
      <c r="C1673" s="0" t="n">
        <v>68</v>
      </c>
      <c r="D1673" s="0" t="n">
        <v>0</v>
      </c>
      <c r="E1673" s="0" t="str">
        <f aca="false">INDEX(lot!$B$2:$B$1201,MATCH(B1673,lot!$A$2:$A$1201,0))</f>
        <v>SUP-A</v>
      </c>
      <c r="F1673" s="3" t="n">
        <f aca="false">YEAR(A1673)*100+MONTH(A1673)</f>
        <v>202605</v>
      </c>
    </row>
    <row r="1674" customFormat="false" ht="15" hidden="false" customHeight="false" outlineLevel="0" collapsed="false">
      <c r="A1674" s="2" t="n">
        <v>46160</v>
      </c>
      <c r="B1674" s="3" t="s">
        <v>15</v>
      </c>
      <c r="C1674" s="0" t="n">
        <v>128</v>
      </c>
      <c r="D1674" s="0" t="n">
        <v>1</v>
      </c>
      <c r="E1674" s="0" t="str">
        <f aca="false">INDEX(lot!$B$2:$B$1201,MATCH(B1674,lot!$A$2:$A$1201,0))</f>
        <v>SUP-E</v>
      </c>
      <c r="F1674" s="3" t="n">
        <f aca="false">YEAR(A1674)*100+MONTH(A1674)</f>
        <v>202605</v>
      </c>
    </row>
    <row r="1675" customFormat="false" ht="15" hidden="false" customHeight="false" outlineLevel="0" collapsed="false">
      <c r="A1675" s="2" t="n">
        <v>46160</v>
      </c>
      <c r="B1675" s="3" t="s">
        <v>68</v>
      </c>
      <c r="C1675" s="0" t="n">
        <v>246</v>
      </c>
      <c r="D1675" s="0" t="n">
        <v>2</v>
      </c>
      <c r="E1675" s="0" t="str">
        <f aca="false">INDEX(lot!$B$2:$B$1201,MATCH(B1675,lot!$A$2:$A$1201,0))</f>
        <v>SUP-D</v>
      </c>
      <c r="F1675" s="3" t="n">
        <f aca="false">YEAR(A1675)*100+MONTH(A1675)</f>
        <v>202605</v>
      </c>
    </row>
    <row r="1676" customFormat="false" ht="15" hidden="false" customHeight="false" outlineLevel="0" collapsed="false">
      <c r="A1676" s="2" t="n">
        <v>46160</v>
      </c>
      <c r="B1676" s="3" t="s">
        <v>68</v>
      </c>
      <c r="C1676" s="0" t="n">
        <v>198</v>
      </c>
      <c r="D1676" s="0" t="n">
        <v>3</v>
      </c>
      <c r="E1676" s="0" t="str">
        <f aca="false">INDEX(lot!$B$2:$B$1201,MATCH(B1676,lot!$A$2:$A$1201,0))</f>
        <v>SUP-D</v>
      </c>
      <c r="F1676" s="3" t="n">
        <f aca="false">YEAR(A1676)*100+MONTH(A1676)</f>
        <v>202605</v>
      </c>
    </row>
    <row r="1677" customFormat="false" ht="15" hidden="false" customHeight="false" outlineLevel="0" collapsed="false">
      <c r="A1677" s="2" t="n">
        <v>46160</v>
      </c>
      <c r="B1677" s="3" t="s">
        <v>164</v>
      </c>
      <c r="C1677" s="0" t="n">
        <v>175</v>
      </c>
      <c r="D1677" s="0" t="n">
        <v>7</v>
      </c>
      <c r="E1677" s="0" t="str">
        <f aca="false">INDEX(lot!$B$2:$B$1201,MATCH(B1677,lot!$A$2:$A$1201,0))</f>
        <v>SUP-C</v>
      </c>
      <c r="F1677" s="3" t="n">
        <f aca="false">YEAR(A1677)*100+MONTH(A1677)</f>
        <v>202605</v>
      </c>
    </row>
    <row r="1678" customFormat="false" ht="15" hidden="false" customHeight="false" outlineLevel="0" collapsed="false">
      <c r="A1678" s="2" t="n">
        <v>46160</v>
      </c>
      <c r="B1678" s="3" t="s">
        <v>191</v>
      </c>
      <c r="C1678" s="0" t="n">
        <v>109</v>
      </c>
      <c r="D1678" s="0" t="n">
        <v>0</v>
      </c>
      <c r="E1678" s="0" t="str">
        <f aca="false">INDEX(lot!$B$2:$B$1201,MATCH(B1678,lot!$A$2:$A$1201,0))</f>
        <v>SUP-D</v>
      </c>
      <c r="F1678" s="3" t="n">
        <f aca="false">YEAR(A1678)*100+MONTH(A1678)</f>
        <v>202605</v>
      </c>
    </row>
    <row r="1679" customFormat="false" ht="15" hidden="false" customHeight="false" outlineLevel="0" collapsed="false">
      <c r="A1679" s="2" t="n">
        <v>46160</v>
      </c>
      <c r="B1679" s="3" t="s">
        <v>246</v>
      </c>
      <c r="C1679" s="0" t="n">
        <v>166</v>
      </c>
      <c r="D1679" s="0" t="n">
        <v>0</v>
      </c>
      <c r="E1679" s="0" t="str">
        <f aca="false">INDEX(lot!$B$2:$B$1201,MATCH(B1679,lot!$A$2:$A$1201,0))</f>
        <v>SUP-A</v>
      </c>
      <c r="F1679" s="3" t="n">
        <f aca="false">YEAR(A1679)*100+MONTH(A1679)</f>
        <v>202605</v>
      </c>
    </row>
    <row r="1680" customFormat="false" ht="15" hidden="false" customHeight="false" outlineLevel="0" collapsed="false">
      <c r="A1680" s="2" t="n">
        <v>46160</v>
      </c>
      <c r="B1680" s="3" t="s">
        <v>312</v>
      </c>
      <c r="C1680" s="0" t="n">
        <v>77</v>
      </c>
      <c r="D1680" s="0" t="n">
        <v>1</v>
      </c>
      <c r="E1680" s="0" t="str">
        <f aca="false">INDEX(lot!$B$2:$B$1201,MATCH(B1680,lot!$A$2:$A$1201,0))</f>
        <v>SUP-B</v>
      </c>
      <c r="F1680" s="3" t="n">
        <f aca="false">YEAR(A1680)*100+MONTH(A1680)</f>
        <v>202605</v>
      </c>
    </row>
    <row r="1681" customFormat="false" ht="15" hidden="false" customHeight="false" outlineLevel="0" collapsed="false">
      <c r="A1681" s="2" t="n">
        <v>46160</v>
      </c>
      <c r="B1681" s="3" t="s">
        <v>312</v>
      </c>
      <c r="C1681" s="0" t="n">
        <v>176</v>
      </c>
      <c r="D1681" s="0" t="n">
        <v>4</v>
      </c>
      <c r="E1681" s="0" t="str">
        <f aca="false">INDEX(lot!$B$2:$B$1201,MATCH(B1681,lot!$A$2:$A$1201,0))</f>
        <v>SUP-B</v>
      </c>
      <c r="F1681" s="3" t="n">
        <f aca="false">YEAR(A1681)*100+MONTH(A1681)</f>
        <v>202605</v>
      </c>
    </row>
    <row r="1682" customFormat="false" ht="15" hidden="false" customHeight="false" outlineLevel="0" collapsed="false">
      <c r="A1682" s="2" t="n">
        <v>46160</v>
      </c>
      <c r="B1682" s="3" t="s">
        <v>359</v>
      </c>
      <c r="C1682" s="0" t="n">
        <v>226</v>
      </c>
      <c r="D1682" s="0" t="n">
        <v>6</v>
      </c>
      <c r="E1682" s="0" t="str">
        <f aca="false">INDEX(lot!$B$2:$B$1201,MATCH(B1682,lot!$A$2:$A$1201,0))</f>
        <v>SUP-C</v>
      </c>
      <c r="F1682" s="3" t="n">
        <f aca="false">YEAR(A1682)*100+MONTH(A1682)</f>
        <v>202605</v>
      </c>
    </row>
    <row r="1683" customFormat="false" ht="15" hidden="false" customHeight="false" outlineLevel="0" collapsed="false">
      <c r="A1683" s="2" t="n">
        <v>46160</v>
      </c>
      <c r="B1683" s="3" t="s">
        <v>385</v>
      </c>
      <c r="C1683" s="0" t="n">
        <v>225</v>
      </c>
      <c r="D1683" s="0" t="n">
        <v>1</v>
      </c>
      <c r="E1683" s="0" t="str">
        <f aca="false">INDEX(lot!$B$2:$B$1201,MATCH(B1683,lot!$A$2:$A$1201,0))</f>
        <v>SUP-D</v>
      </c>
      <c r="F1683" s="3" t="n">
        <f aca="false">YEAR(A1683)*100+MONTH(A1683)</f>
        <v>202605</v>
      </c>
    </row>
    <row r="1684" customFormat="false" ht="15" hidden="false" customHeight="false" outlineLevel="0" collapsed="false">
      <c r="A1684" s="2" t="n">
        <v>46160</v>
      </c>
      <c r="B1684" s="3" t="s">
        <v>396</v>
      </c>
      <c r="C1684" s="0" t="n">
        <v>216</v>
      </c>
      <c r="D1684" s="0" t="n">
        <v>2</v>
      </c>
      <c r="E1684" s="0" t="str">
        <f aca="false">INDEX(lot!$B$2:$B$1201,MATCH(B1684,lot!$A$2:$A$1201,0))</f>
        <v>SUP-C</v>
      </c>
      <c r="F1684" s="3" t="n">
        <f aca="false">YEAR(A1684)*100+MONTH(A1684)</f>
        <v>202605</v>
      </c>
    </row>
    <row r="1685" customFormat="false" ht="15" hidden="false" customHeight="false" outlineLevel="0" collapsed="false">
      <c r="A1685" s="2" t="n">
        <v>46160</v>
      </c>
      <c r="B1685" s="3" t="s">
        <v>396</v>
      </c>
      <c r="C1685" s="0" t="n">
        <v>223</v>
      </c>
      <c r="D1685" s="0" t="n">
        <v>3</v>
      </c>
      <c r="E1685" s="0" t="str">
        <f aca="false">INDEX(lot!$B$2:$B$1201,MATCH(B1685,lot!$A$2:$A$1201,0))</f>
        <v>SUP-C</v>
      </c>
      <c r="F1685" s="3" t="n">
        <f aca="false">YEAR(A1685)*100+MONTH(A1685)</f>
        <v>202605</v>
      </c>
    </row>
    <row r="1686" customFormat="false" ht="15" hidden="false" customHeight="false" outlineLevel="0" collapsed="false">
      <c r="A1686" s="2" t="n">
        <v>46160</v>
      </c>
      <c r="B1686" s="3" t="s">
        <v>461</v>
      </c>
      <c r="C1686" s="0" t="n">
        <v>137</v>
      </c>
      <c r="D1686" s="0" t="n">
        <v>1</v>
      </c>
      <c r="E1686" s="0" t="str">
        <f aca="false">INDEX(lot!$B$2:$B$1201,MATCH(B1686,lot!$A$2:$A$1201,0))</f>
        <v>SUP-E</v>
      </c>
      <c r="F1686" s="3" t="n">
        <f aca="false">YEAR(A1686)*100+MONTH(A1686)</f>
        <v>202605</v>
      </c>
    </row>
    <row r="1687" customFormat="false" ht="15" hidden="false" customHeight="false" outlineLevel="0" collapsed="false">
      <c r="A1687" s="2" t="n">
        <v>46160</v>
      </c>
      <c r="B1687" s="3" t="s">
        <v>461</v>
      </c>
      <c r="C1687" s="0" t="n">
        <v>200</v>
      </c>
      <c r="D1687" s="0" t="n">
        <v>2</v>
      </c>
      <c r="E1687" s="0" t="str">
        <f aca="false">INDEX(lot!$B$2:$B$1201,MATCH(B1687,lot!$A$2:$A$1201,0))</f>
        <v>SUP-E</v>
      </c>
      <c r="F1687" s="3" t="n">
        <f aca="false">YEAR(A1687)*100+MONTH(A1687)</f>
        <v>202605</v>
      </c>
    </row>
    <row r="1688" customFormat="false" ht="15" hidden="false" customHeight="false" outlineLevel="0" collapsed="false">
      <c r="A1688" s="2" t="n">
        <v>46160</v>
      </c>
      <c r="B1688" s="3" t="s">
        <v>586</v>
      </c>
      <c r="C1688" s="0" t="n">
        <v>250</v>
      </c>
      <c r="D1688" s="0" t="n">
        <v>2</v>
      </c>
      <c r="E1688" s="0" t="str">
        <f aca="false">INDEX(lot!$B$2:$B$1201,MATCH(B1688,lot!$A$2:$A$1201,0))</f>
        <v>SUP-B</v>
      </c>
      <c r="F1688" s="3" t="n">
        <f aca="false">YEAR(A1688)*100+MONTH(A1688)</f>
        <v>202605</v>
      </c>
    </row>
    <row r="1689" customFormat="false" ht="15" hidden="false" customHeight="false" outlineLevel="0" collapsed="false">
      <c r="A1689" s="2" t="n">
        <v>46160</v>
      </c>
      <c r="B1689" s="3" t="s">
        <v>586</v>
      </c>
      <c r="C1689" s="0" t="n">
        <v>154</v>
      </c>
      <c r="D1689" s="0" t="n">
        <v>3</v>
      </c>
      <c r="E1689" s="0" t="str">
        <f aca="false">INDEX(lot!$B$2:$B$1201,MATCH(B1689,lot!$A$2:$A$1201,0))</f>
        <v>SUP-B</v>
      </c>
      <c r="F1689" s="3" t="n">
        <f aca="false">YEAR(A1689)*100+MONTH(A1689)</f>
        <v>202605</v>
      </c>
    </row>
    <row r="1690" customFormat="false" ht="15" hidden="false" customHeight="false" outlineLevel="0" collapsed="false">
      <c r="A1690" s="2" t="n">
        <v>46160</v>
      </c>
      <c r="B1690" s="3" t="s">
        <v>676</v>
      </c>
      <c r="C1690" s="0" t="n">
        <v>221</v>
      </c>
      <c r="D1690" s="0" t="n">
        <v>3</v>
      </c>
      <c r="E1690" s="0" t="str">
        <f aca="false">INDEX(lot!$B$2:$B$1201,MATCH(B1690,lot!$A$2:$A$1201,0))</f>
        <v>SUP-E</v>
      </c>
      <c r="F1690" s="3" t="n">
        <f aca="false">YEAR(A1690)*100+MONTH(A1690)</f>
        <v>202605</v>
      </c>
    </row>
    <row r="1691" customFormat="false" ht="15" hidden="false" customHeight="false" outlineLevel="0" collapsed="false">
      <c r="A1691" s="2" t="n">
        <v>46160</v>
      </c>
      <c r="B1691" s="3" t="s">
        <v>763</v>
      </c>
      <c r="C1691" s="0" t="n">
        <v>164</v>
      </c>
      <c r="D1691" s="0" t="n">
        <v>1</v>
      </c>
      <c r="E1691" s="0" t="str">
        <f aca="false">INDEX(lot!$B$2:$B$1201,MATCH(B1691,lot!$A$2:$A$1201,0))</f>
        <v>SUP-D</v>
      </c>
      <c r="F1691" s="3" t="n">
        <f aca="false">YEAR(A1691)*100+MONTH(A1691)</f>
        <v>202605</v>
      </c>
    </row>
    <row r="1692" customFormat="false" ht="15" hidden="false" customHeight="false" outlineLevel="0" collapsed="false">
      <c r="A1692" s="2" t="n">
        <v>46160</v>
      </c>
      <c r="B1692" s="3" t="s">
        <v>888</v>
      </c>
      <c r="C1692" s="0" t="n">
        <v>158</v>
      </c>
      <c r="D1692" s="0" t="n">
        <v>2</v>
      </c>
      <c r="E1692" s="0" t="str">
        <f aca="false">INDEX(lot!$B$2:$B$1201,MATCH(B1692,lot!$A$2:$A$1201,0))</f>
        <v>SUP-D</v>
      </c>
      <c r="F1692" s="3" t="n">
        <f aca="false">YEAR(A1692)*100+MONTH(A1692)</f>
        <v>202605</v>
      </c>
    </row>
    <row r="1693" customFormat="false" ht="15" hidden="false" customHeight="false" outlineLevel="0" collapsed="false">
      <c r="A1693" s="2" t="n">
        <v>46160</v>
      </c>
      <c r="B1693" s="3" t="s">
        <v>971</v>
      </c>
      <c r="C1693" s="0" t="n">
        <v>106</v>
      </c>
      <c r="D1693" s="0" t="n">
        <v>1</v>
      </c>
      <c r="E1693" s="0" t="str">
        <f aca="false">INDEX(lot!$B$2:$B$1201,MATCH(B1693,lot!$A$2:$A$1201,0))</f>
        <v>SUP-E</v>
      </c>
      <c r="F1693" s="3" t="n">
        <f aca="false">YEAR(A1693)*100+MONTH(A1693)</f>
        <v>202605</v>
      </c>
    </row>
    <row r="1694" customFormat="false" ht="15" hidden="false" customHeight="false" outlineLevel="0" collapsed="false">
      <c r="A1694" s="2" t="n">
        <v>46160</v>
      </c>
      <c r="B1694" s="3" t="s">
        <v>971</v>
      </c>
      <c r="C1694" s="0" t="n">
        <v>230</v>
      </c>
      <c r="D1694" s="0" t="n">
        <v>2</v>
      </c>
      <c r="E1694" s="0" t="str">
        <f aca="false">INDEX(lot!$B$2:$B$1201,MATCH(B1694,lot!$A$2:$A$1201,0))</f>
        <v>SUP-E</v>
      </c>
      <c r="F1694" s="3" t="n">
        <f aca="false">YEAR(A1694)*100+MONTH(A1694)</f>
        <v>202605</v>
      </c>
    </row>
    <row r="1695" customFormat="false" ht="15" hidden="false" customHeight="false" outlineLevel="0" collapsed="false">
      <c r="A1695" s="2" t="n">
        <v>46160</v>
      </c>
      <c r="B1695" s="3" t="s">
        <v>1139</v>
      </c>
      <c r="C1695" s="0" t="n">
        <v>180</v>
      </c>
      <c r="D1695" s="0" t="n">
        <v>2</v>
      </c>
      <c r="E1695" s="0" t="str">
        <f aca="false">INDEX(lot!$B$2:$B$1201,MATCH(B1695,lot!$A$2:$A$1201,0))</f>
        <v>SUP-A</v>
      </c>
      <c r="F1695" s="3" t="n">
        <f aca="false">YEAR(A1695)*100+MONTH(A1695)</f>
        <v>202605</v>
      </c>
    </row>
    <row r="1696" customFormat="false" ht="15" hidden="false" customHeight="false" outlineLevel="0" collapsed="false">
      <c r="A1696" s="2" t="n">
        <v>46160</v>
      </c>
      <c r="B1696" s="3" t="s">
        <v>1199</v>
      </c>
      <c r="C1696" s="0" t="n">
        <v>106</v>
      </c>
      <c r="D1696" s="0" t="n">
        <v>1</v>
      </c>
      <c r="E1696" s="0" t="str">
        <f aca="false">INDEX(lot!$B$2:$B$1201,MATCH(B1696,lot!$A$2:$A$1201,0))</f>
        <v>SUP-A</v>
      </c>
      <c r="F1696" s="3" t="n">
        <f aca="false">YEAR(A1696)*100+MONTH(A1696)</f>
        <v>202605</v>
      </c>
    </row>
    <row r="1697" customFormat="false" ht="15" hidden="false" customHeight="false" outlineLevel="0" collapsed="false">
      <c r="A1697" s="2" t="n">
        <v>46160</v>
      </c>
      <c r="B1697" s="3" t="s">
        <v>1199</v>
      </c>
      <c r="C1697" s="0" t="n">
        <v>66</v>
      </c>
      <c r="D1697" s="0" t="n">
        <v>0</v>
      </c>
      <c r="E1697" s="0" t="str">
        <f aca="false">INDEX(lot!$B$2:$B$1201,MATCH(B1697,lot!$A$2:$A$1201,0))</f>
        <v>SUP-A</v>
      </c>
      <c r="F1697" s="3" t="n">
        <f aca="false">YEAR(A1697)*100+MONTH(A1697)</f>
        <v>202605</v>
      </c>
    </row>
    <row r="1698" customFormat="false" ht="15" hidden="false" customHeight="false" outlineLevel="0" collapsed="false">
      <c r="A1698" s="2" t="n">
        <v>46161</v>
      </c>
      <c r="B1698" s="3" t="s">
        <v>15</v>
      </c>
      <c r="C1698" s="0" t="n">
        <v>194</v>
      </c>
      <c r="D1698" s="0" t="n">
        <v>2</v>
      </c>
      <c r="E1698" s="0" t="str">
        <f aca="false">INDEX(lot!$B$2:$B$1201,MATCH(B1698,lot!$A$2:$A$1201,0))</f>
        <v>SUP-E</v>
      </c>
      <c r="F1698" s="3" t="n">
        <f aca="false">YEAR(A1698)*100+MONTH(A1698)</f>
        <v>202605</v>
      </c>
    </row>
    <row r="1699" customFormat="false" ht="15" hidden="false" customHeight="false" outlineLevel="0" collapsed="false">
      <c r="A1699" s="2" t="n">
        <v>46161</v>
      </c>
      <c r="B1699" s="3" t="s">
        <v>32</v>
      </c>
      <c r="C1699" s="0" t="n">
        <v>202</v>
      </c>
      <c r="D1699" s="0" t="n">
        <v>1</v>
      </c>
      <c r="E1699" s="0" t="str">
        <f aca="false">INDEX(lot!$B$2:$B$1201,MATCH(B1699,lot!$A$2:$A$1201,0))</f>
        <v>SUP-B</v>
      </c>
      <c r="F1699" s="3" t="n">
        <f aca="false">YEAR(A1699)*100+MONTH(A1699)</f>
        <v>202605</v>
      </c>
    </row>
    <row r="1700" customFormat="false" ht="15" hidden="false" customHeight="false" outlineLevel="0" collapsed="false">
      <c r="A1700" s="2" t="n">
        <v>46161</v>
      </c>
      <c r="B1700" s="3" t="s">
        <v>37</v>
      </c>
      <c r="C1700" s="0" t="n">
        <v>152</v>
      </c>
      <c r="D1700" s="0" t="n">
        <v>1</v>
      </c>
      <c r="E1700" s="0" t="str">
        <f aca="false">INDEX(lot!$B$2:$B$1201,MATCH(B1700,lot!$A$2:$A$1201,0))</f>
        <v>SUP-A</v>
      </c>
      <c r="F1700" s="3" t="n">
        <f aca="false">YEAR(A1700)*100+MONTH(A1700)</f>
        <v>202605</v>
      </c>
    </row>
    <row r="1701" customFormat="false" ht="15" hidden="false" customHeight="false" outlineLevel="0" collapsed="false">
      <c r="A1701" s="2" t="n">
        <v>46161</v>
      </c>
      <c r="B1701" s="3" t="s">
        <v>37</v>
      </c>
      <c r="C1701" s="0" t="n">
        <v>171</v>
      </c>
      <c r="D1701" s="0" t="n">
        <v>4</v>
      </c>
      <c r="E1701" s="0" t="str">
        <f aca="false">INDEX(lot!$B$2:$B$1201,MATCH(B1701,lot!$A$2:$A$1201,0))</f>
        <v>SUP-A</v>
      </c>
      <c r="F1701" s="3" t="n">
        <f aca="false">YEAR(A1701)*100+MONTH(A1701)</f>
        <v>202605</v>
      </c>
    </row>
    <row r="1702" customFormat="false" ht="15" hidden="false" customHeight="false" outlineLevel="0" collapsed="false">
      <c r="A1702" s="2" t="n">
        <v>46161</v>
      </c>
      <c r="B1702" s="3" t="s">
        <v>127</v>
      </c>
      <c r="C1702" s="0" t="n">
        <v>124</v>
      </c>
      <c r="D1702" s="0" t="n">
        <v>2</v>
      </c>
      <c r="E1702" s="0" t="str">
        <f aca="false">INDEX(lot!$B$2:$B$1201,MATCH(B1702,lot!$A$2:$A$1201,0))</f>
        <v>SUP-A</v>
      </c>
      <c r="F1702" s="3" t="n">
        <f aca="false">YEAR(A1702)*100+MONTH(A1702)</f>
        <v>202605</v>
      </c>
    </row>
    <row r="1703" customFormat="false" ht="15" hidden="false" customHeight="false" outlineLevel="0" collapsed="false">
      <c r="A1703" s="2" t="n">
        <v>46161</v>
      </c>
      <c r="B1703" s="3" t="s">
        <v>155</v>
      </c>
      <c r="C1703" s="0" t="n">
        <v>95</v>
      </c>
      <c r="D1703" s="0" t="n">
        <v>1</v>
      </c>
      <c r="E1703" s="0" t="str">
        <f aca="false">INDEX(lot!$B$2:$B$1201,MATCH(B1703,lot!$A$2:$A$1201,0))</f>
        <v>SUP-A</v>
      </c>
      <c r="F1703" s="3" t="n">
        <f aca="false">YEAR(A1703)*100+MONTH(A1703)</f>
        <v>202605</v>
      </c>
    </row>
    <row r="1704" customFormat="false" ht="15" hidden="false" customHeight="false" outlineLevel="0" collapsed="false">
      <c r="A1704" s="2" t="n">
        <v>46161</v>
      </c>
      <c r="B1704" s="3" t="s">
        <v>164</v>
      </c>
      <c r="C1704" s="0" t="n">
        <v>196</v>
      </c>
      <c r="D1704" s="0" t="n">
        <v>2</v>
      </c>
      <c r="E1704" s="0" t="str">
        <f aca="false">INDEX(lot!$B$2:$B$1201,MATCH(B1704,lot!$A$2:$A$1201,0))</f>
        <v>SUP-C</v>
      </c>
      <c r="F1704" s="3" t="n">
        <f aca="false">YEAR(A1704)*100+MONTH(A1704)</f>
        <v>202605</v>
      </c>
    </row>
    <row r="1705" customFormat="false" ht="15" hidden="false" customHeight="false" outlineLevel="0" collapsed="false">
      <c r="A1705" s="2" t="n">
        <v>46161</v>
      </c>
      <c r="B1705" s="3" t="s">
        <v>164</v>
      </c>
      <c r="C1705" s="0" t="n">
        <v>37</v>
      </c>
      <c r="D1705" s="0" t="n">
        <v>2</v>
      </c>
      <c r="E1705" s="0" t="str">
        <f aca="false">INDEX(lot!$B$2:$B$1201,MATCH(B1705,lot!$A$2:$A$1201,0))</f>
        <v>SUP-C</v>
      </c>
      <c r="F1705" s="3" t="n">
        <f aca="false">YEAR(A1705)*100+MONTH(A1705)</f>
        <v>202605</v>
      </c>
    </row>
    <row r="1706" customFormat="false" ht="15" hidden="false" customHeight="false" outlineLevel="0" collapsed="false">
      <c r="A1706" s="2" t="n">
        <v>46161</v>
      </c>
      <c r="B1706" s="3" t="s">
        <v>246</v>
      </c>
      <c r="C1706" s="0" t="n">
        <v>142</v>
      </c>
      <c r="D1706" s="0" t="n">
        <v>2</v>
      </c>
      <c r="E1706" s="0" t="str">
        <f aca="false">INDEX(lot!$B$2:$B$1201,MATCH(B1706,lot!$A$2:$A$1201,0))</f>
        <v>SUP-A</v>
      </c>
      <c r="F1706" s="3" t="n">
        <f aca="false">YEAR(A1706)*100+MONTH(A1706)</f>
        <v>202605</v>
      </c>
    </row>
    <row r="1707" customFormat="false" ht="15" hidden="false" customHeight="false" outlineLevel="0" collapsed="false">
      <c r="A1707" s="2" t="n">
        <v>46161</v>
      </c>
      <c r="B1707" s="3" t="s">
        <v>246</v>
      </c>
      <c r="C1707" s="0" t="n">
        <v>170</v>
      </c>
      <c r="D1707" s="0" t="n">
        <v>1</v>
      </c>
      <c r="E1707" s="0" t="str">
        <f aca="false">INDEX(lot!$B$2:$B$1201,MATCH(B1707,lot!$A$2:$A$1201,0))</f>
        <v>SUP-A</v>
      </c>
      <c r="F1707" s="3" t="n">
        <f aca="false">YEAR(A1707)*100+MONTH(A1707)</f>
        <v>202605</v>
      </c>
    </row>
    <row r="1708" customFormat="false" ht="15" hidden="false" customHeight="false" outlineLevel="0" collapsed="false">
      <c r="A1708" s="2" t="n">
        <v>46161</v>
      </c>
      <c r="B1708" s="3" t="s">
        <v>385</v>
      </c>
      <c r="C1708" s="0" t="n">
        <v>134</v>
      </c>
      <c r="D1708" s="0" t="n">
        <v>0</v>
      </c>
      <c r="E1708" s="0" t="str">
        <f aca="false">INDEX(lot!$B$2:$B$1201,MATCH(B1708,lot!$A$2:$A$1201,0))</f>
        <v>SUP-D</v>
      </c>
      <c r="F1708" s="3" t="n">
        <f aca="false">YEAR(A1708)*100+MONTH(A1708)</f>
        <v>202605</v>
      </c>
    </row>
    <row r="1709" customFormat="false" ht="15" hidden="false" customHeight="false" outlineLevel="0" collapsed="false">
      <c r="A1709" s="2" t="n">
        <v>46161</v>
      </c>
      <c r="B1709" s="3" t="s">
        <v>396</v>
      </c>
      <c r="C1709" s="0" t="n">
        <v>228</v>
      </c>
      <c r="D1709" s="0" t="n">
        <v>5</v>
      </c>
      <c r="E1709" s="0" t="str">
        <f aca="false">INDEX(lot!$B$2:$B$1201,MATCH(B1709,lot!$A$2:$A$1201,0))</f>
        <v>SUP-C</v>
      </c>
      <c r="F1709" s="3" t="n">
        <f aca="false">YEAR(A1709)*100+MONTH(A1709)</f>
        <v>202605</v>
      </c>
    </row>
    <row r="1710" customFormat="false" ht="15" hidden="false" customHeight="false" outlineLevel="0" collapsed="false">
      <c r="A1710" s="2" t="n">
        <v>46161</v>
      </c>
      <c r="B1710" s="3" t="s">
        <v>734</v>
      </c>
      <c r="C1710" s="0" t="n">
        <v>127</v>
      </c>
      <c r="D1710" s="0" t="n">
        <v>2</v>
      </c>
      <c r="E1710" s="0" t="str">
        <f aca="false">INDEX(lot!$B$2:$B$1201,MATCH(B1710,lot!$A$2:$A$1201,0))</f>
        <v>SUP-A</v>
      </c>
      <c r="F1710" s="3" t="n">
        <f aca="false">YEAR(A1710)*100+MONTH(A1710)</f>
        <v>202605</v>
      </c>
    </row>
    <row r="1711" customFormat="false" ht="15" hidden="false" customHeight="false" outlineLevel="0" collapsed="false">
      <c r="A1711" s="2" t="n">
        <v>46161</v>
      </c>
      <c r="B1711" s="3" t="s">
        <v>763</v>
      </c>
      <c r="C1711" s="0" t="n">
        <v>144</v>
      </c>
      <c r="D1711" s="0" t="n">
        <v>1</v>
      </c>
      <c r="E1711" s="0" t="str">
        <f aca="false">INDEX(lot!$B$2:$B$1201,MATCH(B1711,lot!$A$2:$A$1201,0))</f>
        <v>SUP-D</v>
      </c>
      <c r="F1711" s="3" t="n">
        <f aca="false">YEAR(A1711)*100+MONTH(A1711)</f>
        <v>202605</v>
      </c>
    </row>
    <row r="1712" customFormat="false" ht="15" hidden="false" customHeight="false" outlineLevel="0" collapsed="false">
      <c r="A1712" s="2" t="n">
        <v>46161</v>
      </c>
      <c r="B1712" s="3" t="s">
        <v>763</v>
      </c>
      <c r="C1712" s="0" t="n">
        <v>209</v>
      </c>
      <c r="D1712" s="0" t="n">
        <v>2</v>
      </c>
      <c r="E1712" s="0" t="str">
        <f aca="false">INDEX(lot!$B$2:$B$1201,MATCH(B1712,lot!$A$2:$A$1201,0))</f>
        <v>SUP-D</v>
      </c>
      <c r="F1712" s="3" t="n">
        <f aca="false">YEAR(A1712)*100+MONTH(A1712)</f>
        <v>202605</v>
      </c>
    </row>
    <row r="1713" customFormat="false" ht="15" hidden="false" customHeight="false" outlineLevel="0" collapsed="false">
      <c r="A1713" s="2" t="n">
        <v>46161</v>
      </c>
      <c r="B1713" s="3" t="s">
        <v>888</v>
      </c>
      <c r="C1713" s="0" t="n">
        <v>169</v>
      </c>
      <c r="D1713" s="0" t="n">
        <v>2</v>
      </c>
      <c r="E1713" s="0" t="str">
        <f aca="false">INDEX(lot!$B$2:$B$1201,MATCH(B1713,lot!$A$2:$A$1201,0))</f>
        <v>SUP-D</v>
      </c>
      <c r="F1713" s="3" t="n">
        <f aca="false">YEAR(A1713)*100+MONTH(A1713)</f>
        <v>202605</v>
      </c>
    </row>
    <row r="1714" customFormat="false" ht="15" hidden="false" customHeight="false" outlineLevel="0" collapsed="false">
      <c r="A1714" s="2" t="n">
        <v>46161</v>
      </c>
      <c r="B1714" s="3" t="s">
        <v>951</v>
      </c>
      <c r="C1714" s="0" t="n">
        <v>103</v>
      </c>
      <c r="D1714" s="0" t="n">
        <v>2</v>
      </c>
      <c r="E1714" s="0" t="str">
        <f aca="false">INDEX(lot!$B$2:$B$1201,MATCH(B1714,lot!$A$2:$A$1201,0))</f>
        <v>SUP-C</v>
      </c>
      <c r="F1714" s="3" t="n">
        <f aca="false">YEAR(A1714)*100+MONTH(A1714)</f>
        <v>202605</v>
      </c>
    </row>
    <row r="1715" customFormat="false" ht="15" hidden="false" customHeight="false" outlineLevel="0" collapsed="false">
      <c r="A1715" s="2" t="n">
        <v>46161</v>
      </c>
      <c r="B1715" s="3" t="s">
        <v>951</v>
      </c>
      <c r="C1715" s="0" t="n">
        <v>97</v>
      </c>
      <c r="D1715" s="0" t="n">
        <v>2</v>
      </c>
      <c r="E1715" s="0" t="str">
        <f aca="false">INDEX(lot!$B$2:$B$1201,MATCH(B1715,lot!$A$2:$A$1201,0))</f>
        <v>SUP-C</v>
      </c>
      <c r="F1715" s="3" t="n">
        <f aca="false">YEAR(A1715)*100+MONTH(A1715)</f>
        <v>202605</v>
      </c>
    </row>
    <row r="1716" customFormat="false" ht="15" hidden="false" customHeight="false" outlineLevel="0" collapsed="false">
      <c r="A1716" s="2" t="n">
        <v>46161</v>
      </c>
      <c r="B1716" s="3" t="s">
        <v>1139</v>
      </c>
      <c r="C1716" s="0" t="n">
        <v>88</v>
      </c>
      <c r="D1716" s="0" t="n">
        <v>1</v>
      </c>
      <c r="E1716" s="0" t="str">
        <f aca="false">INDEX(lot!$B$2:$B$1201,MATCH(B1716,lot!$A$2:$A$1201,0))</f>
        <v>SUP-A</v>
      </c>
      <c r="F1716" s="3" t="n">
        <f aca="false">YEAR(A1716)*100+MONTH(A1716)</f>
        <v>202605</v>
      </c>
    </row>
    <row r="1717" customFormat="false" ht="15" hidden="false" customHeight="false" outlineLevel="0" collapsed="false">
      <c r="A1717" s="2" t="n">
        <v>46161</v>
      </c>
      <c r="B1717" s="3" t="s">
        <v>1199</v>
      </c>
      <c r="C1717" s="0" t="n">
        <v>109</v>
      </c>
      <c r="D1717" s="0" t="n">
        <v>2</v>
      </c>
      <c r="E1717" s="0" t="str">
        <f aca="false">INDEX(lot!$B$2:$B$1201,MATCH(B1717,lot!$A$2:$A$1201,0))</f>
        <v>SUP-A</v>
      </c>
      <c r="F1717" s="3" t="n">
        <f aca="false">YEAR(A1717)*100+MONTH(A1717)</f>
        <v>202605</v>
      </c>
    </row>
    <row r="1718" customFormat="false" ht="15" hidden="false" customHeight="false" outlineLevel="0" collapsed="false">
      <c r="A1718" s="2" t="n">
        <v>46162</v>
      </c>
      <c r="B1718" s="3" t="s">
        <v>25</v>
      </c>
      <c r="C1718" s="0" t="n">
        <v>215</v>
      </c>
      <c r="D1718" s="0" t="n">
        <v>2</v>
      </c>
      <c r="E1718" s="0" t="str">
        <f aca="false">INDEX(lot!$B$2:$B$1201,MATCH(B1718,lot!$A$2:$A$1201,0))</f>
        <v>SUP-E</v>
      </c>
      <c r="F1718" s="3" t="n">
        <f aca="false">YEAR(A1718)*100+MONTH(A1718)</f>
        <v>202605</v>
      </c>
    </row>
    <row r="1719" customFormat="false" ht="15" hidden="false" customHeight="false" outlineLevel="0" collapsed="false">
      <c r="A1719" s="2" t="n">
        <v>46162</v>
      </c>
      <c r="B1719" s="3" t="s">
        <v>32</v>
      </c>
      <c r="C1719" s="0" t="n">
        <v>201</v>
      </c>
      <c r="D1719" s="0" t="n">
        <v>2</v>
      </c>
      <c r="E1719" s="0" t="str">
        <f aca="false">INDEX(lot!$B$2:$B$1201,MATCH(B1719,lot!$A$2:$A$1201,0))</f>
        <v>SUP-B</v>
      </c>
      <c r="F1719" s="3" t="n">
        <f aca="false">YEAR(A1719)*100+MONTH(A1719)</f>
        <v>202605</v>
      </c>
    </row>
    <row r="1720" customFormat="false" ht="15" hidden="false" customHeight="false" outlineLevel="0" collapsed="false">
      <c r="A1720" s="2" t="n">
        <v>46162</v>
      </c>
      <c r="B1720" s="3" t="s">
        <v>37</v>
      </c>
      <c r="C1720" s="0" t="n">
        <v>89</v>
      </c>
      <c r="D1720" s="0" t="n">
        <v>0</v>
      </c>
      <c r="E1720" s="0" t="str">
        <f aca="false">INDEX(lot!$B$2:$B$1201,MATCH(B1720,lot!$A$2:$A$1201,0))</f>
        <v>SUP-A</v>
      </c>
      <c r="F1720" s="3" t="n">
        <f aca="false">YEAR(A1720)*100+MONTH(A1720)</f>
        <v>202605</v>
      </c>
    </row>
    <row r="1721" customFormat="false" ht="15" hidden="false" customHeight="false" outlineLevel="0" collapsed="false">
      <c r="A1721" s="2" t="n">
        <v>46162</v>
      </c>
      <c r="B1721" s="3" t="s">
        <v>73</v>
      </c>
      <c r="C1721" s="0" t="n">
        <v>165</v>
      </c>
      <c r="D1721" s="0" t="n">
        <v>3</v>
      </c>
      <c r="E1721" s="0" t="str">
        <f aca="false">INDEX(lot!$B$2:$B$1201,MATCH(B1721,lot!$A$2:$A$1201,0))</f>
        <v>SUP-A</v>
      </c>
      <c r="F1721" s="3" t="n">
        <f aca="false">YEAR(A1721)*100+MONTH(A1721)</f>
        <v>202605</v>
      </c>
    </row>
    <row r="1722" customFormat="false" ht="15" hidden="false" customHeight="false" outlineLevel="0" collapsed="false">
      <c r="A1722" s="2" t="n">
        <v>46162</v>
      </c>
      <c r="B1722" s="3" t="s">
        <v>90</v>
      </c>
      <c r="C1722" s="0" t="n">
        <v>138</v>
      </c>
      <c r="D1722" s="0" t="n">
        <v>2</v>
      </c>
      <c r="E1722" s="0" t="str">
        <f aca="false">INDEX(lot!$B$2:$B$1201,MATCH(B1722,lot!$A$2:$A$1201,0))</f>
        <v>SUP-A</v>
      </c>
      <c r="F1722" s="3" t="n">
        <f aca="false">YEAR(A1722)*100+MONTH(A1722)</f>
        <v>202605</v>
      </c>
    </row>
    <row r="1723" customFormat="false" ht="15" hidden="false" customHeight="false" outlineLevel="0" collapsed="false">
      <c r="A1723" s="2" t="n">
        <v>46162</v>
      </c>
      <c r="B1723" s="3" t="s">
        <v>90</v>
      </c>
      <c r="C1723" s="0" t="n">
        <v>171</v>
      </c>
      <c r="D1723" s="0" t="n">
        <v>3</v>
      </c>
      <c r="E1723" s="0" t="str">
        <f aca="false">INDEX(lot!$B$2:$B$1201,MATCH(B1723,lot!$A$2:$A$1201,0))</f>
        <v>SUP-A</v>
      </c>
      <c r="F1723" s="3" t="n">
        <f aca="false">YEAR(A1723)*100+MONTH(A1723)</f>
        <v>202605</v>
      </c>
    </row>
    <row r="1724" customFormat="false" ht="15" hidden="false" customHeight="false" outlineLevel="0" collapsed="false">
      <c r="A1724" s="2" t="n">
        <v>46162</v>
      </c>
      <c r="B1724" s="3" t="s">
        <v>127</v>
      </c>
      <c r="C1724" s="0" t="n">
        <v>202</v>
      </c>
      <c r="D1724" s="0" t="n">
        <v>3</v>
      </c>
      <c r="E1724" s="0" t="str">
        <f aca="false">INDEX(lot!$B$2:$B$1201,MATCH(B1724,lot!$A$2:$A$1201,0))</f>
        <v>SUP-A</v>
      </c>
      <c r="F1724" s="3" t="n">
        <f aca="false">YEAR(A1724)*100+MONTH(A1724)</f>
        <v>202605</v>
      </c>
    </row>
    <row r="1725" customFormat="false" ht="15" hidden="false" customHeight="false" outlineLevel="0" collapsed="false">
      <c r="A1725" s="2" t="n">
        <v>46162</v>
      </c>
      <c r="B1725" s="3" t="s">
        <v>127</v>
      </c>
      <c r="C1725" s="0" t="n">
        <v>74</v>
      </c>
      <c r="D1725" s="0" t="n">
        <v>2</v>
      </c>
      <c r="E1725" s="0" t="str">
        <f aca="false">INDEX(lot!$B$2:$B$1201,MATCH(B1725,lot!$A$2:$A$1201,0))</f>
        <v>SUP-A</v>
      </c>
      <c r="F1725" s="3" t="n">
        <f aca="false">YEAR(A1725)*100+MONTH(A1725)</f>
        <v>202605</v>
      </c>
    </row>
    <row r="1726" customFormat="false" ht="15" hidden="false" customHeight="false" outlineLevel="0" collapsed="false">
      <c r="A1726" s="2" t="n">
        <v>46162</v>
      </c>
      <c r="B1726" s="3" t="s">
        <v>155</v>
      </c>
      <c r="C1726" s="0" t="n">
        <v>71</v>
      </c>
      <c r="D1726" s="0" t="n">
        <v>0</v>
      </c>
      <c r="E1726" s="0" t="str">
        <f aca="false">INDEX(lot!$B$2:$B$1201,MATCH(B1726,lot!$A$2:$A$1201,0))</f>
        <v>SUP-A</v>
      </c>
      <c r="F1726" s="3" t="n">
        <f aca="false">YEAR(A1726)*100+MONTH(A1726)</f>
        <v>202605</v>
      </c>
    </row>
    <row r="1727" customFormat="false" ht="15" hidden="false" customHeight="false" outlineLevel="0" collapsed="false">
      <c r="A1727" s="2" t="n">
        <v>46162</v>
      </c>
      <c r="B1727" s="3" t="s">
        <v>155</v>
      </c>
      <c r="C1727" s="0" t="n">
        <v>238</v>
      </c>
      <c r="D1727" s="0" t="n">
        <v>2</v>
      </c>
      <c r="E1727" s="0" t="str">
        <f aca="false">INDEX(lot!$B$2:$B$1201,MATCH(B1727,lot!$A$2:$A$1201,0))</f>
        <v>SUP-A</v>
      </c>
      <c r="F1727" s="3" t="n">
        <f aca="false">YEAR(A1727)*100+MONTH(A1727)</f>
        <v>202605</v>
      </c>
    </row>
    <row r="1728" customFormat="false" ht="15" hidden="false" customHeight="false" outlineLevel="0" collapsed="false">
      <c r="A1728" s="2" t="n">
        <v>46162</v>
      </c>
      <c r="B1728" s="3" t="s">
        <v>344</v>
      </c>
      <c r="C1728" s="0" t="n">
        <v>214</v>
      </c>
      <c r="D1728" s="0" t="n">
        <v>3</v>
      </c>
      <c r="E1728" s="0" t="str">
        <f aca="false">INDEX(lot!$B$2:$B$1201,MATCH(B1728,lot!$A$2:$A$1201,0))</f>
        <v>SUP-A</v>
      </c>
      <c r="F1728" s="3" t="n">
        <f aca="false">YEAR(A1728)*100+MONTH(A1728)</f>
        <v>202605</v>
      </c>
    </row>
    <row r="1729" customFormat="false" ht="15" hidden="false" customHeight="false" outlineLevel="0" collapsed="false">
      <c r="A1729" s="2" t="n">
        <v>46162</v>
      </c>
      <c r="B1729" s="3" t="s">
        <v>344</v>
      </c>
      <c r="C1729" s="0" t="n">
        <v>142</v>
      </c>
      <c r="D1729" s="0" t="n">
        <v>3</v>
      </c>
      <c r="E1729" s="0" t="str">
        <f aca="false">INDEX(lot!$B$2:$B$1201,MATCH(B1729,lot!$A$2:$A$1201,0))</f>
        <v>SUP-A</v>
      </c>
      <c r="F1729" s="3" t="n">
        <f aca="false">YEAR(A1729)*100+MONTH(A1729)</f>
        <v>202605</v>
      </c>
    </row>
    <row r="1730" customFormat="false" ht="15" hidden="false" customHeight="false" outlineLevel="0" collapsed="false">
      <c r="A1730" s="2" t="n">
        <v>46162</v>
      </c>
      <c r="B1730" s="3" t="s">
        <v>732</v>
      </c>
      <c r="C1730" s="0" t="n">
        <v>207</v>
      </c>
      <c r="D1730" s="0" t="n">
        <v>3</v>
      </c>
      <c r="E1730" s="0" t="str">
        <f aca="false">INDEX(lot!$B$2:$B$1201,MATCH(B1730,lot!$A$2:$A$1201,0))</f>
        <v>SUP-D</v>
      </c>
      <c r="F1730" s="3" t="n">
        <f aca="false">YEAR(A1730)*100+MONTH(A1730)</f>
        <v>202605</v>
      </c>
    </row>
    <row r="1731" customFormat="false" ht="15" hidden="false" customHeight="false" outlineLevel="0" collapsed="false">
      <c r="A1731" s="2" t="n">
        <v>46162</v>
      </c>
      <c r="B1731" s="3" t="s">
        <v>734</v>
      </c>
      <c r="C1731" s="0" t="n">
        <v>78</v>
      </c>
      <c r="D1731" s="0" t="n">
        <v>0</v>
      </c>
      <c r="E1731" s="0" t="str">
        <f aca="false">INDEX(lot!$B$2:$B$1201,MATCH(B1731,lot!$A$2:$A$1201,0))</f>
        <v>SUP-A</v>
      </c>
      <c r="F1731" s="3" t="n">
        <f aca="false">YEAR(A1731)*100+MONTH(A1731)</f>
        <v>202605</v>
      </c>
    </row>
    <row r="1732" customFormat="false" ht="15" hidden="false" customHeight="false" outlineLevel="0" collapsed="false">
      <c r="A1732" s="2" t="n">
        <v>46162</v>
      </c>
      <c r="B1732" s="3" t="s">
        <v>888</v>
      </c>
      <c r="C1732" s="0" t="n">
        <v>72</v>
      </c>
      <c r="D1732" s="0" t="n">
        <v>0</v>
      </c>
      <c r="E1732" s="0" t="str">
        <f aca="false">INDEX(lot!$B$2:$B$1201,MATCH(B1732,lot!$A$2:$A$1201,0))</f>
        <v>SUP-D</v>
      </c>
      <c r="F1732" s="3" t="n">
        <f aca="false">YEAR(A1732)*100+MONTH(A1732)</f>
        <v>202605</v>
      </c>
    </row>
    <row r="1733" customFormat="false" ht="15" hidden="false" customHeight="false" outlineLevel="0" collapsed="false">
      <c r="A1733" s="2" t="n">
        <v>46162</v>
      </c>
      <c r="B1733" s="3" t="s">
        <v>923</v>
      </c>
      <c r="C1733" s="0" t="n">
        <v>100</v>
      </c>
      <c r="D1733" s="0" t="n">
        <v>2</v>
      </c>
      <c r="E1733" s="0" t="str">
        <f aca="false">INDEX(lot!$B$2:$B$1201,MATCH(B1733,lot!$A$2:$A$1201,0))</f>
        <v>SUP-A</v>
      </c>
      <c r="F1733" s="3" t="n">
        <f aca="false">YEAR(A1733)*100+MONTH(A1733)</f>
        <v>202605</v>
      </c>
    </row>
    <row r="1734" customFormat="false" ht="15" hidden="false" customHeight="false" outlineLevel="0" collapsed="false">
      <c r="A1734" s="2" t="n">
        <v>46162</v>
      </c>
      <c r="B1734" s="3" t="s">
        <v>951</v>
      </c>
      <c r="C1734" s="0" t="n">
        <v>239</v>
      </c>
      <c r="D1734" s="0" t="n">
        <v>2</v>
      </c>
      <c r="E1734" s="0" t="str">
        <f aca="false">INDEX(lot!$B$2:$B$1201,MATCH(B1734,lot!$A$2:$A$1201,0))</f>
        <v>SUP-C</v>
      </c>
      <c r="F1734" s="3" t="n">
        <f aca="false">YEAR(A1734)*100+MONTH(A1734)</f>
        <v>202605</v>
      </c>
    </row>
    <row r="1735" customFormat="false" ht="15" hidden="false" customHeight="false" outlineLevel="0" collapsed="false">
      <c r="A1735" s="2" t="n">
        <v>46162</v>
      </c>
      <c r="B1735" s="3" t="s">
        <v>972</v>
      </c>
      <c r="C1735" s="0" t="n">
        <v>184</v>
      </c>
      <c r="D1735" s="0" t="n">
        <v>2</v>
      </c>
      <c r="E1735" s="0" t="str">
        <f aca="false">INDEX(lot!$B$2:$B$1201,MATCH(B1735,lot!$A$2:$A$1201,0))</f>
        <v>SUP-D</v>
      </c>
      <c r="F1735" s="3" t="n">
        <f aca="false">YEAR(A1735)*100+MONTH(A1735)</f>
        <v>202605</v>
      </c>
    </row>
    <row r="1736" customFormat="false" ht="15" hidden="false" customHeight="false" outlineLevel="0" collapsed="false">
      <c r="A1736" s="2" t="n">
        <v>46162</v>
      </c>
      <c r="B1736" s="3" t="s">
        <v>1139</v>
      </c>
      <c r="C1736" s="0" t="n">
        <v>76</v>
      </c>
      <c r="D1736" s="0" t="n">
        <v>2</v>
      </c>
      <c r="E1736" s="0" t="str">
        <f aca="false">INDEX(lot!$B$2:$B$1201,MATCH(B1736,lot!$A$2:$A$1201,0))</f>
        <v>SUP-A</v>
      </c>
      <c r="F1736" s="3" t="n">
        <f aca="false">YEAR(A1736)*100+MONTH(A1736)</f>
        <v>202605</v>
      </c>
    </row>
    <row r="1737" customFormat="false" ht="15" hidden="false" customHeight="false" outlineLevel="0" collapsed="false">
      <c r="A1737" s="2" t="n">
        <v>46162</v>
      </c>
      <c r="B1737" s="3" t="s">
        <v>1139</v>
      </c>
      <c r="C1737" s="0" t="n">
        <v>67</v>
      </c>
      <c r="D1737" s="0" t="n">
        <v>0</v>
      </c>
      <c r="E1737" s="0" t="str">
        <f aca="false">INDEX(lot!$B$2:$B$1201,MATCH(B1737,lot!$A$2:$A$1201,0))</f>
        <v>SUP-A</v>
      </c>
      <c r="F1737" s="3" t="n">
        <f aca="false">YEAR(A1737)*100+MONTH(A1737)</f>
        <v>202605</v>
      </c>
    </row>
    <row r="1738" customFormat="false" ht="15" hidden="false" customHeight="false" outlineLevel="0" collapsed="false">
      <c r="A1738" s="2" t="n">
        <v>46163</v>
      </c>
      <c r="B1738" s="3" t="s">
        <v>25</v>
      </c>
      <c r="C1738" s="0" t="n">
        <v>117</v>
      </c>
      <c r="D1738" s="0" t="n">
        <v>4</v>
      </c>
      <c r="E1738" s="0" t="str">
        <f aca="false">INDEX(lot!$B$2:$B$1201,MATCH(B1738,lot!$A$2:$A$1201,0))</f>
        <v>SUP-E</v>
      </c>
      <c r="F1738" s="3" t="n">
        <f aca="false">YEAR(A1738)*100+MONTH(A1738)</f>
        <v>202605</v>
      </c>
    </row>
    <row r="1739" customFormat="false" ht="15" hidden="false" customHeight="false" outlineLevel="0" collapsed="false">
      <c r="A1739" s="2" t="n">
        <v>46163</v>
      </c>
      <c r="B1739" s="3" t="s">
        <v>37</v>
      </c>
      <c r="C1739" s="0" t="n">
        <v>84</v>
      </c>
      <c r="D1739" s="0" t="n">
        <v>0</v>
      </c>
      <c r="E1739" s="0" t="str">
        <f aca="false">INDEX(lot!$B$2:$B$1201,MATCH(B1739,lot!$A$2:$A$1201,0))</f>
        <v>SUP-A</v>
      </c>
      <c r="F1739" s="3" t="n">
        <f aca="false">YEAR(A1739)*100+MONTH(A1739)</f>
        <v>202605</v>
      </c>
    </row>
    <row r="1740" customFormat="false" ht="15" hidden="false" customHeight="false" outlineLevel="0" collapsed="false">
      <c r="A1740" s="2" t="n">
        <v>46163</v>
      </c>
      <c r="B1740" s="3" t="s">
        <v>90</v>
      </c>
      <c r="C1740" s="0" t="n">
        <v>94</v>
      </c>
      <c r="D1740" s="0" t="n">
        <v>0</v>
      </c>
      <c r="E1740" s="0" t="str">
        <f aca="false">INDEX(lot!$B$2:$B$1201,MATCH(B1740,lot!$A$2:$A$1201,0))</f>
        <v>SUP-A</v>
      </c>
      <c r="F1740" s="3" t="n">
        <f aca="false">YEAR(A1740)*100+MONTH(A1740)</f>
        <v>202605</v>
      </c>
    </row>
    <row r="1741" customFormat="false" ht="15" hidden="false" customHeight="false" outlineLevel="0" collapsed="false">
      <c r="A1741" s="2" t="n">
        <v>46163</v>
      </c>
      <c r="B1741" s="3" t="s">
        <v>90</v>
      </c>
      <c r="C1741" s="0" t="n">
        <v>185</v>
      </c>
      <c r="D1741" s="0" t="n">
        <v>1</v>
      </c>
      <c r="E1741" s="0" t="str">
        <f aca="false">INDEX(lot!$B$2:$B$1201,MATCH(B1741,lot!$A$2:$A$1201,0))</f>
        <v>SUP-A</v>
      </c>
      <c r="F1741" s="3" t="n">
        <f aca="false">YEAR(A1741)*100+MONTH(A1741)</f>
        <v>202605</v>
      </c>
    </row>
    <row r="1742" customFormat="false" ht="15" hidden="false" customHeight="false" outlineLevel="0" collapsed="false">
      <c r="A1742" s="2" t="n">
        <v>46163</v>
      </c>
      <c r="B1742" s="3" t="s">
        <v>95</v>
      </c>
      <c r="C1742" s="0" t="n">
        <v>86</v>
      </c>
      <c r="D1742" s="0" t="n">
        <v>3</v>
      </c>
      <c r="E1742" s="0" t="str">
        <f aca="false">INDEX(lot!$B$2:$B$1201,MATCH(B1742,lot!$A$2:$A$1201,0))</f>
        <v>SUP-C</v>
      </c>
      <c r="F1742" s="3" t="n">
        <f aca="false">YEAR(A1742)*100+MONTH(A1742)</f>
        <v>202605</v>
      </c>
    </row>
    <row r="1743" customFormat="false" ht="15" hidden="false" customHeight="false" outlineLevel="0" collapsed="false">
      <c r="A1743" s="2" t="n">
        <v>46163</v>
      </c>
      <c r="B1743" s="3" t="s">
        <v>95</v>
      </c>
      <c r="C1743" s="0" t="n">
        <v>177</v>
      </c>
      <c r="D1743" s="0" t="n">
        <v>4</v>
      </c>
      <c r="E1743" s="0" t="str">
        <f aca="false">INDEX(lot!$B$2:$B$1201,MATCH(B1743,lot!$A$2:$A$1201,0))</f>
        <v>SUP-C</v>
      </c>
      <c r="F1743" s="3" t="n">
        <f aca="false">YEAR(A1743)*100+MONTH(A1743)</f>
        <v>202605</v>
      </c>
    </row>
    <row r="1744" customFormat="false" ht="15" hidden="false" customHeight="false" outlineLevel="0" collapsed="false">
      <c r="A1744" s="2" t="n">
        <v>46163</v>
      </c>
      <c r="B1744" s="3" t="s">
        <v>127</v>
      </c>
      <c r="C1744" s="0" t="n">
        <v>84</v>
      </c>
      <c r="D1744" s="0" t="n">
        <v>2</v>
      </c>
      <c r="E1744" s="0" t="str">
        <f aca="false">INDEX(lot!$B$2:$B$1201,MATCH(B1744,lot!$A$2:$A$1201,0))</f>
        <v>SUP-A</v>
      </c>
      <c r="F1744" s="3" t="n">
        <f aca="false">YEAR(A1744)*100+MONTH(A1744)</f>
        <v>202605</v>
      </c>
    </row>
    <row r="1745" customFormat="false" ht="15" hidden="false" customHeight="false" outlineLevel="0" collapsed="false">
      <c r="A1745" s="2" t="n">
        <v>46163</v>
      </c>
      <c r="B1745" s="3" t="s">
        <v>155</v>
      </c>
      <c r="C1745" s="0" t="n">
        <v>119</v>
      </c>
      <c r="D1745" s="0" t="n">
        <v>2</v>
      </c>
      <c r="E1745" s="0" t="str">
        <f aca="false">INDEX(lot!$B$2:$B$1201,MATCH(B1745,lot!$A$2:$A$1201,0))</f>
        <v>SUP-A</v>
      </c>
      <c r="F1745" s="3" t="n">
        <f aca="false">YEAR(A1745)*100+MONTH(A1745)</f>
        <v>202605</v>
      </c>
    </row>
    <row r="1746" customFormat="false" ht="15" hidden="false" customHeight="false" outlineLevel="0" collapsed="false">
      <c r="A1746" s="2" t="n">
        <v>46163</v>
      </c>
      <c r="B1746" s="3" t="s">
        <v>155</v>
      </c>
      <c r="C1746" s="0" t="n">
        <v>115</v>
      </c>
      <c r="D1746" s="0" t="n">
        <v>2</v>
      </c>
      <c r="E1746" s="0" t="str">
        <f aca="false">INDEX(lot!$B$2:$B$1201,MATCH(B1746,lot!$A$2:$A$1201,0))</f>
        <v>SUP-A</v>
      </c>
      <c r="F1746" s="3" t="n">
        <f aca="false">YEAR(A1746)*100+MONTH(A1746)</f>
        <v>202605</v>
      </c>
    </row>
    <row r="1747" customFormat="false" ht="15" hidden="false" customHeight="false" outlineLevel="0" collapsed="false">
      <c r="A1747" s="2" t="n">
        <v>46163</v>
      </c>
      <c r="B1747" s="3" t="s">
        <v>307</v>
      </c>
      <c r="C1747" s="0" t="n">
        <v>68</v>
      </c>
      <c r="D1747" s="0" t="n">
        <v>0</v>
      </c>
      <c r="E1747" s="0" t="str">
        <f aca="false">INDEX(lot!$B$2:$B$1201,MATCH(B1747,lot!$A$2:$A$1201,0))</f>
        <v>SUP-E</v>
      </c>
      <c r="F1747" s="3" t="n">
        <f aca="false">YEAR(A1747)*100+MONTH(A1747)</f>
        <v>202605</v>
      </c>
    </row>
    <row r="1748" customFormat="false" ht="15" hidden="false" customHeight="false" outlineLevel="0" collapsed="false">
      <c r="A1748" s="2" t="n">
        <v>46163</v>
      </c>
      <c r="B1748" s="3" t="s">
        <v>406</v>
      </c>
      <c r="C1748" s="0" t="n">
        <v>103</v>
      </c>
      <c r="D1748" s="0" t="n">
        <v>3</v>
      </c>
      <c r="E1748" s="0" t="str">
        <f aca="false">INDEX(lot!$B$2:$B$1201,MATCH(B1748,lot!$A$2:$A$1201,0))</f>
        <v>SUP-A</v>
      </c>
      <c r="F1748" s="3" t="n">
        <f aca="false">YEAR(A1748)*100+MONTH(A1748)</f>
        <v>202605</v>
      </c>
    </row>
    <row r="1749" customFormat="false" ht="15" hidden="false" customHeight="false" outlineLevel="0" collapsed="false">
      <c r="A1749" s="2" t="n">
        <v>46163</v>
      </c>
      <c r="B1749" s="3" t="s">
        <v>490</v>
      </c>
      <c r="C1749" s="0" t="n">
        <v>72</v>
      </c>
      <c r="D1749" s="0" t="n">
        <v>1</v>
      </c>
      <c r="E1749" s="0" t="str">
        <f aca="false">INDEX(lot!$B$2:$B$1201,MATCH(B1749,lot!$A$2:$A$1201,0))</f>
        <v>SUP-E</v>
      </c>
      <c r="F1749" s="3" t="n">
        <f aca="false">YEAR(A1749)*100+MONTH(A1749)</f>
        <v>202605</v>
      </c>
    </row>
    <row r="1750" customFormat="false" ht="15" hidden="false" customHeight="false" outlineLevel="0" collapsed="false">
      <c r="A1750" s="2" t="n">
        <v>46163</v>
      </c>
      <c r="B1750" s="3" t="s">
        <v>561</v>
      </c>
      <c r="C1750" s="0" t="n">
        <v>117</v>
      </c>
      <c r="D1750" s="0" t="n">
        <v>0</v>
      </c>
      <c r="E1750" s="0" t="str">
        <f aca="false">INDEX(lot!$B$2:$B$1201,MATCH(B1750,lot!$A$2:$A$1201,0))</f>
        <v>SUP-D</v>
      </c>
      <c r="F1750" s="3" t="n">
        <f aca="false">YEAR(A1750)*100+MONTH(A1750)</f>
        <v>202605</v>
      </c>
    </row>
    <row r="1751" customFormat="false" ht="15" hidden="false" customHeight="false" outlineLevel="0" collapsed="false">
      <c r="A1751" s="2" t="n">
        <v>46163</v>
      </c>
      <c r="B1751" s="3" t="s">
        <v>561</v>
      </c>
      <c r="C1751" s="0" t="n">
        <v>173</v>
      </c>
      <c r="D1751" s="0" t="n">
        <v>3</v>
      </c>
      <c r="E1751" s="0" t="str">
        <f aca="false">INDEX(lot!$B$2:$B$1201,MATCH(B1751,lot!$A$2:$A$1201,0))</f>
        <v>SUP-D</v>
      </c>
      <c r="F1751" s="3" t="n">
        <f aca="false">YEAR(A1751)*100+MONTH(A1751)</f>
        <v>202605</v>
      </c>
    </row>
    <row r="1752" customFormat="false" ht="15" hidden="false" customHeight="false" outlineLevel="0" collapsed="false">
      <c r="A1752" s="2" t="n">
        <v>46163</v>
      </c>
      <c r="B1752" s="3" t="s">
        <v>632</v>
      </c>
      <c r="C1752" s="0" t="n">
        <v>70</v>
      </c>
      <c r="D1752" s="0" t="n">
        <v>0</v>
      </c>
      <c r="E1752" s="0" t="str">
        <f aca="false">INDEX(lot!$B$2:$B$1201,MATCH(B1752,lot!$A$2:$A$1201,0))</f>
        <v>SUP-A</v>
      </c>
      <c r="F1752" s="3" t="n">
        <f aca="false">YEAR(A1752)*100+MONTH(A1752)</f>
        <v>202605</v>
      </c>
    </row>
    <row r="1753" customFormat="false" ht="15" hidden="false" customHeight="false" outlineLevel="0" collapsed="false">
      <c r="A1753" s="2" t="n">
        <v>46163</v>
      </c>
      <c r="B1753" s="3" t="s">
        <v>632</v>
      </c>
      <c r="C1753" s="0" t="n">
        <v>142</v>
      </c>
      <c r="D1753" s="0" t="n">
        <v>1</v>
      </c>
      <c r="E1753" s="0" t="str">
        <f aca="false">INDEX(lot!$B$2:$B$1201,MATCH(B1753,lot!$A$2:$A$1201,0))</f>
        <v>SUP-A</v>
      </c>
      <c r="F1753" s="3" t="n">
        <f aca="false">YEAR(A1753)*100+MONTH(A1753)</f>
        <v>202605</v>
      </c>
    </row>
    <row r="1754" customFormat="false" ht="15" hidden="false" customHeight="false" outlineLevel="0" collapsed="false">
      <c r="A1754" s="2" t="n">
        <v>46163</v>
      </c>
      <c r="B1754" s="3" t="s">
        <v>689</v>
      </c>
      <c r="C1754" s="0" t="n">
        <v>197</v>
      </c>
      <c r="D1754" s="0" t="n">
        <v>2</v>
      </c>
      <c r="E1754" s="0" t="str">
        <f aca="false">INDEX(lot!$B$2:$B$1201,MATCH(B1754,lot!$A$2:$A$1201,0))</f>
        <v>SUP-D</v>
      </c>
      <c r="F1754" s="3" t="n">
        <f aca="false">YEAR(A1754)*100+MONTH(A1754)</f>
        <v>202605</v>
      </c>
    </row>
    <row r="1755" customFormat="false" ht="15" hidden="false" customHeight="false" outlineLevel="0" collapsed="false">
      <c r="A1755" s="2" t="n">
        <v>46163</v>
      </c>
      <c r="B1755" s="3" t="s">
        <v>732</v>
      </c>
      <c r="C1755" s="0" t="n">
        <v>194</v>
      </c>
      <c r="D1755" s="0" t="n">
        <v>2</v>
      </c>
      <c r="E1755" s="0" t="str">
        <f aca="false">INDEX(lot!$B$2:$B$1201,MATCH(B1755,lot!$A$2:$A$1201,0))</f>
        <v>SUP-D</v>
      </c>
      <c r="F1755" s="3" t="n">
        <f aca="false">YEAR(A1755)*100+MONTH(A1755)</f>
        <v>202605</v>
      </c>
    </row>
    <row r="1756" customFormat="false" ht="15" hidden="false" customHeight="false" outlineLevel="0" collapsed="false">
      <c r="A1756" s="2" t="n">
        <v>46163</v>
      </c>
      <c r="B1756" s="3" t="s">
        <v>734</v>
      </c>
      <c r="C1756" s="0" t="n">
        <v>232</v>
      </c>
      <c r="D1756" s="0" t="n">
        <v>3</v>
      </c>
      <c r="E1756" s="0" t="str">
        <f aca="false">INDEX(lot!$B$2:$B$1201,MATCH(B1756,lot!$A$2:$A$1201,0))</f>
        <v>SUP-A</v>
      </c>
      <c r="F1756" s="3" t="n">
        <f aca="false">YEAR(A1756)*100+MONTH(A1756)</f>
        <v>202605</v>
      </c>
    </row>
    <row r="1757" customFormat="false" ht="15" hidden="false" customHeight="false" outlineLevel="0" collapsed="false">
      <c r="A1757" s="2" t="n">
        <v>46163</v>
      </c>
      <c r="B1757" s="3" t="s">
        <v>923</v>
      </c>
      <c r="C1757" s="0" t="n">
        <v>152</v>
      </c>
      <c r="D1757" s="0" t="n">
        <v>2</v>
      </c>
      <c r="E1757" s="0" t="str">
        <f aca="false">INDEX(lot!$B$2:$B$1201,MATCH(B1757,lot!$A$2:$A$1201,0))</f>
        <v>SUP-A</v>
      </c>
      <c r="F1757" s="3" t="n">
        <f aca="false">YEAR(A1757)*100+MONTH(A1757)</f>
        <v>202605</v>
      </c>
    </row>
    <row r="1758" customFormat="false" ht="15" hidden="false" customHeight="false" outlineLevel="0" collapsed="false">
      <c r="A1758" s="2" t="n">
        <v>46163</v>
      </c>
      <c r="B1758" s="3" t="s">
        <v>923</v>
      </c>
      <c r="C1758" s="0" t="n">
        <v>131</v>
      </c>
      <c r="D1758" s="0" t="n">
        <v>1</v>
      </c>
      <c r="E1758" s="0" t="str">
        <f aca="false">INDEX(lot!$B$2:$B$1201,MATCH(B1758,lot!$A$2:$A$1201,0))</f>
        <v>SUP-A</v>
      </c>
      <c r="F1758" s="3" t="n">
        <f aca="false">YEAR(A1758)*100+MONTH(A1758)</f>
        <v>202605</v>
      </c>
    </row>
    <row r="1759" customFormat="false" ht="15" hidden="false" customHeight="false" outlineLevel="0" collapsed="false">
      <c r="A1759" s="2" t="n">
        <v>46163</v>
      </c>
      <c r="B1759" s="3" t="s">
        <v>951</v>
      </c>
      <c r="C1759" s="0" t="n">
        <v>63</v>
      </c>
      <c r="D1759" s="0" t="n">
        <v>3</v>
      </c>
      <c r="E1759" s="0" t="str">
        <f aca="false">INDEX(lot!$B$2:$B$1201,MATCH(B1759,lot!$A$2:$A$1201,0))</f>
        <v>SUP-C</v>
      </c>
      <c r="F1759" s="3" t="n">
        <f aca="false">YEAR(A1759)*100+MONTH(A1759)</f>
        <v>202605</v>
      </c>
    </row>
    <row r="1760" customFormat="false" ht="15" hidden="false" customHeight="false" outlineLevel="0" collapsed="false">
      <c r="A1760" s="2" t="n">
        <v>46163</v>
      </c>
      <c r="B1760" s="3" t="s">
        <v>951</v>
      </c>
      <c r="C1760" s="0" t="n">
        <v>194</v>
      </c>
      <c r="D1760" s="0" t="n">
        <v>6</v>
      </c>
      <c r="E1760" s="0" t="str">
        <f aca="false">INDEX(lot!$B$2:$B$1201,MATCH(B1760,lot!$A$2:$A$1201,0))</f>
        <v>SUP-C</v>
      </c>
      <c r="F1760" s="3" t="n">
        <f aca="false">YEAR(A1760)*100+MONTH(A1760)</f>
        <v>202605</v>
      </c>
    </row>
    <row r="1761" customFormat="false" ht="15" hidden="false" customHeight="false" outlineLevel="0" collapsed="false">
      <c r="A1761" s="2" t="n">
        <v>46163</v>
      </c>
      <c r="B1761" s="3" t="s">
        <v>972</v>
      </c>
      <c r="C1761" s="0" t="n">
        <v>67</v>
      </c>
      <c r="D1761" s="0" t="n">
        <v>0</v>
      </c>
      <c r="E1761" s="0" t="str">
        <f aca="false">INDEX(lot!$B$2:$B$1201,MATCH(B1761,lot!$A$2:$A$1201,0))</f>
        <v>SUP-D</v>
      </c>
      <c r="F1761" s="3" t="n">
        <f aca="false">YEAR(A1761)*100+MONTH(A1761)</f>
        <v>202605</v>
      </c>
    </row>
    <row r="1762" customFormat="false" ht="15" hidden="false" customHeight="false" outlineLevel="0" collapsed="false">
      <c r="A1762" s="2" t="n">
        <v>46163</v>
      </c>
      <c r="B1762" s="3" t="s">
        <v>1125</v>
      </c>
      <c r="C1762" s="0" t="n">
        <v>207</v>
      </c>
      <c r="D1762" s="0" t="n">
        <v>2</v>
      </c>
      <c r="E1762" s="0" t="str">
        <f aca="false">INDEX(lot!$B$2:$B$1201,MATCH(B1762,lot!$A$2:$A$1201,0))</f>
        <v>SUP-D</v>
      </c>
      <c r="F1762" s="3" t="n">
        <f aca="false">YEAR(A1762)*100+MONTH(A1762)</f>
        <v>202605</v>
      </c>
    </row>
    <row r="1763" customFormat="false" ht="15" hidden="false" customHeight="false" outlineLevel="0" collapsed="false">
      <c r="A1763" s="2" t="n">
        <v>46164</v>
      </c>
      <c r="B1763" s="3" t="s">
        <v>49</v>
      </c>
      <c r="C1763" s="0" t="n">
        <v>191</v>
      </c>
      <c r="D1763" s="0" t="n">
        <v>1</v>
      </c>
      <c r="E1763" s="0" t="str">
        <f aca="false">INDEX(lot!$B$2:$B$1201,MATCH(B1763,lot!$A$2:$A$1201,0))</f>
        <v>SUP-D</v>
      </c>
      <c r="F1763" s="3" t="n">
        <f aca="false">YEAR(A1763)*100+MONTH(A1763)</f>
        <v>202605</v>
      </c>
    </row>
    <row r="1764" customFormat="false" ht="15" hidden="false" customHeight="false" outlineLevel="0" collapsed="false">
      <c r="A1764" s="2" t="n">
        <v>46164</v>
      </c>
      <c r="B1764" s="3" t="s">
        <v>49</v>
      </c>
      <c r="C1764" s="0" t="n">
        <v>161</v>
      </c>
      <c r="D1764" s="0" t="n">
        <v>3</v>
      </c>
      <c r="E1764" s="0" t="str">
        <f aca="false">INDEX(lot!$B$2:$B$1201,MATCH(B1764,lot!$A$2:$A$1201,0))</f>
        <v>SUP-D</v>
      </c>
      <c r="F1764" s="3" t="n">
        <f aca="false">YEAR(A1764)*100+MONTH(A1764)</f>
        <v>202605</v>
      </c>
    </row>
    <row r="1765" customFormat="false" ht="15" hidden="false" customHeight="false" outlineLevel="0" collapsed="false">
      <c r="A1765" s="2" t="n">
        <v>46164</v>
      </c>
      <c r="B1765" s="3" t="s">
        <v>95</v>
      </c>
      <c r="C1765" s="0" t="n">
        <v>110</v>
      </c>
      <c r="D1765" s="0" t="n">
        <v>3</v>
      </c>
      <c r="E1765" s="0" t="str">
        <f aca="false">INDEX(lot!$B$2:$B$1201,MATCH(B1765,lot!$A$2:$A$1201,0))</f>
        <v>SUP-C</v>
      </c>
      <c r="F1765" s="3" t="n">
        <f aca="false">YEAR(A1765)*100+MONTH(A1765)</f>
        <v>202605</v>
      </c>
    </row>
    <row r="1766" customFormat="false" ht="15" hidden="false" customHeight="false" outlineLevel="0" collapsed="false">
      <c r="A1766" s="2" t="n">
        <v>46164</v>
      </c>
      <c r="B1766" s="3" t="s">
        <v>292</v>
      </c>
      <c r="C1766" s="0" t="n">
        <v>239</v>
      </c>
      <c r="D1766" s="0" t="n">
        <v>2</v>
      </c>
      <c r="E1766" s="0" t="str">
        <f aca="false">INDEX(lot!$B$2:$B$1201,MATCH(B1766,lot!$A$2:$A$1201,0))</f>
        <v>SUP-D</v>
      </c>
      <c r="F1766" s="3" t="n">
        <f aca="false">YEAR(A1766)*100+MONTH(A1766)</f>
        <v>202605</v>
      </c>
    </row>
    <row r="1767" customFormat="false" ht="15" hidden="false" customHeight="false" outlineLevel="0" collapsed="false">
      <c r="A1767" s="2" t="n">
        <v>46164</v>
      </c>
      <c r="B1767" s="3" t="s">
        <v>307</v>
      </c>
      <c r="C1767" s="0" t="n">
        <v>122</v>
      </c>
      <c r="D1767" s="0" t="n">
        <v>1</v>
      </c>
      <c r="E1767" s="0" t="str">
        <f aca="false">INDEX(lot!$B$2:$B$1201,MATCH(B1767,lot!$A$2:$A$1201,0))</f>
        <v>SUP-E</v>
      </c>
      <c r="F1767" s="3" t="n">
        <f aca="false">YEAR(A1767)*100+MONTH(A1767)</f>
        <v>202605</v>
      </c>
    </row>
    <row r="1768" customFormat="false" ht="15" hidden="false" customHeight="false" outlineLevel="0" collapsed="false">
      <c r="A1768" s="2" t="n">
        <v>46164</v>
      </c>
      <c r="B1768" s="3" t="s">
        <v>406</v>
      </c>
      <c r="C1768" s="0" t="n">
        <v>65</v>
      </c>
      <c r="D1768" s="0" t="n">
        <v>0</v>
      </c>
      <c r="E1768" s="0" t="str">
        <f aca="false">INDEX(lot!$B$2:$B$1201,MATCH(B1768,lot!$A$2:$A$1201,0))</f>
        <v>SUP-A</v>
      </c>
      <c r="F1768" s="3" t="n">
        <f aca="false">YEAR(A1768)*100+MONTH(A1768)</f>
        <v>202605</v>
      </c>
    </row>
    <row r="1769" customFormat="false" ht="15" hidden="false" customHeight="false" outlineLevel="0" collapsed="false">
      <c r="A1769" s="2" t="n">
        <v>46164</v>
      </c>
      <c r="B1769" s="3" t="s">
        <v>490</v>
      </c>
      <c r="C1769" s="0" t="n">
        <v>141</v>
      </c>
      <c r="D1769" s="0" t="n">
        <v>2</v>
      </c>
      <c r="E1769" s="0" t="str">
        <f aca="false">INDEX(lot!$B$2:$B$1201,MATCH(B1769,lot!$A$2:$A$1201,0))</f>
        <v>SUP-E</v>
      </c>
      <c r="F1769" s="3" t="n">
        <f aca="false">YEAR(A1769)*100+MONTH(A1769)</f>
        <v>202605</v>
      </c>
    </row>
    <row r="1770" customFormat="false" ht="15" hidden="false" customHeight="false" outlineLevel="0" collapsed="false">
      <c r="A1770" s="2" t="n">
        <v>46164</v>
      </c>
      <c r="B1770" s="3" t="s">
        <v>509</v>
      </c>
      <c r="C1770" s="0" t="n">
        <v>222</v>
      </c>
      <c r="D1770" s="0" t="n">
        <v>2</v>
      </c>
      <c r="E1770" s="0" t="str">
        <f aca="false">INDEX(lot!$B$2:$B$1201,MATCH(B1770,lot!$A$2:$A$1201,0))</f>
        <v>SUP-A</v>
      </c>
      <c r="F1770" s="3" t="n">
        <f aca="false">YEAR(A1770)*100+MONTH(A1770)</f>
        <v>202605</v>
      </c>
    </row>
    <row r="1771" customFormat="false" ht="15" hidden="false" customHeight="false" outlineLevel="0" collapsed="false">
      <c r="A1771" s="2" t="n">
        <v>46164</v>
      </c>
      <c r="B1771" s="3" t="s">
        <v>519</v>
      </c>
      <c r="C1771" s="0" t="n">
        <v>233</v>
      </c>
      <c r="D1771" s="0" t="n">
        <v>6</v>
      </c>
      <c r="E1771" s="0" t="str">
        <f aca="false">INDEX(lot!$B$2:$B$1201,MATCH(B1771,lot!$A$2:$A$1201,0))</f>
        <v>SUP-C</v>
      </c>
      <c r="F1771" s="3" t="n">
        <f aca="false">YEAR(A1771)*100+MONTH(A1771)</f>
        <v>202605</v>
      </c>
    </row>
    <row r="1772" customFormat="false" ht="15" hidden="false" customHeight="false" outlineLevel="0" collapsed="false">
      <c r="A1772" s="2" t="n">
        <v>46164</v>
      </c>
      <c r="B1772" s="3" t="s">
        <v>523</v>
      </c>
      <c r="C1772" s="0" t="n">
        <v>145</v>
      </c>
      <c r="D1772" s="0" t="n">
        <v>4</v>
      </c>
      <c r="E1772" s="0" t="str">
        <f aca="false">INDEX(lot!$B$2:$B$1201,MATCH(B1772,lot!$A$2:$A$1201,0))</f>
        <v>SUP-C</v>
      </c>
      <c r="F1772" s="3" t="n">
        <f aca="false">YEAR(A1772)*100+MONTH(A1772)</f>
        <v>202605</v>
      </c>
    </row>
    <row r="1773" customFormat="false" ht="15" hidden="false" customHeight="false" outlineLevel="0" collapsed="false">
      <c r="A1773" s="2" t="n">
        <v>46164</v>
      </c>
      <c r="B1773" s="3" t="s">
        <v>523</v>
      </c>
      <c r="C1773" s="0" t="n">
        <v>194</v>
      </c>
      <c r="D1773" s="0" t="n">
        <v>4</v>
      </c>
      <c r="E1773" s="0" t="str">
        <f aca="false">INDEX(lot!$B$2:$B$1201,MATCH(B1773,lot!$A$2:$A$1201,0))</f>
        <v>SUP-C</v>
      </c>
      <c r="F1773" s="3" t="n">
        <f aca="false">YEAR(A1773)*100+MONTH(A1773)</f>
        <v>202605</v>
      </c>
    </row>
    <row r="1774" customFormat="false" ht="15" hidden="false" customHeight="false" outlineLevel="0" collapsed="false">
      <c r="A1774" s="2" t="n">
        <v>46164</v>
      </c>
      <c r="B1774" s="3" t="s">
        <v>561</v>
      </c>
      <c r="C1774" s="0" t="n">
        <v>168</v>
      </c>
      <c r="D1774" s="0" t="n">
        <v>0</v>
      </c>
      <c r="E1774" s="0" t="str">
        <f aca="false">INDEX(lot!$B$2:$B$1201,MATCH(B1774,lot!$A$2:$A$1201,0))</f>
        <v>SUP-D</v>
      </c>
      <c r="F1774" s="3" t="n">
        <f aca="false">YEAR(A1774)*100+MONTH(A1774)</f>
        <v>202605</v>
      </c>
    </row>
    <row r="1775" customFormat="false" ht="15" hidden="false" customHeight="false" outlineLevel="0" collapsed="false">
      <c r="A1775" s="2" t="n">
        <v>46164</v>
      </c>
      <c r="B1775" s="3" t="s">
        <v>561</v>
      </c>
      <c r="C1775" s="0" t="n">
        <v>181</v>
      </c>
      <c r="D1775" s="0" t="n">
        <v>0</v>
      </c>
      <c r="E1775" s="0" t="str">
        <f aca="false">INDEX(lot!$B$2:$B$1201,MATCH(B1775,lot!$A$2:$A$1201,0))</f>
        <v>SUP-D</v>
      </c>
      <c r="F1775" s="3" t="n">
        <f aca="false">YEAR(A1775)*100+MONTH(A1775)</f>
        <v>202605</v>
      </c>
    </row>
    <row r="1776" customFormat="false" ht="15" hidden="false" customHeight="false" outlineLevel="0" collapsed="false">
      <c r="A1776" s="2" t="n">
        <v>46164</v>
      </c>
      <c r="B1776" s="3" t="s">
        <v>632</v>
      </c>
      <c r="C1776" s="0" t="n">
        <v>206</v>
      </c>
      <c r="D1776" s="0" t="n">
        <v>3</v>
      </c>
      <c r="E1776" s="0" t="str">
        <f aca="false">INDEX(lot!$B$2:$B$1201,MATCH(B1776,lot!$A$2:$A$1201,0))</f>
        <v>SUP-A</v>
      </c>
      <c r="F1776" s="3" t="n">
        <f aca="false">YEAR(A1776)*100+MONTH(A1776)</f>
        <v>202605</v>
      </c>
    </row>
    <row r="1777" customFormat="false" ht="15" hidden="false" customHeight="false" outlineLevel="0" collapsed="false">
      <c r="A1777" s="2" t="n">
        <v>46164</v>
      </c>
      <c r="B1777" s="3" t="s">
        <v>632</v>
      </c>
      <c r="C1777" s="0" t="n">
        <v>196</v>
      </c>
      <c r="D1777" s="0" t="n">
        <v>3</v>
      </c>
      <c r="E1777" s="0" t="str">
        <f aca="false">INDEX(lot!$B$2:$B$1201,MATCH(B1777,lot!$A$2:$A$1201,0))</f>
        <v>SUP-A</v>
      </c>
      <c r="F1777" s="3" t="n">
        <f aca="false">YEAR(A1777)*100+MONTH(A1777)</f>
        <v>202605</v>
      </c>
    </row>
    <row r="1778" customFormat="false" ht="15" hidden="false" customHeight="false" outlineLevel="0" collapsed="false">
      <c r="A1778" s="2" t="n">
        <v>46164</v>
      </c>
      <c r="B1778" s="3" t="s">
        <v>689</v>
      </c>
      <c r="C1778" s="0" t="n">
        <v>133</v>
      </c>
      <c r="D1778" s="0" t="n">
        <v>2</v>
      </c>
      <c r="E1778" s="0" t="str">
        <f aca="false">INDEX(lot!$B$2:$B$1201,MATCH(B1778,lot!$A$2:$A$1201,0))</f>
        <v>SUP-D</v>
      </c>
      <c r="F1778" s="3" t="n">
        <f aca="false">YEAR(A1778)*100+MONTH(A1778)</f>
        <v>202605</v>
      </c>
    </row>
    <row r="1779" customFormat="false" ht="15" hidden="false" customHeight="false" outlineLevel="0" collapsed="false">
      <c r="A1779" s="2" t="n">
        <v>46164</v>
      </c>
      <c r="B1779" s="3" t="s">
        <v>689</v>
      </c>
      <c r="C1779" s="0" t="n">
        <v>154</v>
      </c>
      <c r="D1779" s="0" t="n">
        <v>1</v>
      </c>
      <c r="E1779" s="0" t="str">
        <f aca="false">INDEX(lot!$B$2:$B$1201,MATCH(B1779,lot!$A$2:$A$1201,0))</f>
        <v>SUP-D</v>
      </c>
      <c r="F1779" s="3" t="n">
        <f aca="false">YEAR(A1779)*100+MONTH(A1779)</f>
        <v>202605</v>
      </c>
    </row>
    <row r="1780" customFormat="false" ht="15" hidden="false" customHeight="false" outlineLevel="0" collapsed="false">
      <c r="A1780" s="2" t="n">
        <v>46164</v>
      </c>
      <c r="B1780" s="3" t="s">
        <v>694</v>
      </c>
      <c r="C1780" s="0" t="n">
        <v>76</v>
      </c>
      <c r="D1780" s="0" t="n">
        <v>1</v>
      </c>
      <c r="E1780" s="0" t="str">
        <f aca="false">INDEX(lot!$B$2:$B$1201,MATCH(B1780,lot!$A$2:$A$1201,0))</f>
        <v>SUP-C</v>
      </c>
      <c r="F1780" s="3" t="n">
        <f aca="false">YEAR(A1780)*100+MONTH(A1780)</f>
        <v>202605</v>
      </c>
    </row>
    <row r="1781" customFormat="false" ht="15" hidden="false" customHeight="false" outlineLevel="0" collapsed="false">
      <c r="A1781" s="2" t="n">
        <v>46164</v>
      </c>
      <c r="B1781" s="3" t="s">
        <v>694</v>
      </c>
      <c r="C1781" s="0" t="n">
        <v>105</v>
      </c>
      <c r="D1781" s="0" t="n">
        <v>2</v>
      </c>
      <c r="E1781" s="0" t="str">
        <f aca="false">INDEX(lot!$B$2:$B$1201,MATCH(B1781,lot!$A$2:$A$1201,0))</f>
        <v>SUP-C</v>
      </c>
      <c r="F1781" s="3" t="n">
        <f aca="false">YEAR(A1781)*100+MONTH(A1781)</f>
        <v>202605</v>
      </c>
    </row>
    <row r="1782" customFormat="false" ht="15" hidden="false" customHeight="false" outlineLevel="0" collapsed="false">
      <c r="A1782" s="2" t="n">
        <v>46164</v>
      </c>
      <c r="B1782" s="3" t="s">
        <v>732</v>
      </c>
      <c r="C1782" s="0" t="n">
        <v>92</v>
      </c>
      <c r="D1782" s="0" t="n">
        <v>1</v>
      </c>
      <c r="E1782" s="0" t="str">
        <f aca="false">INDEX(lot!$B$2:$B$1201,MATCH(B1782,lot!$A$2:$A$1201,0))</f>
        <v>SUP-D</v>
      </c>
      <c r="F1782" s="3" t="n">
        <f aca="false">YEAR(A1782)*100+MONTH(A1782)</f>
        <v>202605</v>
      </c>
    </row>
    <row r="1783" customFormat="false" ht="15" hidden="false" customHeight="false" outlineLevel="0" collapsed="false">
      <c r="A1783" s="2" t="n">
        <v>46164</v>
      </c>
      <c r="B1783" s="3" t="s">
        <v>799</v>
      </c>
      <c r="C1783" s="0" t="n">
        <v>188</v>
      </c>
      <c r="D1783" s="0" t="n">
        <v>2</v>
      </c>
      <c r="E1783" s="0" t="str">
        <f aca="false">INDEX(lot!$B$2:$B$1201,MATCH(B1783,lot!$A$2:$A$1201,0))</f>
        <v>SUP-D</v>
      </c>
      <c r="F1783" s="3" t="n">
        <f aca="false">YEAR(A1783)*100+MONTH(A1783)</f>
        <v>202605</v>
      </c>
    </row>
    <row r="1784" customFormat="false" ht="15" hidden="false" customHeight="false" outlineLevel="0" collapsed="false">
      <c r="A1784" s="2" t="n">
        <v>46164</v>
      </c>
      <c r="B1784" s="3" t="s">
        <v>1125</v>
      </c>
      <c r="C1784" s="0" t="n">
        <v>197</v>
      </c>
      <c r="D1784" s="0" t="n">
        <v>1</v>
      </c>
      <c r="E1784" s="0" t="str">
        <f aca="false">INDEX(lot!$B$2:$B$1201,MATCH(B1784,lot!$A$2:$A$1201,0))</f>
        <v>SUP-D</v>
      </c>
      <c r="F1784" s="3" t="n">
        <f aca="false">YEAR(A1784)*100+MONTH(A1784)</f>
        <v>202605</v>
      </c>
    </row>
    <row r="1785" customFormat="false" ht="15" hidden="false" customHeight="false" outlineLevel="0" collapsed="false">
      <c r="A1785" s="2" t="n">
        <v>46164</v>
      </c>
      <c r="B1785" s="3" t="s">
        <v>1167</v>
      </c>
      <c r="C1785" s="0" t="n">
        <v>78</v>
      </c>
      <c r="D1785" s="0" t="n">
        <v>0</v>
      </c>
      <c r="E1785" s="0" t="str">
        <f aca="false">INDEX(lot!$B$2:$B$1201,MATCH(B1785,lot!$A$2:$A$1201,0))</f>
        <v>SUP-A</v>
      </c>
      <c r="F1785" s="3" t="n">
        <f aca="false">YEAR(A1785)*100+MONTH(A1785)</f>
        <v>202605</v>
      </c>
    </row>
    <row r="1786" customFormat="false" ht="15" hidden="false" customHeight="false" outlineLevel="0" collapsed="false">
      <c r="A1786" s="2" t="n">
        <v>46164</v>
      </c>
      <c r="B1786" s="3" t="s">
        <v>1167</v>
      </c>
      <c r="C1786" s="0" t="n">
        <v>156</v>
      </c>
      <c r="D1786" s="0" t="n">
        <v>1</v>
      </c>
      <c r="E1786" s="0" t="str">
        <f aca="false">INDEX(lot!$B$2:$B$1201,MATCH(B1786,lot!$A$2:$A$1201,0))</f>
        <v>SUP-A</v>
      </c>
      <c r="F1786" s="3" t="n">
        <f aca="false">YEAR(A1786)*100+MONTH(A1786)</f>
        <v>202605</v>
      </c>
    </row>
    <row r="1787" customFormat="false" ht="15" hidden="false" customHeight="false" outlineLevel="0" collapsed="false">
      <c r="A1787" s="2" t="n">
        <v>46164</v>
      </c>
      <c r="B1787" s="3" t="s">
        <v>1182</v>
      </c>
      <c r="C1787" s="0" t="n">
        <v>156</v>
      </c>
      <c r="D1787" s="0" t="n">
        <v>13</v>
      </c>
      <c r="E1787" s="0" t="str">
        <f aca="false">INDEX(lot!$B$2:$B$1201,MATCH(B1787,lot!$A$2:$A$1201,0))</f>
        <v>SUP-E</v>
      </c>
      <c r="F1787" s="3" t="n">
        <f aca="false">YEAR(A1787)*100+MONTH(A1787)</f>
        <v>202605</v>
      </c>
    </row>
    <row r="1788" customFormat="false" ht="15" hidden="false" customHeight="false" outlineLevel="0" collapsed="false">
      <c r="A1788" s="2" t="n">
        <v>46164</v>
      </c>
      <c r="B1788" s="3" t="s">
        <v>1182</v>
      </c>
      <c r="C1788" s="0" t="n">
        <v>211</v>
      </c>
      <c r="D1788" s="0" t="n">
        <v>16</v>
      </c>
      <c r="E1788" s="0" t="str">
        <f aca="false">INDEX(lot!$B$2:$B$1201,MATCH(B1788,lot!$A$2:$A$1201,0))</f>
        <v>SUP-E</v>
      </c>
      <c r="F1788" s="3" t="n">
        <f aca="false">YEAR(A1788)*100+MONTH(A1788)</f>
        <v>202605</v>
      </c>
    </row>
    <row r="1789" customFormat="false" ht="15" hidden="false" customHeight="false" outlineLevel="0" collapsed="false">
      <c r="A1789" s="2" t="n">
        <v>46167</v>
      </c>
      <c r="B1789" s="3" t="s">
        <v>95</v>
      </c>
      <c r="C1789" s="0" t="n">
        <v>171</v>
      </c>
      <c r="D1789" s="0" t="n">
        <v>4</v>
      </c>
      <c r="E1789" s="0" t="str">
        <f aca="false">INDEX(lot!$B$2:$B$1201,MATCH(B1789,lot!$A$2:$A$1201,0))</f>
        <v>SUP-C</v>
      </c>
      <c r="F1789" s="3" t="n">
        <f aca="false">YEAR(A1789)*100+MONTH(A1789)</f>
        <v>202605</v>
      </c>
    </row>
    <row r="1790" customFormat="false" ht="15" hidden="false" customHeight="false" outlineLevel="0" collapsed="false">
      <c r="A1790" s="2" t="n">
        <v>46167</v>
      </c>
      <c r="B1790" s="3" t="s">
        <v>95</v>
      </c>
      <c r="C1790" s="0" t="n">
        <v>83</v>
      </c>
      <c r="D1790" s="0" t="n">
        <v>1</v>
      </c>
      <c r="E1790" s="0" t="str">
        <f aca="false">INDEX(lot!$B$2:$B$1201,MATCH(B1790,lot!$A$2:$A$1201,0))</f>
        <v>SUP-C</v>
      </c>
      <c r="F1790" s="3" t="n">
        <f aca="false">YEAR(A1790)*100+MONTH(A1790)</f>
        <v>202605</v>
      </c>
    </row>
    <row r="1791" customFormat="false" ht="15" hidden="false" customHeight="false" outlineLevel="0" collapsed="false">
      <c r="A1791" s="2" t="n">
        <v>46167</v>
      </c>
      <c r="B1791" s="3" t="s">
        <v>223</v>
      </c>
      <c r="C1791" s="0" t="n">
        <v>168</v>
      </c>
      <c r="D1791" s="0" t="n">
        <v>20</v>
      </c>
      <c r="E1791" s="0" t="str">
        <f aca="false">INDEX(lot!$B$2:$B$1201,MATCH(B1791,lot!$A$2:$A$1201,0))</f>
        <v>SUP-C</v>
      </c>
      <c r="F1791" s="3" t="n">
        <f aca="false">YEAR(A1791)*100+MONTH(A1791)</f>
        <v>202605</v>
      </c>
    </row>
    <row r="1792" customFormat="false" ht="15" hidden="false" customHeight="false" outlineLevel="0" collapsed="false">
      <c r="A1792" s="2" t="n">
        <v>46167</v>
      </c>
      <c r="B1792" s="3" t="s">
        <v>266</v>
      </c>
      <c r="C1792" s="0" t="n">
        <v>189</v>
      </c>
      <c r="D1792" s="0" t="n">
        <v>8</v>
      </c>
      <c r="E1792" s="0" t="str">
        <f aca="false">INDEX(lot!$B$2:$B$1201,MATCH(B1792,lot!$A$2:$A$1201,0))</f>
        <v>SUP-A</v>
      </c>
      <c r="F1792" s="3" t="n">
        <f aca="false">YEAR(A1792)*100+MONTH(A1792)</f>
        <v>202605</v>
      </c>
    </row>
    <row r="1793" customFormat="false" ht="15" hidden="false" customHeight="false" outlineLevel="0" collapsed="false">
      <c r="A1793" s="2" t="n">
        <v>46167</v>
      </c>
      <c r="B1793" s="3" t="s">
        <v>292</v>
      </c>
      <c r="C1793" s="0" t="n">
        <v>66</v>
      </c>
      <c r="D1793" s="0" t="n">
        <v>1</v>
      </c>
      <c r="E1793" s="0" t="str">
        <f aca="false">INDEX(lot!$B$2:$B$1201,MATCH(B1793,lot!$A$2:$A$1201,0))</f>
        <v>SUP-D</v>
      </c>
      <c r="F1793" s="3" t="n">
        <f aca="false">YEAR(A1793)*100+MONTH(A1793)</f>
        <v>202605</v>
      </c>
    </row>
    <row r="1794" customFormat="false" ht="15" hidden="false" customHeight="false" outlineLevel="0" collapsed="false">
      <c r="A1794" s="2" t="n">
        <v>46167</v>
      </c>
      <c r="B1794" s="3" t="s">
        <v>307</v>
      </c>
      <c r="C1794" s="0" t="n">
        <v>196</v>
      </c>
      <c r="D1794" s="0" t="n">
        <v>1</v>
      </c>
      <c r="E1794" s="0" t="str">
        <f aca="false">INDEX(lot!$B$2:$B$1201,MATCH(B1794,lot!$A$2:$A$1201,0))</f>
        <v>SUP-E</v>
      </c>
      <c r="F1794" s="3" t="n">
        <f aca="false">YEAR(A1794)*100+MONTH(A1794)</f>
        <v>202605</v>
      </c>
    </row>
    <row r="1795" customFormat="false" ht="15" hidden="false" customHeight="false" outlineLevel="0" collapsed="false">
      <c r="A1795" s="2" t="n">
        <v>46167</v>
      </c>
      <c r="B1795" s="3" t="s">
        <v>395</v>
      </c>
      <c r="C1795" s="0" t="n">
        <v>239</v>
      </c>
      <c r="D1795" s="0" t="n">
        <v>3</v>
      </c>
      <c r="E1795" s="0" t="str">
        <f aca="false">INDEX(lot!$B$2:$B$1201,MATCH(B1795,lot!$A$2:$A$1201,0))</f>
        <v>SUP-A</v>
      </c>
      <c r="F1795" s="3" t="n">
        <f aca="false">YEAR(A1795)*100+MONTH(A1795)</f>
        <v>202605</v>
      </c>
    </row>
    <row r="1796" customFormat="false" ht="15" hidden="false" customHeight="false" outlineLevel="0" collapsed="false">
      <c r="A1796" s="2" t="n">
        <v>46167</v>
      </c>
      <c r="B1796" s="3" t="s">
        <v>490</v>
      </c>
      <c r="C1796" s="0" t="n">
        <v>63</v>
      </c>
      <c r="D1796" s="0" t="n">
        <v>0</v>
      </c>
      <c r="E1796" s="0" t="str">
        <f aca="false">INDEX(lot!$B$2:$B$1201,MATCH(B1796,lot!$A$2:$A$1201,0))</f>
        <v>SUP-E</v>
      </c>
      <c r="F1796" s="3" t="n">
        <f aca="false">YEAR(A1796)*100+MONTH(A1796)</f>
        <v>202605</v>
      </c>
    </row>
    <row r="1797" customFormat="false" ht="15" hidden="false" customHeight="false" outlineLevel="0" collapsed="false">
      <c r="A1797" s="2" t="n">
        <v>46167</v>
      </c>
      <c r="B1797" s="3" t="s">
        <v>490</v>
      </c>
      <c r="C1797" s="0" t="n">
        <v>204</v>
      </c>
      <c r="D1797" s="0" t="n">
        <v>2</v>
      </c>
      <c r="E1797" s="0" t="str">
        <f aca="false">INDEX(lot!$B$2:$B$1201,MATCH(B1797,lot!$A$2:$A$1201,0))</f>
        <v>SUP-E</v>
      </c>
      <c r="F1797" s="3" t="n">
        <f aca="false">YEAR(A1797)*100+MONTH(A1797)</f>
        <v>202605</v>
      </c>
    </row>
    <row r="1798" customFormat="false" ht="15" hidden="false" customHeight="false" outlineLevel="0" collapsed="false">
      <c r="A1798" s="2" t="n">
        <v>46167</v>
      </c>
      <c r="B1798" s="3" t="s">
        <v>523</v>
      </c>
      <c r="C1798" s="0" t="n">
        <v>79</v>
      </c>
      <c r="D1798" s="0" t="n">
        <v>1</v>
      </c>
      <c r="E1798" s="0" t="str">
        <f aca="false">INDEX(lot!$B$2:$B$1201,MATCH(B1798,lot!$A$2:$A$1201,0))</f>
        <v>SUP-C</v>
      </c>
      <c r="F1798" s="3" t="n">
        <f aca="false">YEAR(A1798)*100+MONTH(A1798)</f>
        <v>202605</v>
      </c>
    </row>
    <row r="1799" customFormat="false" ht="15" hidden="false" customHeight="false" outlineLevel="0" collapsed="false">
      <c r="A1799" s="2" t="n">
        <v>46167</v>
      </c>
      <c r="B1799" s="3" t="s">
        <v>523</v>
      </c>
      <c r="C1799" s="0" t="n">
        <v>185</v>
      </c>
      <c r="D1799" s="0" t="n">
        <v>5</v>
      </c>
      <c r="E1799" s="0" t="str">
        <f aca="false">INDEX(lot!$B$2:$B$1201,MATCH(B1799,lot!$A$2:$A$1201,0))</f>
        <v>SUP-C</v>
      </c>
      <c r="F1799" s="3" t="n">
        <f aca="false">YEAR(A1799)*100+MONTH(A1799)</f>
        <v>202605</v>
      </c>
    </row>
    <row r="1800" customFormat="false" ht="15" hidden="false" customHeight="false" outlineLevel="0" collapsed="false">
      <c r="A1800" s="2" t="n">
        <v>46167</v>
      </c>
      <c r="B1800" s="3" t="s">
        <v>533</v>
      </c>
      <c r="C1800" s="0" t="n">
        <v>185</v>
      </c>
      <c r="D1800" s="0" t="n">
        <v>2</v>
      </c>
      <c r="E1800" s="0" t="str">
        <f aca="false">INDEX(lot!$B$2:$B$1201,MATCH(B1800,lot!$A$2:$A$1201,0))</f>
        <v>SUP-A</v>
      </c>
      <c r="F1800" s="3" t="n">
        <f aca="false">YEAR(A1800)*100+MONTH(A1800)</f>
        <v>202605</v>
      </c>
    </row>
    <row r="1801" customFormat="false" ht="15" hidden="false" customHeight="false" outlineLevel="0" collapsed="false">
      <c r="A1801" s="2" t="n">
        <v>46167</v>
      </c>
      <c r="B1801" s="3" t="s">
        <v>561</v>
      </c>
      <c r="C1801" s="0" t="n">
        <v>242</v>
      </c>
      <c r="D1801" s="0" t="n">
        <v>3</v>
      </c>
      <c r="E1801" s="0" t="str">
        <f aca="false">INDEX(lot!$B$2:$B$1201,MATCH(B1801,lot!$A$2:$A$1201,0))</f>
        <v>SUP-D</v>
      </c>
      <c r="F1801" s="3" t="n">
        <f aca="false">YEAR(A1801)*100+MONTH(A1801)</f>
        <v>202605</v>
      </c>
    </row>
    <row r="1802" customFormat="false" ht="15" hidden="false" customHeight="false" outlineLevel="0" collapsed="false">
      <c r="A1802" s="2" t="n">
        <v>46167</v>
      </c>
      <c r="B1802" s="3" t="s">
        <v>561</v>
      </c>
      <c r="C1802" s="0" t="n">
        <v>95</v>
      </c>
      <c r="D1802" s="0" t="n">
        <v>0</v>
      </c>
      <c r="E1802" s="0" t="str">
        <f aca="false">INDEX(lot!$B$2:$B$1201,MATCH(B1802,lot!$A$2:$A$1201,0))</f>
        <v>SUP-D</v>
      </c>
      <c r="F1802" s="3" t="n">
        <f aca="false">YEAR(A1802)*100+MONTH(A1802)</f>
        <v>202605</v>
      </c>
    </row>
    <row r="1803" customFormat="false" ht="15" hidden="false" customHeight="false" outlineLevel="0" collapsed="false">
      <c r="A1803" s="2" t="n">
        <v>46167</v>
      </c>
      <c r="B1803" s="3" t="s">
        <v>579</v>
      </c>
      <c r="C1803" s="0" t="n">
        <v>239</v>
      </c>
      <c r="D1803" s="0" t="n">
        <v>2</v>
      </c>
      <c r="E1803" s="0" t="str">
        <f aca="false">INDEX(lot!$B$2:$B$1201,MATCH(B1803,lot!$A$2:$A$1201,0))</f>
        <v>SUP-E</v>
      </c>
      <c r="F1803" s="3" t="n">
        <f aca="false">YEAR(A1803)*100+MONTH(A1803)</f>
        <v>202605</v>
      </c>
    </row>
    <row r="1804" customFormat="false" ht="15" hidden="false" customHeight="false" outlineLevel="0" collapsed="false">
      <c r="A1804" s="2" t="n">
        <v>46167</v>
      </c>
      <c r="B1804" s="3" t="s">
        <v>579</v>
      </c>
      <c r="C1804" s="0" t="n">
        <v>97</v>
      </c>
      <c r="D1804" s="0" t="n">
        <v>0</v>
      </c>
      <c r="E1804" s="0" t="str">
        <f aca="false">INDEX(lot!$B$2:$B$1201,MATCH(B1804,lot!$A$2:$A$1201,0))</f>
        <v>SUP-E</v>
      </c>
      <c r="F1804" s="3" t="n">
        <f aca="false">YEAR(A1804)*100+MONTH(A1804)</f>
        <v>202605</v>
      </c>
    </row>
    <row r="1805" customFormat="false" ht="15" hidden="false" customHeight="false" outlineLevel="0" collapsed="false">
      <c r="A1805" s="2" t="n">
        <v>46167</v>
      </c>
      <c r="B1805" s="3" t="s">
        <v>632</v>
      </c>
      <c r="C1805" s="0" t="n">
        <v>188</v>
      </c>
      <c r="D1805" s="0" t="n">
        <v>1</v>
      </c>
      <c r="E1805" s="0" t="str">
        <f aca="false">INDEX(lot!$B$2:$B$1201,MATCH(B1805,lot!$A$2:$A$1201,0))</f>
        <v>SUP-A</v>
      </c>
      <c r="F1805" s="3" t="n">
        <f aca="false">YEAR(A1805)*100+MONTH(A1805)</f>
        <v>202605</v>
      </c>
    </row>
    <row r="1806" customFormat="false" ht="15" hidden="false" customHeight="false" outlineLevel="0" collapsed="false">
      <c r="A1806" s="2" t="n">
        <v>46167</v>
      </c>
      <c r="B1806" s="3" t="s">
        <v>632</v>
      </c>
      <c r="C1806" s="0" t="n">
        <v>142</v>
      </c>
      <c r="D1806" s="0" t="n">
        <v>1</v>
      </c>
      <c r="E1806" s="0" t="str">
        <f aca="false">INDEX(lot!$B$2:$B$1201,MATCH(B1806,lot!$A$2:$A$1201,0))</f>
        <v>SUP-A</v>
      </c>
      <c r="F1806" s="3" t="n">
        <f aca="false">YEAR(A1806)*100+MONTH(A1806)</f>
        <v>202605</v>
      </c>
    </row>
    <row r="1807" customFormat="false" ht="15" hidden="false" customHeight="false" outlineLevel="0" collapsed="false">
      <c r="A1807" s="2" t="n">
        <v>46167</v>
      </c>
      <c r="B1807" s="3" t="s">
        <v>689</v>
      </c>
      <c r="C1807" s="0" t="n">
        <v>178</v>
      </c>
      <c r="D1807" s="0" t="n">
        <v>2</v>
      </c>
      <c r="E1807" s="0" t="str">
        <f aca="false">INDEX(lot!$B$2:$B$1201,MATCH(B1807,lot!$A$2:$A$1201,0))</f>
        <v>SUP-D</v>
      </c>
      <c r="F1807" s="3" t="n">
        <f aca="false">YEAR(A1807)*100+MONTH(A1807)</f>
        <v>202605</v>
      </c>
    </row>
    <row r="1808" customFormat="false" ht="15" hidden="false" customHeight="false" outlineLevel="0" collapsed="false">
      <c r="A1808" s="2" t="n">
        <v>46167</v>
      </c>
      <c r="B1808" s="3" t="s">
        <v>689</v>
      </c>
      <c r="C1808" s="0" t="n">
        <v>238</v>
      </c>
      <c r="D1808" s="0" t="n">
        <v>1</v>
      </c>
      <c r="E1808" s="0" t="str">
        <f aca="false">INDEX(lot!$B$2:$B$1201,MATCH(B1808,lot!$A$2:$A$1201,0))</f>
        <v>SUP-D</v>
      </c>
      <c r="F1808" s="3" t="n">
        <f aca="false">YEAR(A1808)*100+MONTH(A1808)</f>
        <v>202605</v>
      </c>
    </row>
    <row r="1809" customFormat="false" ht="15" hidden="false" customHeight="false" outlineLevel="0" collapsed="false">
      <c r="A1809" s="2" t="n">
        <v>46167</v>
      </c>
      <c r="B1809" s="3" t="s">
        <v>694</v>
      </c>
      <c r="C1809" s="0" t="n">
        <v>78</v>
      </c>
      <c r="D1809" s="0" t="n">
        <v>3</v>
      </c>
      <c r="E1809" s="0" t="str">
        <f aca="false">INDEX(lot!$B$2:$B$1201,MATCH(B1809,lot!$A$2:$A$1201,0))</f>
        <v>SUP-C</v>
      </c>
      <c r="F1809" s="3" t="n">
        <f aca="false">YEAR(A1809)*100+MONTH(A1809)</f>
        <v>202605</v>
      </c>
    </row>
    <row r="1810" customFormat="false" ht="15" hidden="false" customHeight="false" outlineLevel="0" collapsed="false">
      <c r="A1810" s="2" t="n">
        <v>46167</v>
      </c>
      <c r="B1810" s="3" t="s">
        <v>716</v>
      </c>
      <c r="C1810" s="0" t="n">
        <v>214</v>
      </c>
      <c r="D1810" s="0" t="n">
        <v>2</v>
      </c>
      <c r="E1810" s="0" t="str">
        <f aca="false">INDEX(lot!$B$2:$B$1201,MATCH(B1810,lot!$A$2:$A$1201,0))</f>
        <v>SUP-E</v>
      </c>
      <c r="F1810" s="3" t="n">
        <f aca="false">YEAR(A1810)*100+MONTH(A1810)</f>
        <v>202605</v>
      </c>
    </row>
    <row r="1811" customFormat="false" ht="15" hidden="false" customHeight="false" outlineLevel="0" collapsed="false">
      <c r="A1811" s="2" t="n">
        <v>46167</v>
      </c>
      <c r="B1811" s="3" t="s">
        <v>716</v>
      </c>
      <c r="C1811" s="0" t="n">
        <v>132</v>
      </c>
      <c r="D1811" s="0" t="n">
        <v>0</v>
      </c>
      <c r="E1811" s="0" t="str">
        <f aca="false">INDEX(lot!$B$2:$B$1201,MATCH(B1811,lot!$A$2:$A$1201,0))</f>
        <v>SUP-E</v>
      </c>
      <c r="F1811" s="3" t="n">
        <f aca="false">YEAR(A1811)*100+MONTH(A1811)</f>
        <v>202605</v>
      </c>
    </row>
    <row r="1812" customFormat="false" ht="15" hidden="false" customHeight="false" outlineLevel="0" collapsed="false">
      <c r="A1812" s="2" t="n">
        <v>46167</v>
      </c>
      <c r="B1812" s="3" t="s">
        <v>799</v>
      </c>
      <c r="C1812" s="0" t="n">
        <v>86</v>
      </c>
      <c r="D1812" s="0" t="n">
        <v>1</v>
      </c>
      <c r="E1812" s="0" t="str">
        <f aca="false">INDEX(lot!$B$2:$B$1201,MATCH(B1812,lot!$A$2:$A$1201,0))</f>
        <v>SUP-D</v>
      </c>
      <c r="F1812" s="3" t="n">
        <f aca="false">YEAR(A1812)*100+MONTH(A1812)</f>
        <v>202605</v>
      </c>
    </row>
    <row r="1813" customFormat="false" ht="15" hidden="false" customHeight="false" outlineLevel="0" collapsed="false">
      <c r="A1813" s="2" t="n">
        <v>46167</v>
      </c>
      <c r="B1813" s="3" t="s">
        <v>856</v>
      </c>
      <c r="C1813" s="0" t="n">
        <v>100</v>
      </c>
      <c r="D1813" s="0" t="n">
        <v>19</v>
      </c>
      <c r="E1813" s="0" t="str">
        <f aca="false">INDEX(lot!$B$2:$B$1201,MATCH(B1813,lot!$A$2:$A$1201,0))</f>
        <v>SUP-C</v>
      </c>
      <c r="F1813" s="3" t="n">
        <f aca="false">YEAR(A1813)*100+MONTH(A1813)</f>
        <v>202605</v>
      </c>
    </row>
    <row r="1814" customFormat="false" ht="15" hidden="false" customHeight="false" outlineLevel="0" collapsed="false">
      <c r="A1814" s="2" t="n">
        <v>46167</v>
      </c>
      <c r="B1814" s="3" t="s">
        <v>856</v>
      </c>
      <c r="C1814" s="0" t="n">
        <v>156</v>
      </c>
      <c r="D1814" s="0" t="n">
        <v>21</v>
      </c>
      <c r="E1814" s="0" t="str">
        <f aca="false">INDEX(lot!$B$2:$B$1201,MATCH(B1814,lot!$A$2:$A$1201,0))</f>
        <v>SUP-C</v>
      </c>
      <c r="F1814" s="3" t="n">
        <f aca="false">YEAR(A1814)*100+MONTH(A1814)</f>
        <v>202605</v>
      </c>
    </row>
    <row r="1815" customFormat="false" ht="15" hidden="false" customHeight="false" outlineLevel="0" collapsed="false">
      <c r="A1815" s="2" t="n">
        <v>46167</v>
      </c>
      <c r="B1815" s="3" t="s">
        <v>1119</v>
      </c>
      <c r="C1815" s="0" t="n">
        <v>119</v>
      </c>
      <c r="D1815" s="0" t="n">
        <v>1</v>
      </c>
      <c r="E1815" s="0" t="str">
        <f aca="false">INDEX(lot!$B$2:$B$1201,MATCH(B1815,lot!$A$2:$A$1201,0))</f>
        <v>SUP-E</v>
      </c>
      <c r="F1815" s="3" t="n">
        <f aca="false">YEAR(A1815)*100+MONTH(A1815)</f>
        <v>202605</v>
      </c>
    </row>
    <row r="1816" customFormat="false" ht="15" hidden="false" customHeight="false" outlineLevel="0" collapsed="false">
      <c r="A1816" s="2" t="n">
        <v>46167</v>
      </c>
      <c r="B1816" s="3" t="s">
        <v>1125</v>
      </c>
      <c r="C1816" s="0" t="n">
        <v>152</v>
      </c>
      <c r="D1816" s="0" t="n">
        <v>2</v>
      </c>
      <c r="E1816" s="0" t="str">
        <f aca="false">INDEX(lot!$B$2:$B$1201,MATCH(B1816,lot!$A$2:$A$1201,0))</f>
        <v>SUP-D</v>
      </c>
      <c r="F1816" s="3" t="n">
        <f aca="false">YEAR(A1816)*100+MONTH(A1816)</f>
        <v>202605</v>
      </c>
    </row>
    <row r="1817" customFormat="false" ht="15" hidden="false" customHeight="false" outlineLevel="0" collapsed="false">
      <c r="A1817" s="2" t="n">
        <v>46167</v>
      </c>
      <c r="B1817" s="3" t="s">
        <v>1125</v>
      </c>
      <c r="C1817" s="0" t="n">
        <v>126</v>
      </c>
      <c r="D1817" s="0" t="n">
        <v>0</v>
      </c>
      <c r="E1817" s="0" t="str">
        <f aca="false">INDEX(lot!$B$2:$B$1201,MATCH(B1817,lot!$A$2:$A$1201,0))</f>
        <v>SUP-D</v>
      </c>
      <c r="F1817" s="3" t="n">
        <f aca="false">YEAR(A1817)*100+MONTH(A1817)</f>
        <v>202605</v>
      </c>
    </row>
    <row r="1818" customFormat="false" ht="15" hidden="false" customHeight="false" outlineLevel="0" collapsed="false">
      <c r="A1818" s="2" t="n">
        <v>46167</v>
      </c>
      <c r="B1818" s="3" t="s">
        <v>1167</v>
      </c>
      <c r="C1818" s="0" t="n">
        <v>246</v>
      </c>
      <c r="D1818" s="0" t="n">
        <v>2</v>
      </c>
      <c r="E1818" s="0" t="str">
        <f aca="false">INDEX(lot!$B$2:$B$1201,MATCH(B1818,lot!$A$2:$A$1201,0))</f>
        <v>SUP-A</v>
      </c>
      <c r="F1818" s="3" t="n">
        <f aca="false">YEAR(A1818)*100+MONTH(A1818)</f>
        <v>202605</v>
      </c>
    </row>
    <row r="1819" customFormat="false" ht="15" hidden="false" customHeight="false" outlineLevel="0" collapsed="false">
      <c r="A1819" s="2" t="n">
        <v>46167</v>
      </c>
      <c r="B1819" s="3" t="s">
        <v>1167</v>
      </c>
      <c r="C1819" s="0" t="n">
        <v>224</v>
      </c>
      <c r="D1819" s="0" t="n">
        <v>0</v>
      </c>
      <c r="E1819" s="0" t="str">
        <f aca="false">INDEX(lot!$B$2:$B$1201,MATCH(B1819,lot!$A$2:$A$1201,0))</f>
        <v>SUP-A</v>
      </c>
      <c r="F1819" s="3" t="n">
        <f aca="false">YEAR(A1819)*100+MONTH(A1819)</f>
        <v>202605</v>
      </c>
    </row>
    <row r="1820" customFormat="false" ht="15" hidden="false" customHeight="false" outlineLevel="0" collapsed="false">
      <c r="A1820" s="2" t="n">
        <v>46167</v>
      </c>
      <c r="B1820" s="3" t="s">
        <v>1205</v>
      </c>
      <c r="C1820" s="0" t="n">
        <v>71</v>
      </c>
      <c r="D1820" s="0" t="n">
        <v>0</v>
      </c>
      <c r="E1820" s="0" t="str">
        <f aca="false">INDEX(lot!$B$2:$B$1201,MATCH(B1820,lot!$A$2:$A$1201,0))</f>
        <v>SUP-E</v>
      </c>
      <c r="F1820" s="3" t="n">
        <f aca="false">YEAR(A1820)*100+MONTH(A1820)</f>
        <v>202605</v>
      </c>
    </row>
    <row r="1821" customFormat="false" ht="15" hidden="false" customHeight="false" outlineLevel="0" collapsed="false">
      <c r="A1821" s="2" t="n">
        <v>46167</v>
      </c>
      <c r="B1821" s="3" t="s">
        <v>1205</v>
      </c>
      <c r="C1821" s="0" t="n">
        <v>112</v>
      </c>
      <c r="D1821" s="0" t="n">
        <v>0</v>
      </c>
      <c r="E1821" s="0" t="str">
        <f aca="false">INDEX(lot!$B$2:$B$1201,MATCH(B1821,lot!$A$2:$A$1201,0))</f>
        <v>SUP-E</v>
      </c>
      <c r="F1821" s="3" t="n">
        <f aca="false">YEAR(A1821)*100+MONTH(A1821)</f>
        <v>202605</v>
      </c>
    </row>
    <row r="1822" customFormat="false" ht="15" hidden="false" customHeight="false" outlineLevel="0" collapsed="false">
      <c r="A1822" s="2" t="n">
        <v>46168</v>
      </c>
      <c r="B1822" s="3" t="s">
        <v>148</v>
      </c>
      <c r="C1822" s="0" t="n">
        <v>117</v>
      </c>
      <c r="D1822" s="0" t="n">
        <v>0</v>
      </c>
      <c r="E1822" s="0" t="str">
        <f aca="false">INDEX(lot!$B$2:$B$1201,MATCH(B1822,lot!$A$2:$A$1201,0))</f>
        <v>SUP-E</v>
      </c>
      <c r="F1822" s="3" t="n">
        <f aca="false">YEAR(A1822)*100+MONTH(A1822)</f>
        <v>202605</v>
      </c>
    </row>
    <row r="1823" customFormat="false" ht="15" hidden="false" customHeight="false" outlineLevel="0" collapsed="false">
      <c r="A1823" s="2" t="n">
        <v>46168</v>
      </c>
      <c r="B1823" s="3" t="s">
        <v>148</v>
      </c>
      <c r="C1823" s="0" t="n">
        <v>164</v>
      </c>
      <c r="D1823" s="0" t="n">
        <v>3</v>
      </c>
      <c r="E1823" s="0" t="str">
        <f aca="false">INDEX(lot!$B$2:$B$1201,MATCH(B1823,lot!$A$2:$A$1201,0))</f>
        <v>SUP-E</v>
      </c>
      <c r="F1823" s="3" t="n">
        <f aca="false">YEAR(A1823)*100+MONTH(A1823)</f>
        <v>202605</v>
      </c>
    </row>
    <row r="1824" customFormat="false" ht="15" hidden="false" customHeight="false" outlineLevel="0" collapsed="false">
      <c r="A1824" s="2" t="n">
        <v>46168</v>
      </c>
      <c r="B1824" s="3" t="s">
        <v>223</v>
      </c>
      <c r="C1824" s="0" t="n">
        <v>111</v>
      </c>
      <c r="D1824" s="0" t="n">
        <v>12</v>
      </c>
      <c r="E1824" s="0" t="str">
        <f aca="false">INDEX(lot!$B$2:$B$1201,MATCH(B1824,lot!$A$2:$A$1201,0))</f>
        <v>SUP-C</v>
      </c>
      <c r="F1824" s="3" t="n">
        <f aca="false">YEAR(A1824)*100+MONTH(A1824)</f>
        <v>202605</v>
      </c>
    </row>
    <row r="1825" customFormat="false" ht="15" hidden="false" customHeight="false" outlineLevel="0" collapsed="false">
      <c r="A1825" s="2" t="n">
        <v>46168</v>
      </c>
      <c r="B1825" s="3" t="s">
        <v>223</v>
      </c>
      <c r="C1825" s="0" t="n">
        <v>183</v>
      </c>
      <c r="D1825" s="0" t="n">
        <v>39</v>
      </c>
      <c r="E1825" s="0" t="str">
        <f aca="false">INDEX(lot!$B$2:$B$1201,MATCH(B1825,lot!$A$2:$A$1201,0))</f>
        <v>SUP-C</v>
      </c>
      <c r="F1825" s="3" t="n">
        <f aca="false">YEAR(A1825)*100+MONTH(A1825)</f>
        <v>202605</v>
      </c>
    </row>
    <row r="1826" customFormat="false" ht="15" hidden="false" customHeight="false" outlineLevel="0" collapsed="false">
      <c r="A1826" s="2" t="n">
        <v>46168</v>
      </c>
      <c r="B1826" s="3" t="s">
        <v>237</v>
      </c>
      <c r="C1826" s="0" t="n">
        <v>145</v>
      </c>
      <c r="D1826" s="0" t="n">
        <v>0</v>
      </c>
      <c r="E1826" s="0" t="str">
        <f aca="false">INDEX(lot!$B$2:$B$1201,MATCH(B1826,lot!$A$2:$A$1201,0))</f>
        <v>SUP-E</v>
      </c>
      <c r="F1826" s="3" t="n">
        <f aca="false">YEAR(A1826)*100+MONTH(A1826)</f>
        <v>202605</v>
      </c>
    </row>
    <row r="1827" customFormat="false" ht="15" hidden="false" customHeight="false" outlineLevel="0" collapsed="false">
      <c r="A1827" s="2" t="n">
        <v>46168</v>
      </c>
      <c r="B1827" s="3" t="s">
        <v>266</v>
      </c>
      <c r="C1827" s="0" t="n">
        <v>129</v>
      </c>
      <c r="D1827" s="0" t="n">
        <v>12</v>
      </c>
      <c r="E1827" s="0" t="str">
        <f aca="false">INDEX(lot!$B$2:$B$1201,MATCH(B1827,lot!$A$2:$A$1201,0))</f>
        <v>SUP-A</v>
      </c>
      <c r="F1827" s="3" t="n">
        <f aca="false">YEAR(A1827)*100+MONTH(A1827)</f>
        <v>202605</v>
      </c>
    </row>
    <row r="1828" customFormat="false" ht="15" hidden="false" customHeight="false" outlineLevel="0" collapsed="false">
      <c r="A1828" s="2" t="n">
        <v>46168</v>
      </c>
      <c r="B1828" s="3" t="s">
        <v>266</v>
      </c>
      <c r="C1828" s="0" t="n">
        <v>231</v>
      </c>
      <c r="D1828" s="0" t="n">
        <v>8</v>
      </c>
      <c r="E1828" s="0" t="str">
        <f aca="false">INDEX(lot!$B$2:$B$1201,MATCH(B1828,lot!$A$2:$A$1201,0))</f>
        <v>SUP-A</v>
      </c>
      <c r="F1828" s="3" t="n">
        <f aca="false">YEAR(A1828)*100+MONTH(A1828)</f>
        <v>202605</v>
      </c>
    </row>
    <row r="1829" customFormat="false" ht="15" hidden="false" customHeight="false" outlineLevel="0" collapsed="false">
      <c r="A1829" s="2" t="n">
        <v>46168</v>
      </c>
      <c r="B1829" s="3" t="s">
        <v>288</v>
      </c>
      <c r="C1829" s="0" t="n">
        <v>190</v>
      </c>
      <c r="D1829" s="0" t="n">
        <v>4</v>
      </c>
      <c r="E1829" s="0" t="str">
        <f aca="false">INDEX(lot!$B$2:$B$1201,MATCH(B1829,lot!$A$2:$A$1201,0))</f>
        <v>SUP-C</v>
      </c>
      <c r="F1829" s="3" t="n">
        <f aca="false">YEAR(A1829)*100+MONTH(A1829)</f>
        <v>202605</v>
      </c>
    </row>
    <row r="1830" customFormat="false" ht="15" hidden="false" customHeight="false" outlineLevel="0" collapsed="false">
      <c r="A1830" s="2" t="n">
        <v>46168</v>
      </c>
      <c r="B1830" s="3" t="s">
        <v>292</v>
      </c>
      <c r="C1830" s="0" t="n">
        <v>231</v>
      </c>
      <c r="D1830" s="0" t="n">
        <v>2</v>
      </c>
      <c r="E1830" s="0" t="str">
        <f aca="false">INDEX(lot!$B$2:$B$1201,MATCH(B1830,lot!$A$2:$A$1201,0))</f>
        <v>SUP-D</v>
      </c>
      <c r="F1830" s="3" t="n">
        <f aca="false">YEAR(A1830)*100+MONTH(A1830)</f>
        <v>202605</v>
      </c>
    </row>
    <row r="1831" customFormat="false" ht="15" hidden="false" customHeight="false" outlineLevel="0" collapsed="false">
      <c r="A1831" s="2" t="n">
        <v>46168</v>
      </c>
      <c r="B1831" s="3" t="s">
        <v>292</v>
      </c>
      <c r="C1831" s="0" t="n">
        <v>192</v>
      </c>
      <c r="D1831" s="0" t="n">
        <v>0</v>
      </c>
      <c r="E1831" s="0" t="str">
        <f aca="false">INDEX(lot!$B$2:$B$1201,MATCH(B1831,lot!$A$2:$A$1201,0))</f>
        <v>SUP-D</v>
      </c>
      <c r="F1831" s="3" t="n">
        <f aca="false">YEAR(A1831)*100+MONTH(A1831)</f>
        <v>202605</v>
      </c>
    </row>
    <row r="1832" customFormat="false" ht="15" hidden="false" customHeight="false" outlineLevel="0" collapsed="false">
      <c r="A1832" s="2" t="n">
        <v>46168</v>
      </c>
      <c r="B1832" s="3" t="s">
        <v>366</v>
      </c>
      <c r="C1832" s="0" t="n">
        <v>171</v>
      </c>
      <c r="D1832" s="0" t="n">
        <v>0</v>
      </c>
      <c r="E1832" s="0" t="str">
        <f aca="false">INDEX(lot!$B$2:$B$1201,MATCH(B1832,lot!$A$2:$A$1201,0))</f>
        <v>SUP-A</v>
      </c>
      <c r="F1832" s="3" t="n">
        <f aca="false">YEAR(A1832)*100+MONTH(A1832)</f>
        <v>202605</v>
      </c>
    </row>
    <row r="1833" customFormat="false" ht="15" hidden="false" customHeight="false" outlineLevel="0" collapsed="false">
      <c r="A1833" s="2" t="n">
        <v>46168</v>
      </c>
      <c r="B1833" s="3" t="s">
        <v>368</v>
      </c>
      <c r="C1833" s="0" t="n">
        <v>227</v>
      </c>
      <c r="D1833" s="0" t="n">
        <v>2</v>
      </c>
      <c r="E1833" s="0" t="str">
        <f aca="false">INDEX(lot!$B$2:$B$1201,MATCH(B1833,lot!$A$2:$A$1201,0))</f>
        <v>SUP-E</v>
      </c>
      <c r="F1833" s="3" t="n">
        <f aca="false">YEAR(A1833)*100+MONTH(A1833)</f>
        <v>202605</v>
      </c>
    </row>
    <row r="1834" customFormat="false" ht="15" hidden="false" customHeight="false" outlineLevel="0" collapsed="false">
      <c r="A1834" s="2" t="n">
        <v>46168</v>
      </c>
      <c r="B1834" s="3" t="s">
        <v>395</v>
      </c>
      <c r="C1834" s="0" t="n">
        <v>63</v>
      </c>
      <c r="D1834" s="0" t="n">
        <v>0</v>
      </c>
      <c r="E1834" s="0" t="str">
        <f aca="false">INDEX(lot!$B$2:$B$1201,MATCH(B1834,lot!$A$2:$A$1201,0))</f>
        <v>SUP-A</v>
      </c>
      <c r="F1834" s="3" t="n">
        <f aca="false">YEAR(A1834)*100+MONTH(A1834)</f>
        <v>202605</v>
      </c>
    </row>
    <row r="1835" customFormat="false" ht="15" hidden="false" customHeight="false" outlineLevel="0" collapsed="false">
      <c r="A1835" s="2" t="n">
        <v>46168</v>
      </c>
      <c r="B1835" s="3" t="s">
        <v>398</v>
      </c>
      <c r="C1835" s="0" t="n">
        <v>138</v>
      </c>
      <c r="D1835" s="0" t="n">
        <v>1</v>
      </c>
      <c r="E1835" s="0" t="str">
        <f aca="false">INDEX(lot!$B$2:$B$1201,MATCH(B1835,lot!$A$2:$A$1201,0))</f>
        <v>SUP-E</v>
      </c>
      <c r="F1835" s="3" t="n">
        <f aca="false">YEAR(A1835)*100+MONTH(A1835)</f>
        <v>202605</v>
      </c>
    </row>
    <row r="1836" customFormat="false" ht="15" hidden="false" customHeight="false" outlineLevel="0" collapsed="false">
      <c r="A1836" s="2" t="n">
        <v>46168</v>
      </c>
      <c r="B1836" s="3" t="s">
        <v>436</v>
      </c>
      <c r="C1836" s="0" t="n">
        <v>110</v>
      </c>
      <c r="D1836" s="0" t="n">
        <v>2</v>
      </c>
      <c r="E1836" s="0" t="str">
        <f aca="false">INDEX(lot!$B$2:$B$1201,MATCH(B1836,lot!$A$2:$A$1201,0))</f>
        <v>SUP-A</v>
      </c>
      <c r="F1836" s="3" t="n">
        <f aca="false">YEAR(A1836)*100+MONTH(A1836)</f>
        <v>202605</v>
      </c>
    </row>
    <row r="1837" customFormat="false" ht="15" hidden="false" customHeight="false" outlineLevel="0" collapsed="false">
      <c r="A1837" s="2" t="n">
        <v>46168</v>
      </c>
      <c r="B1837" s="3" t="s">
        <v>694</v>
      </c>
      <c r="C1837" s="0" t="n">
        <v>183</v>
      </c>
      <c r="D1837" s="0" t="n">
        <v>7</v>
      </c>
      <c r="E1837" s="0" t="str">
        <f aca="false">INDEX(lot!$B$2:$B$1201,MATCH(B1837,lot!$A$2:$A$1201,0))</f>
        <v>SUP-C</v>
      </c>
      <c r="F1837" s="3" t="n">
        <f aca="false">YEAR(A1837)*100+MONTH(A1837)</f>
        <v>202605</v>
      </c>
    </row>
    <row r="1838" customFormat="false" ht="15" hidden="false" customHeight="false" outlineLevel="0" collapsed="false">
      <c r="A1838" s="2" t="n">
        <v>46168</v>
      </c>
      <c r="B1838" s="3" t="s">
        <v>716</v>
      </c>
      <c r="C1838" s="0" t="n">
        <v>177</v>
      </c>
      <c r="D1838" s="0" t="n">
        <v>0</v>
      </c>
      <c r="E1838" s="0" t="str">
        <f aca="false">INDEX(lot!$B$2:$B$1201,MATCH(B1838,lot!$A$2:$A$1201,0))</f>
        <v>SUP-E</v>
      </c>
      <c r="F1838" s="3" t="n">
        <f aca="false">YEAR(A1838)*100+MONTH(A1838)</f>
        <v>202605</v>
      </c>
    </row>
    <row r="1839" customFormat="false" ht="15" hidden="false" customHeight="false" outlineLevel="0" collapsed="false">
      <c r="A1839" s="2" t="n">
        <v>46168</v>
      </c>
      <c r="B1839" s="3" t="s">
        <v>716</v>
      </c>
      <c r="C1839" s="0" t="n">
        <v>207</v>
      </c>
      <c r="D1839" s="0" t="n">
        <v>1</v>
      </c>
      <c r="E1839" s="0" t="str">
        <f aca="false">INDEX(lot!$B$2:$B$1201,MATCH(B1839,lot!$A$2:$A$1201,0))</f>
        <v>SUP-E</v>
      </c>
      <c r="F1839" s="3" t="n">
        <f aca="false">YEAR(A1839)*100+MONTH(A1839)</f>
        <v>202605</v>
      </c>
    </row>
    <row r="1840" customFormat="false" ht="15" hidden="false" customHeight="false" outlineLevel="0" collapsed="false">
      <c r="A1840" s="2" t="n">
        <v>46168</v>
      </c>
      <c r="B1840" s="3" t="s">
        <v>786</v>
      </c>
      <c r="C1840" s="0" t="n">
        <v>142</v>
      </c>
      <c r="D1840" s="0" t="n">
        <v>2</v>
      </c>
      <c r="E1840" s="0" t="str">
        <f aca="false">INDEX(lot!$B$2:$B$1201,MATCH(B1840,lot!$A$2:$A$1201,0))</f>
        <v>SUP-B</v>
      </c>
      <c r="F1840" s="3" t="n">
        <f aca="false">YEAR(A1840)*100+MONTH(A1840)</f>
        <v>202605</v>
      </c>
    </row>
    <row r="1841" customFormat="false" ht="15" hidden="false" customHeight="false" outlineLevel="0" collapsed="false">
      <c r="A1841" s="2" t="n">
        <v>46168</v>
      </c>
      <c r="B1841" s="3" t="s">
        <v>786</v>
      </c>
      <c r="C1841" s="0" t="n">
        <v>123</v>
      </c>
      <c r="D1841" s="0" t="n">
        <v>1</v>
      </c>
      <c r="E1841" s="0" t="str">
        <f aca="false">INDEX(lot!$B$2:$B$1201,MATCH(B1841,lot!$A$2:$A$1201,0))</f>
        <v>SUP-B</v>
      </c>
      <c r="F1841" s="3" t="n">
        <f aca="false">YEAR(A1841)*100+MONTH(A1841)</f>
        <v>202605</v>
      </c>
    </row>
    <row r="1842" customFormat="false" ht="15" hidden="false" customHeight="false" outlineLevel="0" collapsed="false">
      <c r="A1842" s="2" t="n">
        <v>46168</v>
      </c>
      <c r="B1842" s="3" t="s">
        <v>867</v>
      </c>
      <c r="C1842" s="0" t="n">
        <v>190</v>
      </c>
      <c r="D1842" s="0" t="n">
        <v>1</v>
      </c>
      <c r="E1842" s="0" t="str">
        <f aca="false">INDEX(lot!$B$2:$B$1201,MATCH(B1842,lot!$A$2:$A$1201,0))</f>
        <v>SUP-A</v>
      </c>
      <c r="F1842" s="3" t="n">
        <f aca="false">YEAR(A1842)*100+MONTH(A1842)</f>
        <v>202605</v>
      </c>
    </row>
    <row r="1843" customFormat="false" ht="15" hidden="false" customHeight="false" outlineLevel="0" collapsed="false">
      <c r="A1843" s="2" t="n">
        <v>46168</v>
      </c>
      <c r="B1843" s="3" t="s">
        <v>867</v>
      </c>
      <c r="C1843" s="0" t="n">
        <v>228</v>
      </c>
      <c r="D1843" s="0" t="n">
        <v>1</v>
      </c>
      <c r="E1843" s="0" t="str">
        <f aca="false">INDEX(lot!$B$2:$B$1201,MATCH(B1843,lot!$A$2:$A$1201,0))</f>
        <v>SUP-A</v>
      </c>
      <c r="F1843" s="3" t="n">
        <f aca="false">YEAR(A1843)*100+MONTH(A1843)</f>
        <v>202605</v>
      </c>
    </row>
    <row r="1844" customFormat="false" ht="15" hidden="false" customHeight="false" outlineLevel="0" collapsed="false">
      <c r="A1844" s="2" t="n">
        <v>46168</v>
      </c>
      <c r="B1844" s="3" t="s">
        <v>887</v>
      </c>
      <c r="C1844" s="0" t="n">
        <v>95</v>
      </c>
      <c r="D1844" s="0" t="n">
        <v>1</v>
      </c>
      <c r="E1844" s="0" t="str">
        <f aca="false">INDEX(lot!$B$2:$B$1201,MATCH(B1844,lot!$A$2:$A$1201,0))</f>
        <v>SUP-D</v>
      </c>
      <c r="F1844" s="3" t="n">
        <f aca="false">YEAR(A1844)*100+MONTH(A1844)</f>
        <v>202605</v>
      </c>
    </row>
    <row r="1845" customFormat="false" ht="15" hidden="false" customHeight="false" outlineLevel="0" collapsed="false">
      <c r="A1845" s="2" t="n">
        <v>46168</v>
      </c>
      <c r="B1845" s="3" t="s">
        <v>964</v>
      </c>
      <c r="C1845" s="0" t="n">
        <v>185</v>
      </c>
      <c r="D1845" s="0" t="n">
        <v>1</v>
      </c>
      <c r="E1845" s="0" t="str">
        <f aca="false">INDEX(lot!$B$2:$B$1201,MATCH(B1845,lot!$A$2:$A$1201,0))</f>
        <v>SUP-E</v>
      </c>
      <c r="F1845" s="3" t="n">
        <f aca="false">YEAR(A1845)*100+MONTH(A1845)</f>
        <v>202605</v>
      </c>
    </row>
    <row r="1846" customFormat="false" ht="15" hidden="false" customHeight="false" outlineLevel="0" collapsed="false">
      <c r="A1846" s="2" t="n">
        <v>46168</v>
      </c>
      <c r="B1846" s="3" t="s">
        <v>964</v>
      </c>
      <c r="C1846" s="0" t="n">
        <v>236</v>
      </c>
      <c r="D1846" s="0" t="n">
        <v>4</v>
      </c>
      <c r="E1846" s="0" t="str">
        <f aca="false">INDEX(lot!$B$2:$B$1201,MATCH(B1846,lot!$A$2:$A$1201,0))</f>
        <v>SUP-E</v>
      </c>
      <c r="F1846" s="3" t="n">
        <f aca="false">YEAR(A1846)*100+MONTH(A1846)</f>
        <v>202605</v>
      </c>
    </row>
    <row r="1847" customFormat="false" ht="15" hidden="false" customHeight="false" outlineLevel="0" collapsed="false">
      <c r="A1847" s="2" t="n">
        <v>46168</v>
      </c>
      <c r="B1847" s="3" t="s">
        <v>969</v>
      </c>
      <c r="C1847" s="0" t="n">
        <v>147</v>
      </c>
      <c r="D1847" s="0" t="n">
        <v>3</v>
      </c>
      <c r="E1847" s="0" t="str">
        <f aca="false">INDEX(lot!$B$2:$B$1201,MATCH(B1847,lot!$A$2:$A$1201,0))</f>
        <v>SUP-C</v>
      </c>
      <c r="F1847" s="3" t="n">
        <f aca="false">YEAR(A1847)*100+MONTH(A1847)</f>
        <v>202605</v>
      </c>
    </row>
    <row r="1848" customFormat="false" ht="15" hidden="false" customHeight="false" outlineLevel="0" collapsed="false">
      <c r="A1848" s="2" t="n">
        <v>46168</v>
      </c>
      <c r="B1848" s="3" t="s">
        <v>969</v>
      </c>
      <c r="C1848" s="0" t="n">
        <v>91</v>
      </c>
      <c r="D1848" s="0" t="n">
        <v>1</v>
      </c>
      <c r="E1848" s="0" t="str">
        <f aca="false">INDEX(lot!$B$2:$B$1201,MATCH(B1848,lot!$A$2:$A$1201,0))</f>
        <v>SUP-C</v>
      </c>
      <c r="F1848" s="3" t="n">
        <f aca="false">YEAR(A1848)*100+MONTH(A1848)</f>
        <v>202605</v>
      </c>
    </row>
    <row r="1849" customFormat="false" ht="15" hidden="false" customHeight="false" outlineLevel="0" collapsed="false">
      <c r="A1849" s="2" t="n">
        <v>46168</v>
      </c>
      <c r="B1849" s="3" t="s">
        <v>1027</v>
      </c>
      <c r="C1849" s="0" t="n">
        <v>178</v>
      </c>
      <c r="D1849" s="0" t="n">
        <v>3</v>
      </c>
      <c r="E1849" s="0" t="str">
        <f aca="false">INDEX(lot!$B$2:$B$1201,MATCH(B1849,lot!$A$2:$A$1201,0))</f>
        <v>SUP-A</v>
      </c>
      <c r="F1849" s="3" t="n">
        <f aca="false">YEAR(A1849)*100+MONTH(A1849)</f>
        <v>202605</v>
      </c>
    </row>
    <row r="1850" customFormat="false" ht="15" hidden="false" customHeight="false" outlineLevel="0" collapsed="false">
      <c r="A1850" s="2" t="n">
        <v>46168</v>
      </c>
      <c r="B1850" s="3" t="s">
        <v>1027</v>
      </c>
      <c r="C1850" s="0" t="n">
        <v>125</v>
      </c>
      <c r="D1850" s="0" t="n">
        <v>1</v>
      </c>
      <c r="E1850" s="0" t="str">
        <f aca="false">INDEX(lot!$B$2:$B$1201,MATCH(B1850,lot!$A$2:$A$1201,0))</f>
        <v>SUP-A</v>
      </c>
      <c r="F1850" s="3" t="n">
        <f aca="false">YEAR(A1850)*100+MONTH(A1850)</f>
        <v>202605</v>
      </c>
    </row>
    <row r="1851" customFormat="false" ht="15" hidden="false" customHeight="false" outlineLevel="0" collapsed="false">
      <c r="A1851" s="2" t="n">
        <v>46168</v>
      </c>
      <c r="B1851" s="3" t="s">
        <v>1119</v>
      </c>
      <c r="C1851" s="0" t="n">
        <v>103</v>
      </c>
      <c r="D1851" s="0" t="n">
        <v>1</v>
      </c>
      <c r="E1851" s="0" t="str">
        <f aca="false">INDEX(lot!$B$2:$B$1201,MATCH(B1851,lot!$A$2:$A$1201,0))</f>
        <v>SUP-E</v>
      </c>
      <c r="F1851" s="3" t="n">
        <f aca="false">YEAR(A1851)*100+MONTH(A1851)</f>
        <v>202605</v>
      </c>
    </row>
    <row r="1852" customFormat="false" ht="15" hidden="false" customHeight="false" outlineLevel="0" collapsed="false">
      <c r="A1852" s="2" t="n">
        <v>46168</v>
      </c>
      <c r="B1852" s="3" t="s">
        <v>1205</v>
      </c>
      <c r="C1852" s="0" t="n">
        <v>75</v>
      </c>
      <c r="D1852" s="0" t="n">
        <v>0</v>
      </c>
      <c r="E1852" s="0" t="str">
        <f aca="false">INDEX(lot!$B$2:$B$1201,MATCH(B1852,lot!$A$2:$A$1201,0))</f>
        <v>SUP-E</v>
      </c>
      <c r="F1852" s="3" t="n">
        <f aca="false">YEAR(A1852)*100+MONTH(A1852)</f>
        <v>202605</v>
      </c>
    </row>
    <row r="1853" customFormat="false" ht="15" hidden="false" customHeight="false" outlineLevel="0" collapsed="false">
      <c r="A1853" s="2" t="n">
        <v>46168</v>
      </c>
      <c r="B1853" s="3" t="s">
        <v>1205</v>
      </c>
      <c r="C1853" s="0" t="n">
        <v>201</v>
      </c>
      <c r="D1853" s="0" t="n">
        <v>3</v>
      </c>
      <c r="E1853" s="0" t="str">
        <f aca="false">INDEX(lot!$B$2:$B$1201,MATCH(B1853,lot!$A$2:$A$1201,0))</f>
        <v>SUP-E</v>
      </c>
      <c r="F1853" s="3" t="n">
        <f aca="false">YEAR(A1853)*100+MONTH(A1853)</f>
        <v>202605</v>
      </c>
    </row>
    <row r="1854" customFormat="false" ht="15" hidden="false" customHeight="false" outlineLevel="0" collapsed="false">
      <c r="A1854" s="2" t="n">
        <v>46169</v>
      </c>
      <c r="B1854" s="3" t="s">
        <v>148</v>
      </c>
      <c r="C1854" s="0" t="n">
        <v>236</v>
      </c>
      <c r="D1854" s="0" t="n">
        <v>1</v>
      </c>
      <c r="E1854" s="0" t="str">
        <f aca="false">INDEX(lot!$B$2:$B$1201,MATCH(B1854,lot!$A$2:$A$1201,0))</f>
        <v>SUP-E</v>
      </c>
      <c r="F1854" s="3" t="n">
        <f aca="false">YEAR(A1854)*100+MONTH(A1854)</f>
        <v>202605</v>
      </c>
    </row>
    <row r="1855" customFormat="false" ht="15" hidden="false" customHeight="false" outlineLevel="0" collapsed="false">
      <c r="A1855" s="2" t="n">
        <v>46169</v>
      </c>
      <c r="B1855" s="3" t="s">
        <v>148</v>
      </c>
      <c r="C1855" s="0" t="n">
        <v>64</v>
      </c>
      <c r="D1855" s="0" t="n">
        <v>0</v>
      </c>
      <c r="E1855" s="0" t="str">
        <f aca="false">INDEX(lot!$B$2:$B$1201,MATCH(B1855,lot!$A$2:$A$1201,0))</f>
        <v>SUP-E</v>
      </c>
      <c r="F1855" s="3" t="n">
        <f aca="false">YEAR(A1855)*100+MONTH(A1855)</f>
        <v>202605</v>
      </c>
    </row>
    <row r="1856" customFormat="false" ht="15" hidden="false" customHeight="false" outlineLevel="0" collapsed="false">
      <c r="A1856" s="2" t="n">
        <v>46169</v>
      </c>
      <c r="B1856" s="3" t="s">
        <v>237</v>
      </c>
      <c r="C1856" s="0" t="n">
        <v>168</v>
      </c>
      <c r="D1856" s="0" t="n">
        <v>1</v>
      </c>
      <c r="E1856" s="0" t="str">
        <f aca="false">INDEX(lot!$B$2:$B$1201,MATCH(B1856,lot!$A$2:$A$1201,0))</f>
        <v>SUP-E</v>
      </c>
      <c r="F1856" s="3" t="n">
        <f aca="false">YEAR(A1856)*100+MONTH(A1856)</f>
        <v>202605</v>
      </c>
    </row>
    <row r="1857" customFormat="false" ht="15" hidden="false" customHeight="false" outlineLevel="0" collapsed="false">
      <c r="A1857" s="2" t="n">
        <v>46169</v>
      </c>
      <c r="B1857" s="3" t="s">
        <v>266</v>
      </c>
      <c r="C1857" s="0" t="n">
        <v>203</v>
      </c>
      <c r="D1857" s="0" t="n">
        <v>10</v>
      </c>
      <c r="E1857" s="0" t="str">
        <f aca="false">INDEX(lot!$B$2:$B$1201,MATCH(B1857,lot!$A$2:$A$1201,0))</f>
        <v>SUP-A</v>
      </c>
      <c r="F1857" s="3" t="n">
        <f aca="false">YEAR(A1857)*100+MONTH(A1857)</f>
        <v>202605</v>
      </c>
    </row>
    <row r="1858" customFormat="false" ht="15" hidden="false" customHeight="false" outlineLevel="0" collapsed="false">
      <c r="A1858" s="2" t="n">
        <v>46169</v>
      </c>
      <c r="B1858" s="3" t="s">
        <v>288</v>
      </c>
      <c r="C1858" s="0" t="n">
        <v>63</v>
      </c>
      <c r="D1858" s="0" t="n">
        <v>4</v>
      </c>
      <c r="E1858" s="0" t="str">
        <f aca="false">INDEX(lot!$B$2:$B$1201,MATCH(B1858,lot!$A$2:$A$1201,0))</f>
        <v>SUP-C</v>
      </c>
      <c r="F1858" s="3" t="n">
        <f aca="false">YEAR(A1858)*100+MONTH(A1858)</f>
        <v>202605</v>
      </c>
    </row>
    <row r="1859" customFormat="false" ht="15" hidden="false" customHeight="false" outlineLevel="0" collapsed="false">
      <c r="A1859" s="2" t="n">
        <v>46169</v>
      </c>
      <c r="B1859" s="3" t="s">
        <v>366</v>
      </c>
      <c r="C1859" s="0" t="n">
        <v>244</v>
      </c>
      <c r="D1859" s="0" t="n">
        <v>3</v>
      </c>
      <c r="E1859" s="0" t="str">
        <f aca="false">INDEX(lot!$B$2:$B$1201,MATCH(B1859,lot!$A$2:$A$1201,0))</f>
        <v>SUP-A</v>
      </c>
      <c r="F1859" s="3" t="n">
        <f aca="false">YEAR(A1859)*100+MONTH(A1859)</f>
        <v>202605</v>
      </c>
    </row>
    <row r="1860" customFormat="false" ht="15" hidden="false" customHeight="false" outlineLevel="0" collapsed="false">
      <c r="A1860" s="2" t="n">
        <v>46169</v>
      </c>
      <c r="B1860" s="3" t="s">
        <v>368</v>
      </c>
      <c r="C1860" s="0" t="n">
        <v>177</v>
      </c>
      <c r="D1860" s="0" t="n">
        <v>0</v>
      </c>
      <c r="E1860" s="0" t="str">
        <f aca="false">INDEX(lot!$B$2:$B$1201,MATCH(B1860,lot!$A$2:$A$1201,0))</f>
        <v>SUP-E</v>
      </c>
      <c r="F1860" s="3" t="n">
        <f aca="false">YEAR(A1860)*100+MONTH(A1860)</f>
        <v>202605</v>
      </c>
    </row>
    <row r="1861" customFormat="false" ht="15" hidden="false" customHeight="false" outlineLevel="0" collapsed="false">
      <c r="A1861" s="2" t="n">
        <v>46169</v>
      </c>
      <c r="B1861" s="3" t="s">
        <v>368</v>
      </c>
      <c r="C1861" s="0" t="n">
        <v>206</v>
      </c>
      <c r="D1861" s="0" t="n">
        <v>1</v>
      </c>
      <c r="E1861" s="0" t="str">
        <f aca="false">INDEX(lot!$B$2:$B$1201,MATCH(B1861,lot!$A$2:$A$1201,0))</f>
        <v>SUP-E</v>
      </c>
      <c r="F1861" s="3" t="n">
        <f aca="false">YEAR(A1861)*100+MONTH(A1861)</f>
        <v>202605</v>
      </c>
    </row>
    <row r="1862" customFormat="false" ht="15" hidden="false" customHeight="false" outlineLevel="0" collapsed="false">
      <c r="A1862" s="2" t="n">
        <v>46169</v>
      </c>
      <c r="B1862" s="3" t="s">
        <v>398</v>
      </c>
      <c r="C1862" s="0" t="n">
        <v>226</v>
      </c>
      <c r="D1862" s="0" t="n">
        <v>2</v>
      </c>
      <c r="E1862" s="0" t="str">
        <f aca="false">INDEX(lot!$B$2:$B$1201,MATCH(B1862,lot!$A$2:$A$1201,0))</f>
        <v>SUP-E</v>
      </c>
      <c r="F1862" s="3" t="n">
        <f aca="false">YEAR(A1862)*100+MONTH(A1862)</f>
        <v>202605</v>
      </c>
    </row>
    <row r="1863" customFormat="false" ht="15" hidden="false" customHeight="false" outlineLevel="0" collapsed="false">
      <c r="A1863" s="2" t="n">
        <v>46169</v>
      </c>
      <c r="B1863" s="3" t="s">
        <v>416</v>
      </c>
      <c r="C1863" s="0" t="n">
        <v>247</v>
      </c>
      <c r="D1863" s="0" t="n">
        <v>16</v>
      </c>
      <c r="E1863" s="0" t="str">
        <f aca="false">INDEX(lot!$B$2:$B$1201,MATCH(B1863,lot!$A$2:$A$1201,0))</f>
        <v>SUP-A</v>
      </c>
      <c r="F1863" s="3" t="n">
        <f aca="false">YEAR(A1863)*100+MONTH(A1863)</f>
        <v>202605</v>
      </c>
    </row>
    <row r="1864" customFormat="false" ht="15" hidden="false" customHeight="false" outlineLevel="0" collapsed="false">
      <c r="A1864" s="2" t="n">
        <v>46169</v>
      </c>
      <c r="B1864" s="3" t="s">
        <v>436</v>
      </c>
      <c r="C1864" s="0" t="n">
        <v>172</v>
      </c>
      <c r="D1864" s="0" t="n">
        <v>1</v>
      </c>
      <c r="E1864" s="0" t="str">
        <f aca="false">INDEX(lot!$B$2:$B$1201,MATCH(B1864,lot!$A$2:$A$1201,0))</f>
        <v>SUP-A</v>
      </c>
      <c r="F1864" s="3" t="n">
        <f aca="false">YEAR(A1864)*100+MONTH(A1864)</f>
        <v>202605</v>
      </c>
    </row>
    <row r="1865" customFormat="false" ht="15" hidden="false" customHeight="false" outlineLevel="0" collapsed="false">
      <c r="A1865" s="2" t="n">
        <v>46169</v>
      </c>
      <c r="B1865" s="3" t="s">
        <v>474</v>
      </c>
      <c r="C1865" s="0" t="n">
        <v>168</v>
      </c>
      <c r="D1865" s="0" t="n">
        <v>1</v>
      </c>
      <c r="E1865" s="0" t="str">
        <f aca="false">INDEX(lot!$B$2:$B$1201,MATCH(B1865,lot!$A$2:$A$1201,0))</f>
        <v>SUP-D</v>
      </c>
      <c r="F1865" s="3" t="n">
        <f aca="false">YEAR(A1865)*100+MONTH(A1865)</f>
        <v>202605</v>
      </c>
    </row>
    <row r="1866" customFormat="false" ht="15" hidden="false" customHeight="false" outlineLevel="0" collapsed="false">
      <c r="A1866" s="2" t="n">
        <v>46169</v>
      </c>
      <c r="B1866" s="3" t="s">
        <v>474</v>
      </c>
      <c r="C1866" s="0" t="n">
        <v>146</v>
      </c>
      <c r="D1866" s="0" t="n">
        <v>2</v>
      </c>
      <c r="E1866" s="0" t="str">
        <f aca="false">INDEX(lot!$B$2:$B$1201,MATCH(B1866,lot!$A$2:$A$1201,0))</f>
        <v>SUP-D</v>
      </c>
      <c r="F1866" s="3" t="n">
        <f aca="false">YEAR(A1866)*100+MONTH(A1866)</f>
        <v>202605</v>
      </c>
    </row>
    <row r="1867" customFormat="false" ht="15" hidden="false" customHeight="false" outlineLevel="0" collapsed="false">
      <c r="A1867" s="2" t="n">
        <v>46169</v>
      </c>
      <c r="B1867" s="3" t="s">
        <v>768</v>
      </c>
      <c r="C1867" s="0" t="n">
        <v>145</v>
      </c>
      <c r="D1867" s="0" t="n">
        <v>2</v>
      </c>
      <c r="E1867" s="0" t="str">
        <f aca="false">INDEX(lot!$B$2:$B$1201,MATCH(B1867,lot!$A$2:$A$1201,0))</f>
        <v>SUP-A</v>
      </c>
      <c r="F1867" s="3" t="n">
        <f aca="false">YEAR(A1867)*100+MONTH(A1867)</f>
        <v>202605</v>
      </c>
    </row>
    <row r="1868" customFormat="false" ht="15" hidden="false" customHeight="false" outlineLevel="0" collapsed="false">
      <c r="A1868" s="2" t="n">
        <v>46169</v>
      </c>
      <c r="B1868" s="3" t="s">
        <v>768</v>
      </c>
      <c r="C1868" s="0" t="n">
        <v>109</v>
      </c>
      <c r="D1868" s="0" t="n">
        <v>0</v>
      </c>
      <c r="E1868" s="0" t="str">
        <f aca="false">INDEX(lot!$B$2:$B$1201,MATCH(B1868,lot!$A$2:$A$1201,0))</f>
        <v>SUP-A</v>
      </c>
      <c r="F1868" s="3" t="n">
        <f aca="false">YEAR(A1868)*100+MONTH(A1868)</f>
        <v>202605</v>
      </c>
    </row>
    <row r="1869" customFormat="false" ht="15" hidden="false" customHeight="false" outlineLevel="0" collapsed="false">
      <c r="A1869" s="2" t="n">
        <v>46169</v>
      </c>
      <c r="B1869" s="3" t="s">
        <v>786</v>
      </c>
      <c r="C1869" s="0" t="n">
        <v>89</v>
      </c>
      <c r="D1869" s="0" t="n">
        <v>0</v>
      </c>
      <c r="E1869" s="0" t="str">
        <f aca="false">INDEX(lot!$B$2:$B$1201,MATCH(B1869,lot!$A$2:$A$1201,0))</f>
        <v>SUP-B</v>
      </c>
      <c r="F1869" s="3" t="n">
        <f aca="false">YEAR(A1869)*100+MONTH(A1869)</f>
        <v>202605</v>
      </c>
    </row>
    <row r="1870" customFormat="false" ht="15" hidden="false" customHeight="false" outlineLevel="0" collapsed="false">
      <c r="A1870" s="2" t="n">
        <v>46169</v>
      </c>
      <c r="B1870" s="3" t="s">
        <v>786</v>
      </c>
      <c r="C1870" s="0" t="n">
        <v>167</v>
      </c>
      <c r="D1870" s="0" t="n">
        <v>1</v>
      </c>
      <c r="E1870" s="0" t="str">
        <f aca="false">INDEX(lot!$B$2:$B$1201,MATCH(B1870,lot!$A$2:$A$1201,0))</f>
        <v>SUP-B</v>
      </c>
      <c r="F1870" s="3" t="n">
        <f aca="false">YEAR(A1870)*100+MONTH(A1870)</f>
        <v>202605</v>
      </c>
    </row>
    <row r="1871" customFormat="false" ht="15" hidden="false" customHeight="false" outlineLevel="0" collapsed="false">
      <c r="A1871" s="2" t="n">
        <v>46169</v>
      </c>
      <c r="B1871" s="3" t="s">
        <v>837</v>
      </c>
      <c r="C1871" s="0" t="n">
        <v>148</v>
      </c>
      <c r="D1871" s="0" t="n">
        <v>6</v>
      </c>
      <c r="E1871" s="0" t="str">
        <f aca="false">INDEX(lot!$B$2:$B$1201,MATCH(B1871,lot!$A$2:$A$1201,0))</f>
        <v>SUP-A</v>
      </c>
      <c r="F1871" s="3" t="n">
        <f aca="false">YEAR(A1871)*100+MONTH(A1871)</f>
        <v>202605</v>
      </c>
    </row>
    <row r="1872" customFormat="false" ht="15" hidden="false" customHeight="false" outlineLevel="0" collapsed="false">
      <c r="A1872" s="2" t="n">
        <v>46169</v>
      </c>
      <c r="B1872" s="3" t="s">
        <v>837</v>
      </c>
      <c r="C1872" s="0" t="n">
        <v>201</v>
      </c>
      <c r="D1872" s="0" t="n">
        <v>8</v>
      </c>
      <c r="E1872" s="0" t="str">
        <f aca="false">INDEX(lot!$B$2:$B$1201,MATCH(B1872,lot!$A$2:$A$1201,0))</f>
        <v>SUP-A</v>
      </c>
      <c r="F1872" s="3" t="n">
        <f aca="false">YEAR(A1872)*100+MONTH(A1872)</f>
        <v>202605</v>
      </c>
    </row>
    <row r="1873" customFormat="false" ht="15" hidden="false" customHeight="false" outlineLevel="0" collapsed="false">
      <c r="A1873" s="2" t="n">
        <v>46169</v>
      </c>
      <c r="B1873" s="3" t="s">
        <v>867</v>
      </c>
      <c r="C1873" s="0" t="n">
        <v>74</v>
      </c>
      <c r="D1873" s="0" t="n">
        <v>1</v>
      </c>
      <c r="E1873" s="0" t="str">
        <f aca="false">INDEX(lot!$B$2:$B$1201,MATCH(B1873,lot!$A$2:$A$1201,0))</f>
        <v>SUP-A</v>
      </c>
      <c r="F1873" s="3" t="n">
        <f aca="false">YEAR(A1873)*100+MONTH(A1873)</f>
        <v>202605</v>
      </c>
    </row>
    <row r="1874" customFormat="false" ht="15" hidden="false" customHeight="false" outlineLevel="0" collapsed="false">
      <c r="A1874" s="2" t="n">
        <v>46169</v>
      </c>
      <c r="B1874" s="3" t="s">
        <v>867</v>
      </c>
      <c r="C1874" s="0" t="n">
        <v>226</v>
      </c>
      <c r="D1874" s="0" t="n">
        <v>2</v>
      </c>
      <c r="E1874" s="0" t="str">
        <f aca="false">INDEX(lot!$B$2:$B$1201,MATCH(B1874,lot!$A$2:$A$1201,0))</f>
        <v>SUP-A</v>
      </c>
      <c r="F1874" s="3" t="n">
        <f aca="false">YEAR(A1874)*100+MONTH(A1874)</f>
        <v>202605</v>
      </c>
    </row>
    <row r="1875" customFormat="false" ht="15" hidden="false" customHeight="false" outlineLevel="0" collapsed="false">
      <c r="A1875" s="2" t="n">
        <v>46169</v>
      </c>
      <c r="B1875" s="3" t="s">
        <v>887</v>
      </c>
      <c r="C1875" s="0" t="n">
        <v>108</v>
      </c>
      <c r="D1875" s="0" t="n">
        <v>2</v>
      </c>
      <c r="E1875" s="0" t="str">
        <f aca="false">INDEX(lot!$B$2:$B$1201,MATCH(B1875,lot!$A$2:$A$1201,0))</f>
        <v>SUP-D</v>
      </c>
      <c r="F1875" s="3" t="n">
        <f aca="false">YEAR(A1875)*100+MONTH(A1875)</f>
        <v>202605</v>
      </c>
    </row>
    <row r="1876" customFormat="false" ht="15" hidden="false" customHeight="false" outlineLevel="0" collapsed="false">
      <c r="A1876" s="2" t="n">
        <v>46169</v>
      </c>
      <c r="B1876" s="3" t="s">
        <v>887</v>
      </c>
      <c r="C1876" s="0" t="n">
        <v>241</v>
      </c>
      <c r="D1876" s="0" t="n">
        <v>5</v>
      </c>
      <c r="E1876" s="0" t="str">
        <f aca="false">INDEX(lot!$B$2:$B$1201,MATCH(B1876,lot!$A$2:$A$1201,0))</f>
        <v>SUP-D</v>
      </c>
      <c r="F1876" s="3" t="n">
        <f aca="false">YEAR(A1876)*100+MONTH(A1876)</f>
        <v>202605</v>
      </c>
    </row>
    <row r="1877" customFormat="false" ht="15" hidden="false" customHeight="false" outlineLevel="0" collapsed="false">
      <c r="A1877" s="2" t="n">
        <v>46169</v>
      </c>
      <c r="B1877" s="3" t="s">
        <v>964</v>
      </c>
      <c r="C1877" s="0" t="n">
        <v>163</v>
      </c>
      <c r="D1877" s="0" t="n">
        <v>1</v>
      </c>
      <c r="E1877" s="0" t="str">
        <f aca="false">INDEX(lot!$B$2:$B$1201,MATCH(B1877,lot!$A$2:$A$1201,0))</f>
        <v>SUP-E</v>
      </c>
      <c r="F1877" s="3" t="n">
        <f aca="false">YEAR(A1877)*100+MONTH(A1877)</f>
        <v>202605</v>
      </c>
    </row>
    <row r="1878" customFormat="false" ht="15" hidden="false" customHeight="false" outlineLevel="0" collapsed="false">
      <c r="A1878" s="2" t="n">
        <v>46169</v>
      </c>
      <c r="B1878" s="3" t="s">
        <v>964</v>
      </c>
      <c r="C1878" s="0" t="n">
        <v>123</v>
      </c>
      <c r="D1878" s="0" t="n">
        <v>0</v>
      </c>
      <c r="E1878" s="0" t="str">
        <f aca="false">INDEX(lot!$B$2:$B$1201,MATCH(B1878,lot!$A$2:$A$1201,0))</f>
        <v>SUP-E</v>
      </c>
      <c r="F1878" s="3" t="n">
        <f aca="false">YEAR(A1878)*100+MONTH(A1878)</f>
        <v>202605</v>
      </c>
    </row>
    <row r="1879" customFormat="false" ht="15" hidden="false" customHeight="false" outlineLevel="0" collapsed="false">
      <c r="A1879" s="2" t="n">
        <v>46169</v>
      </c>
      <c r="B1879" s="3" t="s">
        <v>969</v>
      </c>
      <c r="C1879" s="0" t="n">
        <v>196</v>
      </c>
      <c r="D1879" s="0" t="n">
        <v>4</v>
      </c>
      <c r="E1879" s="0" t="str">
        <f aca="false">INDEX(lot!$B$2:$B$1201,MATCH(B1879,lot!$A$2:$A$1201,0))</f>
        <v>SUP-C</v>
      </c>
      <c r="F1879" s="3" t="n">
        <f aca="false">YEAR(A1879)*100+MONTH(A1879)</f>
        <v>202605</v>
      </c>
    </row>
    <row r="1880" customFormat="false" ht="15" hidden="false" customHeight="false" outlineLevel="0" collapsed="false">
      <c r="A1880" s="2" t="n">
        <v>46169</v>
      </c>
      <c r="B1880" s="3" t="s">
        <v>1119</v>
      </c>
      <c r="C1880" s="0" t="n">
        <v>71</v>
      </c>
      <c r="D1880" s="0" t="n">
        <v>0</v>
      </c>
      <c r="E1880" s="0" t="str">
        <f aca="false">INDEX(lot!$B$2:$B$1201,MATCH(B1880,lot!$A$2:$A$1201,0))</f>
        <v>SUP-E</v>
      </c>
      <c r="F1880" s="3" t="n">
        <f aca="false">YEAR(A1880)*100+MONTH(A1880)</f>
        <v>202605</v>
      </c>
    </row>
    <row r="1881" customFormat="false" ht="15" hidden="false" customHeight="false" outlineLevel="0" collapsed="false">
      <c r="A1881" s="2" t="n">
        <v>46169</v>
      </c>
      <c r="B1881" s="3" t="s">
        <v>1205</v>
      </c>
      <c r="C1881" s="0" t="n">
        <v>72</v>
      </c>
      <c r="D1881" s="0" t="n">
        <v>2</v>
      </c>
      <c r="E1881" s="0" t="str">
        <f aca="false">INDEX(lot!$B$2:$B$1201,MATCH(B1881,lot!$A$2:$A$1201,0))</f>
        <v>SUP-E</v>
      </c>
      <c r="F1881" s="3" t="n">
        <f aca="false">YEAR(A1881)*100+MONTH(A1881)</f>
        <v>202605</v>
      </c>
    </row>
    <row r="1882" customFormat="false" ht="15" hidden="false" customHeight="false" outlineLevel="0" collapsed="false">
      <c r="A1882" s="2" t="n">
        <v>46170</v>
      </c>
      <c r="B1882" s="3" t="s">
        <v>148</v>
      </c>
      <c r="C1882" s="0" t="n">
        <v>49</v>
      </c>
      <c r="D1882" s="0" t="n">
        <v>1</v>
      </c>
      <c r="E1882" s="0" t="str">
        <f aca="false">INDEX(lot!$B$2:$B$1201,MATCH(B1882,lot!$A$2:$A$1201,0))</f>
        <v>SUP-E</v>
      </c>
      <c r="F1882" s="3" t="n">
        <f aca="false">YEAR(A1882)*100+MONTH(A1882)</f>
        <v>202605</v>
      </c>
    </row>
    <row r="1883" customFormat="false" ht="15" hidden="false" customHeight="false" outlineLevel="0" collapsed="false">
      <c r="A1883" s="2" t="n">
        <v>46170</v>
      </c>
      <c r="B1883" s="3" t="s">
        <v>216</v>
      </c>
      <c r="C1883" s="0" t="n">
        <v>108</v>
      </c>
      <c r="D1883" s="0" t="n">
        <v>0</v>
      </c>
      <c r="E1883" s="0" t="str">
        <f aca="false">INDEX(lot!$B$2:$B$1201,MATCH(B1883,lot!$A$2:$A$1201,0))</f>
        <v>SUP-E</v>
      </c>
      <c r="F1883" s="3" t="n">
        <f aca="false">YEAR(A1883)*100+MONTH(A1883)</f>
        <v>202605</v>
      </c>
    </row>
    <row r="1884" customFormat="false" ht="15" hidden="false" customHeight="false" outlineLevel="0" collapsed="false">
      <c r="A1884" s="2" t="n">
        <v>46170</v>
      </c>
      <c r="B1884" s="3" t="s">
        <v>216</v>
      </c>
      <c r="C1884" s="0" t="n">
        <v>193</v>
      </c>
      <c r="D1884" s="0" t="n">
        <v>0</v>
      </c>
      <c r="E1884" s="0" t="str">
        <f aca="false">INDEX(lot!$B$2:$B$1201,MATCH(B1884,lot!$A$2:$A$1201,0))</f>
        <v>SUP-E</v>
      </c>
      <c r="F1884" s="3" t="n">
        <f aca="false">YEAR(A1884)*100+MONTH(A1884)</f>
        <v>202605</v>
      </c>
    </row>
    <row r="1885" customFormat="false" ht="15" hidden="false" customHeight="false" outlineLevel="0" collapsed="false">
      <c r="A1885" s="2" t="n">
        <v>46170</v>
      </c>
      <c r="B1885" s="3" t="s">
        <v>249</v>
      </c>
      <c r="C1885" s="0" t="n">
        <v>223</v>
      </c>
      <c r="D1885" s="0" t="n">
        <v>6</v>
      </c>
      <c r="E1885" s="0" t="str">
        <f aca="false">INDEX(lot!$B$2:$B$1201,MATCH(B1885,lot!$A$2:$A$1201,0))</f>
        <v>SUP-C</v>
      </c>
      <c r="F1885" s="3" t="n">
        <f aca="false">YEAR(A1885)*100+MONTH(A1885)</f>
        <v>202605</v>
      </c>
    </row>
    <row r="1886" customFormat="false" ht="15" hidden="false" customHeight="false" outlineLevel="0" collapsed="false">
      <c r="A1886" s="2" t="n">
        <v>46170</v>
      </c>
      <c r="B1886" s="3" t="s">
        <v>342</v>
      </c>
      <c r="C1886" s="0" t="n">
        <v>246</v>
      </c>
      <c r="D1886" s="0" t="n">
        <v>3</v>
      </c>
      <c r="E1886" s="0" t="str">
        <f aca="false">INDEX(lot!$B$2:$B$1201,MATCH(B1886,lot!$A$2:$A$1201,0))</f>
        <v>SUP-D</v>
      </c>
      <c r="F1886" s="3" t="n">
        <f aca="false">YEAR(A1886)*100+MONTH(A1886)</f>
        <v>202605</v>
      </c>
    </row>
    <row r="1887" customFormat="false" ht="15" hidden="false" customHeight="false" outlineLevel="0" collapsed="false">
      <c r="A1887" s="2" t="n">
        <v>46170</v>
      </c>
      <c r="B1887" s="3" t="s">
        <v>342</v>
      </c>
      <c r="C1887" s="0" t="n">
        <v>232</v>
      </c>
      <c r="D1887" s="0" t="n">
        <v>1</v>
      </c>
      <c r="E1887" s="0" t="str">
        <f aca="false">INDEX(lot!$B$2:$B$1201,MATCH(B1887,lot!$A$2:$A$1201,0))</f>
        <v>SUP-D</v>
      </c>
      <c r="F1887" s="3" t="n">
        <f aca="false">YEAR(A1887)*100+MONTH(A1887)</f>
        <v>202605</v>
      </c>
    </row>
    <row r="1888" customFormat="false" ht="15" hidden="false" customHeight="false" outlineLevel="0" collapsed="false">
      <c r="A1888" s="2" t="n">
        <v>46170</v>
      </c>
      <c r="B1888" s="3" t="s">
        <v>398</v>
      </c>
      <c r="C1888" s="0" t="n">
        <v>155</v>
      </c>
      <c r="D1888" s="0" t="n">
        <v>3</v>
      </c>
      <c r="E1888" s="0" t="str">
        <f aca="false">INDEX(lot!$B$2:$B$1201,MATCH(B1888,lot!$A$2:$A$1201,0))</f>
        <v>SUP-E</v>
      </c>
      <c r="F1888" s="3" t="n">
        <f aca="false">YEAR(A1888)*100+MONTH(A1888)</f>
        <v>202605</v>
      </c>
    </row>
    <row r="1889" customFormat="false" ht="15" hidden="false" customHeight="false" outlineLevel="0" collapsed="false">
      <c r="A1889" s="2" t="n">
        <v>46170</v>
      </c>
      <c r="B1889" s="3" t="s">
        <v>436</v>
      </c>
      <c r="C1889" s="0" t="n">
        <v>74</v>
      </c>
      <c r="D1889" s="0" t="n">
        <v>2</v>
      </c>
      <c r="E1889" s="0" t="str">
        <f aca="false">INDEX(lot!$B$2:$B$1201,MATCH(B1889,lot!$A$2:$A$1201,0))</f>
        <v>SUP-A</v>
      </c>
      <c r="F1889" s="3" t="n">
        <f aca="false">YEAR(A1889)*100+MONTH(A1889)</f>
        <v>202605</v>
      </c>
    </row>
    <row r="1890" customFormat="false" ht="15" hidden="false" customHeight="false" outlineLevel="0" collapsed="false">
      <c r="A1890" s="2" t="n">
        <v>46170</v>
      </c>
      <c r="B1890" s="3" t="s">
        <v>474</v>
      </c>
      <c r="C1890" s="0" t="n">
        <v>79</v>
      </c>
      <c r="D1890" s="0" t="n">
        <v>1</v>
      </c>
      <c r="E1890" s="0" t="str">
        <f aca="false">INDEX(lot!$B$2:$B$1201,MATCH(B1890,lot!$A$2:$A$1201,0))</f>
        <v>SUP-D</v>
      </c>
      <c r="F1890" s="3" t="n">
        <f aca="false">YEAR(A1890)*100+MONTH(A1890)</f>
        <v>202605</v>
      </c>
    </row>
    <row r="1891" customFormat="false" ht="15" hidden="false" customHeight="false" outlineLevel="0" collapsed="false">
      <c r="A1891" s="2" t="n">
        <v>46170</v>
      </c>
      <c r="B1891" s="3" t="s">
        <v>474</v>
      </c>
      <c r="C1891" s="0" t="n">
        <v>167</v>
      </c>
      <c r="D1891" s="0" t="n">
        <v>2</v>
      </c>
      <c r="E1891" s="0" t="str">
        <f aca="false">INDEX(lot!$B$2:$B$1201,MATCH(B1891,lot!$A$2:$A$1201,0))</f>
        <v>SUP-D</v>
      </c>
      <c r="F1891" s="3" t="n">
        <f aca="false">YEAR(A1891)*100+MONTH(A1891)</f>
        <v>202605</v>
      </c>
    </row>
    <row r="1892" customFormat="false" ht="15" hidden="false" customHeight="false" outlineLevel="0" collapsed="false">
      <c r="A1892" s="2" t="n">
        <v>46170</v>
      </c>
      <c r="B1892" s="3" t="s">
        <v>692</v>
      </c>
      <c r="C1892" s="0" t="n">
        <v>146</v>
      </c>
      <c r="D1892" s="0" t="n">
        <v>1</v>
      </c>
      <c r="E1892" s="0" t="str">
        <f aca="false">INDEX(lot!$B$2:$B$1201,MATCH(B1892,lot!$A$2:$A$1201,0))</f>
        <v>SUP-C</v>
      </c>
      <c r="F1892" s="3" t="n">
        <f aca="false">YEAR(A1892)*100+MONTH(A1892)</f>
        <v>202605</v>
      </c>
    </row>
    <row r="1893" customFormat="false" ht="15" hidden="false" customHeight="false" outlineLevel="0" collapsed="false">
      <c r="A1893" s="2" t="n">
        <v>46170</v>
      </c>
      <c r="B1893" s="3" t="s">
        <v>692</v>
      </c>
      <c r="C1893" s="0" t="n">
        <v>123</v>
      </c>
      <c r="D1893" s="0" t="n">
        <v>4</v>
      </c>
      <c r="E1893" s="0" t="str">
        <f aca="false">INDEX(lot!$B$2:$B$1201,MATCH(B1893,lot!$A$2:$A$1201,0))</f>
        <v>SUP-C</v>
      </c>
      <c r="F1893" s="3" t="n">
        <f aca="false">YEAR(A1893)*100+MONTH(A1893)</f>
        <v>202605</v>
      </c>
    </row>
    <row r="1894" customFormat="false" ht="15" hidden="false" customHeight="false" outlineLevel="0" collapsed="false">
      <c r="A1894" s="2" t="n">
        <v>46170</v>
      </c>
      <c r="B1894" s="3" t="s">
        <v>760</v>
      </c>
      <c r="C1894" s="0" t="n">
        <v>181</v>
      </c>
      <c r="D1894" s="0" t="n">
        <v>2</v>
      </c>
      <c r="E1894" s="0" t="str">
        <f aca="false">INDEX(lot!$B$2:$B$1201,MATCH(B1894,lot!$A$2:$A$1201,0))</f>
        <v>SUP-D</v>
      </c>
      <c r="F1894" s="3" t="n">
        <f aca="false">YEAR(A1894)*100+MONTH(A1894)</f>
        <v>202605</v>
      </c>
    </row>
    <row r="1895" customFormat="false" ht="15" hidden="false" customHeight="false" outlineLevel="0" collapsed="false">
      <c r="A1895" s="2" t="n">
        <v>46170</v>
      </c>
      <c r="B1895" s="3" t="s">
        <v>768</v>
      </c>
      <c r="C1895" s="0" t="n">
        <v>84</v>
      </c>
      <c r="D1895" s="0" t="n">
        <v>1</v>
      </c>
      <c r="E1895" s="0" t="str">
        <f aca="false">INDEX(lot!$B$2:$B$1201,MATCH(B1895,lot!$A$2:$A$1201,0))</f>
        <v>SUP-A</v>
      </c>
      <c r="F1895" s="3" t="n">
        <f aca="false">YEAR(A1895)*100+MONTH(A1895)</f>
        <v>202605</v>
      </c>
    </row>
    <row r="1896" customFormat="false" ht="15" hidden="false" customHeight="false" outlineLevel="0" collapsed="false">
      <c r="A1896" s="2" t="n">
        <v>46170</v>
      </c>
      <c r="B1896" s="3" t="s">
        <v>768</v>
      </c>
      <c r="C1896" s="0" t="n">
        <v>77</v>
      </c>
      <c r="D1896" s="0" t="n">
        <v>0</v>
      </c>
      <c r="E1896" s="0" t="str">
        <f aca="false">INDEX(lot!$B$2:$B$1201,MATCH(B1896,lot!$A$2:$A$1201,0))</f>
        <v>SUP-A</v>
      </c>
      <c r="F1896" s="3" t="n">
        <f aca="false">YEAR(A1896)*100+MONTH(A1896)</f>
        <v>202605</v>
      </c>
    </row>
    <row r="1897" customFormat="false" ht="15" hidden="false" customHeight="false" outlineLevel="0" collapsed="false">
      <c r="A1897" s="2" t="n">
        <v>46170</v>
      </c>
      <c r="B1897" s="3" t="s">
        <v>837</v>
      </c>
      <c r="C1897" s="0" t="n">
        <v>225</v>
      </c>
      <c r="D1897" s="0" t="n">
        <v>8</v>
      </c>
      <c r="E1897" s="0" t="str">
        <f aca="false">INDEX(lot!$B$2:$B$1201,MATCH(B1897,lot!$A$2:$A$1201,0))</f>
        <v>SUP-A</v>
      </c>
      <c r="F1897" s="3" t="n">
        <f aca="false">YEAR(A1897)*100+MONTH(A1897)</f>
        <v>202605</v>
      </c>
    </row>
    <row r="1898" customFormat="false" ht="15" hidden="false" customHeight="false" outlineLevel="0" collapsed="false">
      <c r="A1898" s="2" t="n">
        <v>46170</v>
      </c>
      <c r="B1898" s="3" t="s">
        <v>837</v>
      </c>
      <c r="C1898" s="0" t="n">
        <v>162</v>
      </c>
      <c r="D1898" s="0" t="n">
        <v>7</v>
      </c>
      <c r="E1898" s="0" t="str">
        <f aca="false">INDEX(lot!$B$2:$B$1201,MATCH(B1898,lot!$A$2:$A$1201,0))</f>
        <v>SUP-A</v>
      </c>
      <c r="F1898" s="3" t="n">
        <f aca="false">YEAR(A1898)*100+MONTH(A1898)</f>
        <v>202605</v>
      </c>
    </row>
    <row r="1899" customFormat="false" ht="15" hidden="false" customHeight="false" outlineLevel="0" collapsed="false">
      <c r="A1899" s="2" t="n">
        <v>46170</v>
      </c>
      <c r="B1899" s="3" t="s">
        <v>867</v>
      </c>
      <c r="C1899" s="0" t="n">
        <v>148</v>
      </c>
      <c r="D1899" s="0" t="n">
        <v>0</v>
      </c>
      <c r="E1899" s="0" t="str">
        <f aca="false">INDEX(lot!$B$2:$B$1201,MATCH(B1899,lot!$A$2:$A$1201,0))</f>
        <v>SUP-A</v>
      </c>
      <c r="F1899" s="3" t="n">
        <f aca="false">YEAR(A1899)*100+MONTH(A1899)</f>
        <v>202605</v>
      </c>
    </row>
    <row r="1900" customFormat="false" ht="15" hidden="false" customHeight="false" outlineLevel="0" collapsed="false">
      <c r="A1900" s="2" t="n">
        <v>46170</v>
      </c>
      <c r="B1900" s="3" t="s">
        <v>887</v>
      </c>
      <c r="C1900" s="0" t="n">
        <v>207</v>
      </c>
      <c r="D1900" s="0" t="n">
        <v>5</v>
      </c>
      <c r="E1900" s="0" t="str">
        <f aca="false">INDEX(lot!$B$2:$B$1201,MATCH(B1900,lot!$A$2:$A$1201,0))</f>
        <v>SUP-D</v>
      </c>
      <c r="F1900" s="3" t="n">
        <f aca="false">YEAR(A1900)*100+MONTH(A1900)</f>
        <v>202605</v>
      </c>
    </row>
    <row r="1901" customFormat="false" ht="15" hidden="false" customHeight="false" outlineLevel="0" collapsed="false">
      <c r="A1901" s="2" t="n">
        <v>46170</v>
      </c>
      <c r="B1901" s="3" t="s">
        <v>928</v>
      </c>
      <c r="C1901" s="0" t="n">
        <v>165</v>
      </c>
      <c r="D1901" s="0" t="n">
        <v>1</v>
      </c>
      <c r="E1901" s="0" t="str">
        <f aca="false">INDEX(lot!$B$2:$B$1201,MATCH(B1901,lot!$A$2:$A$1201,0))</f>
        <v>SUP-E</v>
      </c>
      <c r="F1901" s="3" t="n">
        <f aca="false">YEAR(A1901)*100+MONTH(A1901)</f>
        <v>202605</v>
      </c>
    </row>
    <row r="1902" customFormat="false" ht="15" hidden="false" customHeight="false" outlineLevel="0" collapsed="false">
      <c r="A1902" s="2" t="n">
        <v>46170</v>
      </c>
      <c r="B1902" s="3" t="s">
        <v>928</v>
      </c>
      <c r="C1902" s="0" t="n">
        <v>247</v>
      </c>
      <c r="D1902" s="0" t="n">
        <v>1</v>
      </c>
      <c r="E1902" s="0" t="str">
        <f aca="false">INDEX(lot!$B$2:$B$1201,MATCH(B1902,lot!$A$2:$A$1201,0))</f>
        <v>SUP-E</v>
      </c>
      <c r="F1902" s="3" t="n">
        <f aca="false">YEAR(A1902)*100+MONTH(A1902)</f>
        <v>202605</v>
      </c>
    </row>
    <row r="1903" customFormat="false" ht="15" hidden="false" customHeight="false" outlineLevel="0" collapsed="false">
      <c r="A1903" s="2" t="n">
        <v>46170</v>
      </c>
      <c r="B1903" s="3" t="s">
        <v>964</v>
      </c>
      <c r="C1903" s="0" t="n">
        <v>162</v>
      </c>
      <c r="D1903" s="0" t="n">
        <v>2</v>
      </c>
      <c r="E1903" s="0" t="str">
        <f aca="false">INDEX(lot!$B$2:$B$1201,MATCH(B1903,lot!$A$2:$A$1201,0))</f>
        <v>SUP-E</v>
      </c>
      <c r="F1903" s="3" t="n">
        <f aca="false">YEAR(A1903)*100+MONTH(A1903)</f>
        <v>202605</v>
      </c>
    </row>
    <row r="1904" customFormat="false" ht="15" hidden="false" customHeight="false" outlineLevel="0" collapsed="false">
      <c r="A1904" s="2" t="n">
        <v>46170</v>
      </c>
      <c r="B1904" s="3" t="s">
        <v>1017</v>
      </c>
      <c r="C1904" s="0" t="n">
        <v>148</v>
      </c>
      <c r="D1904" s="0" t="n">
        <v>0</v>
      </c>
      <c r="E1904" s="0" t="str">
        <f aca="false">INDEX(lot!$B$2:$B$1201,MATCH(B1904,lot!$A$2:$A$1201,0))</f>
        <v>SUP-E</v>
      </c>
      <c r="F1904" s="3" t="n">
        <f aca="false">YEAR(A1904)*100+MONTH(A1904)</f>
        <v>202605</v>
      </c>
    </row>
    <row r="1905" customFormat="false" ht="15" hidden="false" customHeight="false" outlineLevel="0" collapsed="false">
      <c r="A1905" s="2" t="n">
        <v>46170</v>
      </c>
      <c r="B1905" s="3" t="s">
        <v>1017</v>
      </c>
      <c r="C1905" s="0" t="n">
        <v>234</v>
      </c>
      <c r="D1905" s="0" t="n">
        <v>3</v>
      </c>
      <c r="E1905" s="0" t="str">
        <f aca="false">INDEX(lot!$B$2:$B$1201,MATCH(B1905,lot!$A$2:$A$1201,0))</f>
        <v>SUP-E</v>
      </c>
      <c r="F1905" s="3" t="n">
        <f aca="false">YEAR(A1905)*100+MONTH(A1905)</f>
        <v>202605</v>
      </c>
    </row>
    <row r="1906" customFormat="false" ht="15" hidden="false" customHeight="false" outlineLevel="0" collapsed="false">
      <c r="A1906" s="2" t="n">
        <v>46170</v>
      </c>
      <c r="B1906" s="3" t="s">
        <v>1212</v>
      </c>
      <c r="C1906" s="0" t="n">
        <v>159</v>
      </c>
      <c r="D1906" s="0" t="n">
        <v>2</v>
      </c>
      <c r="E1906" s="0" t="str">
        <f aca="false">INDEX(lot!$B$2:$B$1201,MATCH(B1906,lot!$A$2:$A$1201,0))</f>
        <v>SUP-A</v>
      </c>
      <c r="F1906" s="3" t="n">
        <f aca="false">YEAR(A1906)*100+MONTH(A1906)</f>
        <v>202605</v>
      </c>
    </row>
    <row r="1907" customFormat="false" ht="15" hidden="false" customHeight="false" outlineLevel="0" collapsed="false">
      <c r="A1907" s="2" t="n">
        <v>46171</v>
      </c>
      <c r="B1907" s="3" t="s">
        <v>85</v>
      </c>
      <c r="C1907" s="0" t="n">
        <v>164</v>
      </c>
      <c r="D1907" s="0" t="n">
        <v>0</v>
      </c>
      <c r="E1907" s="0" t="str">
        <f aca="false">INDEX(lot!$B$2:$B$1201,MATCH(B1907,lot!$A$2:$A$1201,0))</f>
        <v>SUP-E</v>
      </c>
      <c r="F1907" s="3" t="n">
        <f aca="false">YEAR(A1907)*100+MONTH(A1907)</f>
        <v>202605</v>
      </c>
    </row>
    <row r="1908" customFormat="false" ht="15" hidden="false" customHeight="false" outlineLevel="0" collapsed="false">
      <c r="A1908" s="2" t="n">
        <v>46171</v>
      </c>
      <c r="B1908" s="3" t="s">
        <v>85</v>
      </c>
      <c r="C1908" s="0" t="n">
        <v>156</v>
      </c>
      <c r="D1908" s="0" t="n">
        <v>0</v>
      </c>
      <c r="E1908" s="0" t="str">
        <f aca="false">INDEX(lot!$B$2:$B$1201,MATCH(B1908,lot!$A$2:$A$1201,0))</f>
        <v>SUP-E</v>
      </c>
      <c r="F1908" s="3" t="n">
        <f aca="false">YEAR(A1908)*100+MONTH(A1908)</f>
        <v>202605</v>
      </c>
    </row>
    <row r="1909" customFormat="false" ht="15" hidden="false" customHeight="false" outlineLevel="0" collapsed="false">
      <c r="A1909" s="2" t="n">
        <v>46171</v>
      </c>
      <c r="B1909" s="3" t="s">
        <v>122</v>
      </c>
      <c r="C1909" s="0" t="n">
        <v>167</v>
      </c>
      <c r="D1909" s="0" t="n">
        <v>2</v>
      </c>
      <c r="E1909" s="0" t="str">
        <f aca="false">INDEX(lot!$B$2:$B$1201,MATCH(B1909,lot!$A$2:$A$1201,0))</f>
        <v>SUP-E</v>
      </c>
      <c r="F1909" s="3" t="n">
        <f aca="false">YEAR(A1909)*100+MONTH(A1909)</f>
        <v>202605</v>
      </c>
    </row>
    <row r="1910" customFormat="false" ht="15" hidden="false" customHeight="false" outlineLevel="0" collapsed="false">
      <c r="A1910" s="2" t="n">
        <v>46171</v>
      </c>
      <c r="B1910" s="3" t="s">
        <v>122</v>
      </c>
      <c r="C1910" s="0" t="n">
        <v>211</v>
      </c>
      <c r="D1910" s="0" t="n">
        <v>0</v>
      </c>
      <c r="E1910" s="0" t="str">
        <f aca="false">INDEX(lot!$B$2:$B$1201,MATCH(B1910,lot!$A$2:$A$1201,0))</f>
        <v>SUP-E</v>
      </c>
      <c r="F1910" s="3" t="n">
        <f aca="false">YEAR(A1910)*100+MONTH(A1910)</f>
        <v>202605</v>
      </c>
    </row>
    <row r="1911" customFormat="false" ht="15" hidden="false" customHeight="false" outlineLevel="0" collapsed="false">
      <c r="A1911" s="2" t="n">
        <v>46171</v>
      </c>
      <c r="B1911" s="3" t="s">
        <v>216</v>
      </c>
      <c r="C1911" s="0" t="n">
        <v>171</v>
      </c>
      <c r="D1911" s="0" t="n">
        <v>1</v>
      </c>
      <c r="E1911" s="0" t="str">
        <f aca="false">INDEX(lot!$B$2:$B$1201,MATCH(B1911,lot!$A$2:$A$1201,0))</f>
        <v>SUP-E</v>
      </c>
      <c r="F1911" s="3" t="n">
        <f aca="false">YEAR(A1911)*100+MONTH(A1911)</f>
        <v>202605</v>
      </c>
    </row>
    <row r="1912" customFormat="false" ht="15" hidden="false" customHeight="false" outlineLevel="0" collapsed="false">
      <c r="A1912" s="2" t="n">
        <v>46171</v>
      </c>
      <c r="B1912" s="3" t="s">
        <v>249</v>
      </c>
      <c r="C1912" s="0" t="n">
        <v>99</v>
      </c>
      <c r="D1912" s="0" t="n">
        <v>1</v>
      </c>
      <c r="E1912" s="0" t="str">
        <f aca="false">INDEX(lot!$B$2:$B$1201,MATCH(B1912,lot!$A$2:$A$1201,0))</f>
        <v>SUP-C</v>
      </c>
      <c r="F1912" s="3" t="n">
        <f aca="false">YEAR(A1912)*100+MONTH(A1912)</f>
        <v>202605</v>
      </c>
    </row>
    <row r="1913" customFormat="false" ht="15" hidden="false" customHeight="false" outlineLevel="0" collapsed="false">
      <c r="A1913" s="2" t="n">
        <v>46171</v>
      </c>
      <c r="B1913" s="3" t="s">
        <v>250</v>
      </c>
      <c r="C1913" s="0" t="n">
        <v>118</v>
      </c>
      <c r="D1913" s="0" t="n">
        <v>0</v>
      </c>
      <c r="E1913" s="0" t="str">
        <f aca="false">INDEX(lot!$B$2:$B$1201,MATCH(B1913,lot!$A$2:$A$1201,0))</f>
        <v>SUP-E</v>
      </c>
      <c r="F1913" s="3" t="n">
        <f aca="false">YEAR(A1913)*100+MONTH(A1913)</f>
        <v>202605</v>
      </c>
    </row>
    <row r="1914" customFormat="false" ht="15" hidden="false" customHeight="false" outlineLevel="0" collapsed="false">
      <c r="A1914" s="2" t="n">
        <v>46171</v>
      </c>
      <c r="B1914" s="3" t="s">
        <v>250</v>
      </c>
      <c r="C1914" s="0" t="n">
        <v>218</v>
      </c>
      <c r="D1914" s="0" t="n">
        <v>1</v>
      </c>
      <c r="E1914" s="0" t="str">
        <f aca="false">INDEX(lot!$B$2:$B$1201,MATCH(B1914,lot!$A$2:$A$1201,0))</f>
        <v>SUP-E</v>
      </c>
      <c r="F1914" s="3" t="n">
        <f aca="false">YEAR(A1914)*100+MONTH(A1914)</f>
        <v>202605</v>
      </c>
    </row>
    <row r="1915" customFormat="false" ht="15" hidden="false" customHeight="false" outlineLevel="0" collapsed="false">
      <c r="A1915" s="2" t="n">
        <v>46171</v>
      </c>
      <c r="B1915" s="3" t="s">
        <v>276</v>
      </c>
      <c r="C1915" s="0" t="n">
        <v>114</v>
      </c>
      <c r="D1915" s="0" t="n">
        <v>2</v>
      </c>
      <c r="E1915" s="0" t="str">
        <f aca="false">INDEX(lot!$B$2:$B$1201,MATCH(B1915,lot!$A$2:$A$1201,0))</f>
        <v>SUP-A</v>
      </c>
      <c r="F1915" s="3" t="n">
        <f aca="false">YEAR(A1915)*100+MONTH(A1915)</f>
        <v>202605</v>
      </c>
    </row>
    <row r="1916" customFormat="false" ht="15" hidden="false" customHeight="false" outlineLevel="0" collapsed="false">
      <c r="A1916" s="2" t="n">
        <v>46171</v>
      </c>
      <c r="B1916" s="3" t="s">
        <v>342</v>
      </c>
      <c r="C1916" s="0" t="n">
        <v>185</v>
      </c>
      <c r="D1916" s="0" t="n">
        <v>1</v>
      </c>
      <c r="E1916" s="0" t="str">
        <f aca="false">INDEX(lot!$B$2:$B$1201,MATCH(B1916,lot!$A$2:$A$1201,0))</f>
        <v>SUP-D</v>
      </c>
      <c r="F1916" s="3" t="n">
        <f aca="false">YEAR(A1916)*100+MONTH(A1916)</f>
        <v>202605</v>
      </c>
    </row>
    <row r="1917" customFormat="false" ht="15" hidden="false" customHeight="false" outlineLevel="0" collapsed="false">
      <c r="A1917" s="2" t="n">
        <v>46171</v>
      </c>
      <c r="B1917" s="3" t="s">
        <v>342</v>
      </c>
      <c r="C1917" s="0" t="n">
        <v>185</v>
      </c>
      <c r="D1917" s="0" t="n">
        <v>0</v>
      </c>
      <c r="E1917" s="0" t="str">
        <f aca="false">INDEX(lot!$B$2:$B$1201,MATCH(B1917,lot!$A$2:$A$1201,0))</f>
        <v>SUP-D</v>
      </c>
      <c r="F1917" s="3" t="n">
        <f aca="false">YEAR(A1917)*100+MONTH(A1917)</f>
        <v>202605</v>
      </c>
    </row>
    <row r="1918" customFormat="false" ht="15" hidden="false" customHeight="false" outlineLevel="0" collapsed="false">
      <c r="A1918" s="2" t="n">
        <v>46171</v>
      </c>
      <c r="B1918" s="3" t="s">
        <v>555</v>
      </c>
      <c r="C1918" s="0" t="n">
        <v>241</v>
      </c>
      <c r="D1918" s="0" t="n">
        <v>3</v>
      </c>
      <c r="E1918" s="0" t="str">
        <f aca="false">INDEX(lot!$B$2:$B$1201,MATCH(B1918,lot!$A$2:$A$1201,0))</f>
        <v>SUP-D</v>
      </c>
      <c r="F1918" s="3" t="n">
        <f aca="false">YEAR(A1918)*100+MONTH(A1918)</f>
        <v>202605</v>
      </c>
    </row>
    <row r="1919" customFormat="false" ht="15" hidden="false" customHeight="false" outlineLevel="0" collapsed="false">
      <c r="A1919" s="2" t="n">
        <v>46171</v>
      </c>
      <c r="B1919" s="3" t="s">
        <v>555</v>
      </c>
      <c r="C1919" s="0" t="n">
        <v>105</v>
      </c>
      <c r="D1919" s="0" t="n">
        <v>0</v>
      </c>
      <c r="E1919" s="0" t="str">
        <f aca="false">INDEX(lot!$B$2:$B$1201,MATCH(B1919,lot!$A$2:$A$1201,0))</f>
        <v>SUP-D</v>
      </c>
      <c r="F1919" s="3" t="n">
        <f aca="false">YEAR(A1919)*100+MONTH(A1919)</f>
        <v>202605</v>
      </c>
    </row>
    <row r="1920" customFormat="false" ht="15" hidden="false" customHeight="false" outlineLevel="0" collapsed="false">
      <c r="A1920" s="2" t="n">
        <v>46171</v>
      </c>
      <c r="B1920" s="3" t="s">
        <v>692</v>
      </c>
      <c r="C1920" s="0" t="n">
        <v>109</v>
      </c>
      <c r="D1920" s="0" t="n">
        <v>3</v>
      </c>
      <c r="E1920" s="0" t="str">
        <f aca="false">INDEX(lot!$B$2:$B$1201,MATCH(B1920,lot!$A$2:$A$1201,0))</f>
        <v>SUP-C</v>
      </c>
      <c r="F1920" s="3" t="n">
        <f aca="false">YEAR(A1920)*100+MONTH(A1920)</f>
        <v>202605</v>
      </c>
    </row>
    <row r="1921" customFormat="false" ht="15" hidden="false" customHeight="false" outlineLevel="0" collapsed="false">
      <c r="A1921" s="2" t="n">
        <v>46171</v>
      </c>
      <c r="B1921" s="3" t="s">
        <v>749</v>
      </c>
      <c r="C1921" s="0" t="n">
        <v>163</v>
      </c>
      <c r="D1921" s="0" t="n">
        <v>5</v>
      </c>
      <c r="E1921" s="0" t="str">
        <f aca="false">INDEX(lot!$B$2:$B$1201,MATCH(B1921,lot!$A$2:$A$1201,0))</f>
        <v>SUP-C</v>
      </c>
      <c r="F1921" s="3" t="n">
        <f aca="false">YEAR(A1921)*100+MONTH(A1921)</f>
        <v>202605</v>
      </c>
    </row>
    <row r="1922" customFormat="false" ht="15" hidden="false" customHeight="false" outlineLevel="0" collapsed="false">
      <c r="A1922" s="2" t="n">
        <v>46171</v>
      </c>
      <c r="B1922" s="3" t="s">
        <v>760</v>
      </c>
      <c r="C1922" s="0" t="n">
        <v>69</v>
      </c>
      <c r="D1922" s="0" t="n">
        <v>0</v>
      </c>
      <c r="E1922" s="0" t="str">
        <f aca="false">INDEX(lot!$B$2:$B$1201,MATCH(B1922,lot!$A$2:$A$1201,0))</f>
        <v>SUP-D</v>
      </c>
      <c r="F1922" s="3" t="n">
        <f aca="false">YEAR(A1922)*100+MONTH(A1922)</f>
        <v>202605</v>
      </c>
    </row>
    <row r="1923" customFormat="false" ht="15" hidden="false" customHeight="false" outlineLevel="0" collapsed="false">
      <c r="A1923" s="2" t="n">
        <v>46171</v>
      </c>
      <c r="B1923" s="3" t="s">
        <v>760</v>
      </c>
      <c r="C1923" s="0" t="n">
        <v>243</v>
      </c>
      <c r="D1923" s="0" t="n">
        <v>3</v>
      </c>
      <c r="E1923" s="0" t="str">
        <f aca="false">INDEX(lot!$B$2:$B$1201,MATCH(B1923,lot!$A$2:$A$1201,0))</f>
        <v>SUP-D</v>
      </c>
      <c r="F1923" s="3" t="n">
        <f aca="false">YEAR(A1923)*100+MONTH(A1923)</f>
        <v>202605</v>
      </c>
    </row>
    <row r="1924" customFormat="false" ht="15" hidden="false" customHeight="false" outlineLevel="0" collapsed="false">
      <c r="A1924" s="2" t="n">
        <v>46171</v>
      </c>
      <c r="B1924" s="3" t="s">
        <v>837</v>
      </c>
      <c r="C1924" s="0" t="n">
        <v>247</v>
      </c>
      <c r="D1924" s="0" t="n">
        <v>10</v>
      </c>
      <c r="E1924" s="0" t="str">
        <f aca="false">INDEX(lot!$B$2:$B$1201,MATCH(B1924,lot!$A$2:$A$1201,0))</f>
        <v>SUP-A</v>
      </c>
      <c r="F1924" s="3" t="n">
        <f aca="false">YEAR(A1924)*100+MONTH(A1924)</f>
        <v>202605</v>
      </c>
    </row>
    <row r="1925" customFormat="false" ht="15" hidden="false" customHeight="false" outlineLevel="0" collapsed="false">
      <c r="A1925" s="2" t="n">
        <v>46171</v>
      </c>
      <c r="B1925" s="3" t="s">
        <v>928</v>
      </c>
      <c r="C1925" s="0" t="n">
        <v>81</v>
      </c>
      <c r="D1925" s="0" t="n">
        <v>0</v>
      </c>
      <c r="E1925" s="0" t="str">
        <f aca="false">INDEX(lot!$B$2:$B$1201,MATCH(B1925,lot!$A$2:$A$1201,0))</f>
        <v>SUP-E</v>
      </c>
      <c r="F1925" s="3" t="n">
        <f aca="false">YEAR(A1925)*100+MONTH(A1925)</f>
        <v>202605</v>
      </c>
    </row>
    <row r="1926" customFormat="false" ht="15" hidden="false" customHeight="false" outlineLevel="0" collapsed="false">
      <c r="A1926" s="2" t="n">
        <v>46171</v>
      </c>
      <c r="B1926" s="3" t="s">
        <v>928</v>
      </c>
      <c r="C1926" s="0" t="n">
        <v>188</v>
      </c>
      <c r="D1926" s="0" t="n">
        <v>2</v>
      </c>
      <c r="E1926" s="0" t="str">
        <f aca="false">INDEX(lot!$B$2:$B$1201,MATCH(B1926,lot!$A$2:$A$1201,0))</f>
        <v>SUP-E</v>
      </c>
      <c r="F1926" s="3" t="n">
        <f aca="false">YEAR(A1926)*100+MONTH(A1926)</f>
        <v>202605</v>
      </c>
    </row>
    <row r="1927" customFormat="false" ht="15" hidden="false" customHeight="false" outlineLevel="0" collapsed="false">
      <c r="A1927" s="2" t="n">
        <v>46171</v>
      </c>
      <c r="B1927" s="3" t="s">
        <v>1212</v>
      </c>
      <c r="C1927" s="0" t="n">
        <v>191</v>
      </c>
      <c r="D1927" s="0" t="n">
        <v>2</v>
      </c>
      <c r="E1927" s="0" t="str">
        <f aca="false">INDEX(lot!$B$2:$B$1201,MATCH(B1927,lot!$A$2:$A$1201,0))</f>
        <v>SUP-A</v>
      </c>
      <c r="F1927" s="3" t="n">
        <f aca="false">YEAR(A1927)*100+MONTH(A1927)</f>
        <v>202605</v>
      </c>
    </row>
    <row r="1928" customFormat="false" ht="15" hidden="false" customHeight="false" outlineLevel="0" collapsed="false">
      <c r="A1928" s="2" t="n">
        <v>46174</v>
      </c>
      <c r="B1928" s="3" t="s">
        <v>45</v>
      </c>
      <c r="C1928" s="0" t="n">
        <v>134</v>
      </c>
      <c r="D1928" s="0" t="n">
        <v>0</v>
      </c>
      <c r="E1928" s="0" t="str">
        <f aca="false">INDEX(lot!$B$2:$B$1201,MATCH(B1928,lot!$A$2:$A$1201,0))</f>
        <v>SUP-E</v>
      </c>
      <c r="F1928" s="3" t="n">
        <f aca="false">YEAR(A1928)*100+MONTH(A1928)</f>
        <v>202606</v>
      </c>
    </row>
    <row r="1929" customFormat="false" ht="15" hidden="false" customHeight="false" outlineLevel="0" collapsed="false">
      <c r="A1929" s="2" t="n">
        <v>46174</v>
      </c>
      <c r="B1929" s="3" t="s">
        <v>45</v>
      </c>
      <c r="C1929" s="0" t="n">
        <v>186</v>
      </c>
      <c r="D1929" s="0" t="n">
        <v>1</v>
      </c>
      <c r="E1929" s="0" t="str">
        <f aca="false">INDEX(lot!$B$2:$B$1201,MATCH(B1929,lot!$A$2:$A$1201,0))</f>
        <v>SUP-E</v>
      </c>
      <c r="F1929" s="3" t="n">
        <f aca="false">YEAR(A1929)*100+MONTH(A1929)</f>
        <v>202606</v>
      </c>
    </row>
    <row r="1930" customFormat="false" ht="15" hidden="false" customHeight="false" outlineLevel="0" collapsed="false">
      <c r="A1930" s="2" t="n">
        <v>46174</v>
      </c>
      <c r="B1930" s="3" t="s">
        <v>85</v>
      </c>
      <c r="C1930" s="0" t="n">
        <v>94</v>
      </c>
      <c r="D1930" s="0" t="n">
        <v>0</v>
      </c>
      <c r="E1930" s="0" t="str">
        <f aca="false">INDEX(lot!$B$2:$B$1201,MATCH(B1930,lot!$A$2:$A$1201,0))</f>
        <v>SUP-E</v>
      </c>
      <c r="F1930" s="3" t="n">
        <f aca="false">YEAR(A1930)*100+MONTH(A1930)</f>
        <v>202606</v>
      </c>
    </row>
    <row r="1931" customFormat="false" ht="15" hidden="false" customHeight="false" outlineLevel="0" collapsed="false">
      <c r="A1931" s="2" t="n">
        <v>46174</v>
      </c>
      <c r="B1931" s="3" t="s">
        <v>105</v>
      </c>
      <c r="C1931" s="0" t="n">
        <v>131</v>
      </c>
      <c r="D1931" s="0" t="n">
        <v>1</v>
      </c>
      <c r="E1931" s="0" t="str">
        <f aca="false">INDEX(lot!$B$2:$B$1201,MATCH(B1931,lot!$A$2:$A$1201,0))</f>
        <v>SUP-E</v>
      </c>
      <c r="F1931" s="3" t="n">
        <f aca="false">YEAR(A1931)*100+MONTH(A1931)</f>
        <v>202606</v>
      </c>
    </row>
    <row r="1932" customFormat="false" ht="15" hidden="false" customHeight="false" outlineLevel="0" collapsed="false">
      <c r="A1932" s="2" t="n">
        <v>46174</v>
      </c>
      <c r="B1932" s="3" t="s">
        <v>105</v>
      </c>
      <c r="C1932" s="0" t="n">
        <v>205</v>
      </c>
      <c r="D1932" s="0" t="n">
        <v>2</v>
      </c>
      <c r="E1932" s="0" t="str">
        <f aca="false">INDEX(lot!$B$2:$B$1201,MATCH(B1932,lot!$A$2:$A$1201,0))</f>
        <v>SUP-E</v>
      </c>
      <c r="F1932" s="3" t="n">
        <f aca="false">YEAR(A1932)*100+MONTH(A1932)</f>
        <v>202606</v>
      </c>
    </row>
    <row r="1933" customFormat="false" ht="15" hidden="false" customHeight="false" outlineLevel="0" collapsed="false">
      <c r="A1933" s="2" t="n">
        <v>46174</v>
      </c>
      <c r="B1933" s="3" t="s">
        <v>122</v>
      </c>
      <c r="C1933" s="0" t="n">
        <v>140</v>
      </c>
      <c r="D1933" s="0" t="n">
        <v>0</v>
      </c>
      <c r="E1933" s="0" t="str">
        <f aca="false">INDEX(lot!$B$2:$B$1201,MATCH(B1933,lot!$A$2:$A$1201,0))</f>
        <v>SUP-E</v>
      </c>
      <c r="F1933" s="3" t="n">
        <f aca="false">YEAR(A1933)*100+MONTH(A1933)</f>
        <v>202606</v>
      </c>
    </row>
    <row r="1934" customFormat="false" ht="15" hidden="false" customHeight="false" outlineLevel="0" collapsed="false">
      <c r="A1934" s="2" t="n">
        <v>46174</v>
      </c>
      <c r="B1934" s="3" t="s">
        <v>122</v>
      </c>
      <c r="C1934" s="0" t="n">
        <v>144</v>
      </c>
      <c r="D1934" s="0" t="n">
        <v>2</v>
      </c>
      <c r="E1934" s="0" t="str">
        <f aca="false">INDEX(lot!$B$2:$B$1201,MATCH(B1934,lot!$A$2:$A$1201,0))</f>
        <v>SUP-E</v>
      </c>
      <c r="F1934" s="3" t="n">
        <f aca="false">YEAR(A1934)*100+MONTH(A1934)</f>
        <v>202606</v>
      </c>
    </row>
    <row r="1935" customFormat="false" ht="15" hidden="false" customHeight="false" outlineLevel="0" collapsed="false">
      <c r="A1935" s="2" t="n">
        <v>46174</v>
      </c>
      <c r="B1935" s="3" t="s">
        <v>216</v>
      </c>
      <c r="C1935" s="0" t="n">
        <v>32</v>
      </c>
      <c r="D1935" s="0" t="n">
        <v>0</v>
      </c>
      <c r="E1935" s="0" t="str">
        <f aca="false">INDEX(lot!$B$2:$B$1201,MATCH(B1935,lot!$A$2:$A$1201,0))</f>
        <v>SUP-E</v>
      </c>
      <c r="F1935" s="3" t="n">
        <f aca="false">YEAR(A1935)*100+MONTH(A1935)</f>
        <v>202606</v>
      </c>
    </row>
    <row r="1936" customFormat="false" ht="15" hidden="false" customHeight="false" outlineLevel="0" collapsed="false">
      <c r="A1936" s="2" t="n">
        <v>46174</v>
      </c>
      <c r="B1936" s="3" t="s">
        <v>276</v>
      </c>
      <c r="C1936" s="0" t="n">
        <v>100</v>
      </c>
      <c r="D1936" s="0" t="n">
        <v>1</v>
      </c>
      <c r="E1936" s="0" t="str">
        <f aca="false">INDEX(lot!$B$2:$B$1201,MATCH(B1936,lot!$A$2:$A$1201,0))</f>
        <v>SUP-A</v>
      </c>
      <c r="F1936" s="3" t="n">
        <f aca="false">YEAR(A1936)*100+MONTH(A1936)</f>
        <v>202606</v>
      </c>
    </row>
    <row r="1937" customFormat="false" ht="15" hidden="false" customHeight="false" outlineLevel="0" collapsed="false">
      <c r="A1937" s="2" t="n">
        <v>46174</v>
      </c>
      <c r="B1937" s="3" t="s">
        <v>276</v>
      </c>
      <c r="C1937" s="0" t="n">
        <v>120</v>
      </c>
      <c r="D1937" s="0" t="n">
        <v>2</v>
      </c>
      <c r="E1937" s="0" t="str">
        <f aca="false">INDEX(lot!$B$2:$B$1201,MATCH(B1937,lot!$A$2:$A$1201,0))</f>
        <v>SUP-A</v>
      </c>
      <c r="F1937" s="3" t="n">
        <f aca="false">YEAR(A1937)*100+MONTH(A1937)</f>
        <v>202606</v>
      </c>
    </row>
    <row r="1938" customFormat="false" ht="15" hidden="false" customHeight="false" outlineLevel="0" collapsed="false">
      <c r="A1938" s="2" t="n">
        <v>46174</v>
      </c>
      <c r="B1938" s="3" t="s">
        <v>442</v>
      </c>
      <c r="C1938" s="0" t="n">
        <v>168</v>
      </c>
      <c r="D1938" s="0" t="n">
        <v>2</v>
      </c>
      <c r="E1938" s="0" t="str">
        <f aca="false">INDEX(lot!$B$2:$B$1201,MATCH(B1938,lot!$A$2:$A$1201,0))</f>
        <v>SUP-E</v>
      </c>
      <c r="F1938" s="3" t="n">
        <f aca="false">YEAR(A1938)*100+MONTH(A1938)</f>
        <v>202606</v>
      </c>
    </row>
    <row r="1939" customFormat="false" ht="15" hidden="false" customHeight="false" outlineLevel="0" collapsed="false">
      <c r="A1939" s="2" t="n">
        <v>46174</v>
      </c>
      <c r="B1939" s="3" t="s">
        <v>555</v>
      </c>
      <c r="C1939" s="0" t="n">
        <v>136</v>
      </c>
      <c r="D1939" s="0" t="n">
        <v>2</v>
      </c>
      <c r="E1939" s="0" t="str">
        <f aca="false">INDEX(lot!$B$2:$B$1201,MATCH(B1939,lot!$A$2:$A$1201,0))</f>
        <v>SUP-D</v>
      </c>
      <c r="F1939" s="3" t="n">
        <f aca="false">YEAR(A1939)*100+MONTH(A1939)</f>
        <v>202606</v>
      </c>
    </row>
    <row r="1940" customFormat="false" ht="15" hidden="false" customHeight="false" outlineLevel="0" collapsed="false">
      <c r="A1940" s="2" t="n">
        <v>46174</v>
      </c>
      <c r="B1940" s="3" t="s">
        <v>555</v>
      </c>
      <c r="C1940" s="0" t="n">
        <v>244</v>
      </c>
      <c r="D1940" s="0" t="n">
        <v>3</v>
      </c>
      <c r="E1940" s="0" t="str">
        <f aca="false">INDEX(lot!$B$2:$B$1201,MATCH(B1940,lot!$A$2:$A$1201,0))</f>
        <v>SUP-D</v>
      </c>
      <c r="F1940" s="3" t="n">
        <f aca="false">YEAR(A1940)*100+MONTH(A1940)</f>
        <v>202606</v>
      </c>
    </row>
    <row r="1941" customFormat="false" ht="15" hidden="false" customHeight="false" outlineLevel="0" collapsed="false">
      <c r="A1941" s="2" t="n">
        <v>46174</v>
      </c>
      <c r="B1941" s="3" t="s">
        <v>697</v>
      </c>
      <c r="C1941" s="0" t="n">
        <v>93</v>
      </c>
      <c r="D1941" s="0" t="n">
        <v>0</v>
      </c>
      <c r="E1941" s="0" t="str">
        <f aca="false">INDEX(lot!$B$2:$B$1201,MATCH(B1941,lot!$A$2:$A$1201,0))</f>
        <v>SUP-E</v>
      </c>
      <c r="F1941" s="3" t="n">
        <f aca="false">YEAR(A1941)*100+MONTH(A1941)</f>
        <v>202606</v>
      </c>
    </row>
    <row r="1942" customFormat="false" ht="15" hidden="false" customHeight="false" outlineLevel="0" collapsed="false">
      <c r="A1942" s="2" t="n">
        <v>46174</v>
      </c>
      <c r="B1942" s="3" t="s">
        <v>749</v>
      </c>
      <c r="C1942" s="0" t="n">
        <v>233</v>
      </c>
      <c r="D1942" s="0" t="n">
        <v>5</v>
      </c>
      <c r="E1942" s="0" t="str">
        <f aca="false">INDEX(lot!$B$2:$B$1201,MATCH(B1942,lot!$A$2:$A$1201,0))</f>
        <v>SUP-C</v>
      </c>
      <c r="F1942" s="3" t="n">
        <f aca="false">YEAR(A1942)*100+MONTH(A1942)</f>
        <v>202606</v>
      </c>
    </row>
    <row r="1943" customFormat="false" ht="15" hidden="false" customHeight="false" outlineLevel="0" collapsed="false">
      <c r="A1943" s="2" t="n">
        <v>46174</v>
      </c>
      <c r="B1943" s="3" t="s">
        <v>749</v>
      </c>
      <c r="C1943" s="0" t="n">
        <v>98</v>
      </c>
      <c r="D1943" s="0" t="n">
        <v>3</v>
      </c>
      <c r="E1943" s="0" t="str">
        <f aca="false">INDEX(lot!$B$2:$B$1201,MATCH(B1943,lot!$A$2:$A$1201,0))</f>
        <v>SUP-C</v>
      </c>
      <c r="F1943" s="3" t="n">
        <f aca="false">YEAR(A1943)*100+MONTH(A1943)</f>
        <v>202606</v>
      </c>
    </row>
    <row r="1944" customFormat="false" ht="15" hidden="false" customHeight="false" outlineLevel="0" collapsed="false">
      <c r="A1944" s="2" t="n">
        <v>46174</v>
      </c>
      <c r="B1944" s="3" t="s">
        <v>755</v>
      </c>
      <c r="C1944" s="0" t="n">
        <v>160</v>
      </c>
      <c r="D1944" s="0" t="n">
        <v>5</v>
      </c>
      <c r="E1944" s="0" t="str">
        <f aca="false">INDEX(lot!$B$2:$B$1201,MATCH(B1944,lot!$A$2:$A$1201,0))</f>
        <v>SUP-C</v>
      </c>
      <c r="F1944" s="3" t="n">
        <f aca="false">YEAR(A1944)*100+MONTH(A1944)</f>
        <v>202606</v>
      </c>
    </row>
    <row r="1945" customFormat="false" ht="15" hidden="false" customHeight="false" outlineLevel="0" collapsed="false">
      <c r="A1945" s="2" t="n">
        <v>46174</v>
      </c>
      <c r="B1945" s="3" t="s">
        <v>755</v>
      </c>
      <c r="C1945" s="0" t="n">
        <v>162</v>
      </c>
      <c r="D1945" s="0" t="n">
        <v>5</v>
      </c>
      <c r="E1945" s="0" t="str">
        <f aca="false">INDEX(lot!$B$2:$B$1201,MATCH(B1945,lot!$A$2:$A$1201,0))</f>
        <v>SUP-C</v>
      </c>
      <c r="F1945" s="3" t="n">
        <f aca="false">YEAR(A1945)*100+MONTH(A1945)</f>
        <v>202606</v>
      </c>
    </row>
    <row r="1946" customFormat="false" ht="15" hidden="false" customHeight="false" outlineLevel="0" collapsed="false">
      <c r="A1946" s="2" t="n">
        <v>46174</v>
      </c>
      <c r="B1946" s="3" t="s">
        <v>841</v>
      </c>
      <c r="C1946" s="0" t="n">
        <v>196</v>
      </c>
      <c r="D1946" s="0" t="n">
        <v>10</v>
      </c>
      <c r="E1946" s="0" t="str">
        <f aca="false">INDEX(lot!$B$2:$B$1201,MATCH(B1946,lot!$A$2:$A$1201,0))</f>
        <v>SUP-B</v>
      </c>
      <c r="F1946" s="3" t="n">
        <f aca="false">YEAR(A1946)*100+MONTH(A1946)</f>
        <v>202606</v>
      </c>
    </row>
    <row r="1947" customFormat="false" ht="15" hidden="false" customHeight="false" outlineLevel="0" collapsed="false">
      <c r="A1947" s="2" t="n">
        <v>46174</v>
      </c>
      <c r="B1947" s="3" t="s">
        <v>877</v>
      </c>
      <c r="C1947" s="0" t="n">
        <v>106</v>
      </c>
      <c r="D1947" s="0" t="n">
        <v>3</v>
      </c>
      <c r="E1947" s="0" t="str">
        <f aca="false">INDEX(lot!$B$2:$B$1201,MATCH(B1947,lot!$A$2:$A$1201,0))</f>
        <v>SUP-C</v>
      </c>
      <c r="F1947" s="3" t="n">
        <f aca="false">YEAR(A1947)*100+MONTH(A1947)</f>
        <v>202606</v>
      </c>
    </row>
    <row r="1948" customFormat="false" ht="15" hidden="false" customHeight="false" outlineLevel="0" collapsed="false">
      <c r="A1948" s="2" t="n">
        <v>46174</v>
      </c>
      <c r="B1948" s="3" t="s">
        <v>877</v>
      </c>
      <c r="C1948" s="0" t="n">
        <v>236</v>
      </c>
      <c r="D1948" s="0" t="n">
        <v>10</v>
      </c>
      <c r="E1948" s="0" t="str">
        <f aca="false">INDEX(lot!$B$2:$B$1201,MATCH(B1948,lot!$A$2:$A$1201,0))</f>
        <v>SUP-C</v>
      </c>
      <c r="F1948" s="3" t="n">
        <f aca="false">YEAR(A1948)*100+MONTH(A1948)</f>
        <v>202606</v>
      </c>
    </row>
    <row r="1949" customFormat="false" ht="15" hidden="false" customHeight="false" outlineLevel="0" collapsed="false">
      <c r="A1949" s="2" t="n">
        <v>46175</v>
      </c>
      <c r="B1949" s="3" t="s">
        <v>111</v>
      </c>
      <c r="C1949" s="0" t="n">
        <v>197</v>
      </c>
      <c r="D1949" s="0" t="n">
        <v>1</v>
      </c>
      <c r="E1949" s="0" t="str">
        <f aca="false">INDEX(lot!$B$2:$B$1201,MATCH(B1949,lot!$A$2:$A$1201,0))</f>
        <v>SUP-D</v>
      </c>
      <c r="F1949" s="3" t="n">
        <f aca="false">YEAR(A1949)*100+MONTH(A1949)</f>
        <v>202606</v>
      </c>
    </row>
    <row r="1950" customFormat="false" ht="15" hidden="false" customHeight="false" outlineLevel="0" collapsed="false">
      <c r="A1950" s="2" t="n">
        <v>46175</v>
      </c>
      <c r="B1950" s="3" t="s">
        <v>122</v>
      </c>
      <c r="C1950" s="0" t="n">
        <v>103</v>
      </c>
      <c r="D1950" s="0" t="n">
        <v>3</v>
      </c>
      <c r="E1950" s="0" t="str">
        <f aca="false">INDEX(lot!$B$2:$B$1201,MATCH(B1950,lot!$A$2:$A$1201,0))</f>
        <v>SUP-E</v>
      </c>
      <c r="F1950" s="3" t="n">
        <f aca="false">YEAR(A1950)*100+MONTH(A1950)</f>
        <v>202606</v>
      </c>
    </row>
    <row r="1951" customFormat="false" ht="15" hidden="false" customHeight="false" outlineLevel="0" collapsed="false">
      <c r="A1951" s="2" t="n">
        <v>46175</v>
      </c>
      <c r="B1951" s="3" t="s">
        <v>122</v>
      </c>
      <c r="C1951" s="0" t="n">
        <v>136</v>
      </c>
      <c r="D1951" s="0" t="n">
        <v>1</v>
      </c>
      <c r="E1951" s="0" t="str">
        <f aca="false">INDEX(lot!$B$2:$B$1201,MATCH(B1951,lot!$A$2:$A$1201,0))</f>
        <v>SUP-E</v>
      </c>
      <c r="F1951" s="3" t="n">
        <f aca="false">YEAR(A1951)*100+MONTH(A1951)</f>
        <v>202606</v>
      </c>
    </row>
    <row r="1952" customFormat="false" ht="15" hidden="false" customHeight="false" outlineLevel="0" collapsed="false">
      <c r="A1952" s="2" t="n">
        <v>46175</v>
      </c>
      <c r="B1952" s="3" t="s">
        <v>163</v>
      </c>
      <c r="C1952" s="0" t="n">
        <v>65</v>
      </c>
      <c r="D1952" s="0" t="n">
        <v>3</v>
      </c>
      <c r="E1952" s="0" t="str">
        <f aca="false">INDEX(lot!$B$2:$B$1201,MATCH(B1952,lot!$A$2:$A$1201,0))</f>
        <v>SUP-C</v>
      </c>
      <c r="F1952" s="3" t="n">
        <f aca="false">YEAR(A1952)*100+MONTH(A1952)</f>
        <v>202606</v>
      </c>
    </row>
    <row r="1953" customFormat="false" ht="15" hidden="false" customHeight="false" outlineLevel="0" collapsed="false">
      <c r="A1953" s="2" t="n">
        <v>46175</v>
      </c>
      <c r="B1953" s="3" t="s">
        <v>236</v>
      </c>
      <c r="C1953" s="0" t="n">
        <v>131</v>
      </c>
      <c r="D1953" s="0" t="n">
        <v>0</v>
      </c>
      <c r="E1953" s="0" t="str">
        <f aca="false">INDEX(lot!$B$2:$B$1201,MATCH(B1953,lot!$A$2:$A$1201,0))</f>
        <v>SUP-D</v>
      </c>
      <c r="F1953" s="3" t="n">
        <f aca="false">YEAR(A1953)*100+MONTH(A1953)</f>
        <v>202606</v>
      </c>
    </row>
    <row r="1954" customFormat="false" ht="15" hidden="false" customHeight="false" outlineLevel="0" collapsed="false">
      <c r="A1954" s="2" t="n">
        <v>46175</v>
      </c>
      <c r="B1954" s="3" t="s">
        <v>442</v>
      </c>
      <c r="C1954" s="0" t="n">
        <v>210</v>
      </c>
      <c r="D1954" s="0" t="n">
        <v>2</v>
      </c>
      <c r="E1954" s="0" t="str">
        <f aca="false">INDEX(lot!$B$2:$B$1201,MATCH(B1954,lot!$A$2:$A$1201,0))</f>
        <v>SUP-E</v>
      </c>
      <c r="F1954" s="3" t="n">
        <f aca="false">YEAR(A1954)*100+MONTH(A1954)</f>
        <v>202606</v>
      </c>
    </row>
    <row r="1955" customFormat="false" ht="15" hidden="false" customHeight="false" outlineLevel="0" collapsed="false">
      <c r="A1955" s="2" t="n">
        <v>46175</v>
      </c>
      <c r="B1955" s="3" t="s">
        <v>494</v>
      </c>
      <c r="C1955" s="0" t="n">
        <v>154</v>
      </c>
      <c r="D1955" s="0" t="n">
        <v>0</v>
      </c>
      <c r="E1955" s="0" t="str">
        <f aca="false">INDEX(lot!$B$2:$B$1201,MATCH(B1955,lot!$A$2:$A$1201,0))</f>
        <v>SUP-E</v>
      </c>
      <c r="F1955" s="3" t="n">
        <f aca="false">YEAR(A1955)*100+MONTH(A1955)</f>
        <v>202606</v>
      </c>
    </row>
    <row r="1956" customFormat="false" ht="15" hidden="false" customHeight="false" outlineLevel="0" collapsed="false">
      <c r="A1956" s="2" t="n">
        <v>46175</v>
      </c>
      <c r="B1956" s="3" t="s">
        <v>494</v>
      </c>
      <c r="C1956" s="0" t="n">
        <v>202</v>
      </c>
      <c r="D1956" s="0" t="n">
        <v>4</v>
      </c>
      <c r="E1956" s="0" t="str">
        <f aca="false">INDEX(lot!$B$2:$B$1201,MATCH(B1956,lot!$A$2:$A$1201,0))</f>
        <v>SUP-E</v>
      </c>
      <c r="F1956" s="3" t="n">
        <f aca="false">YEAR(A1956)*100+MONTH(A1956)</f>
        <v>202606</v>
      </c>
    </row>
    <row r="1957" customFormat="false" ht="15" hidden="false" customHeight="false" outlineLevel="0" collapsed="false">
      <c r="A1957" s="2" t="n">
        <v>46175</v>
      </c>
      <c r="B1957" s="3" t="s">
        <v>564</v>
      </c>
      <c r="C1957" s="0" t="n">
        <v>86</v>
      </c>
      <c r="D1957" s="0" t="n">
        <v>0</v>
      </c>
      <c r="E1957" s="0" t="str">
        <f aca="false">INDEX(lot!$B$2:$B$1201,MATCH(B1957,lot!$A$2:$A$1201,0))</f>
        <v>SUP-D</v>
      </c>
      <c r="F1957" s="3" t="n">
        <f aca="false">YEAR(A1957)*100+MONTH(A1957)</f>
        <v>202606</v>
      </c>
    </row>
    <row r="1958" customFormat="false" ht="15" hidden="false" customHeight="false" outlineLevel="0" collapsed="false">
      <c r="A1958" s="2" t="n">
        <v>46175</v>
      </c>
      <c r="B1958" s="3" t="s">
        <v>564</v>
      </c>
      <c r="C1958" s="0" t="n">
        <v>197</v>
      </c>
      <c r="D1958" s="0" t="n">
        <v>2</v>
      </c>
      <c r="E1958" s="0" t="str">
        <f aca="false">INDEX(lot!$B$2:$B$1201,MATCH(B1958,lot!$A$2:$A$1201,0))</f>
        <v>SUP-D</v>
      </c>
      <c r="F1958" s="3" t="n">
        <f aca="false">YEAR(A1958)*100+MONTH(A1958)</f>
        <v>202606</v>
      </c>
    </row>
    <row r="1959" customFormat="false" ht="15" hidden="false" customHeight="false" outlineLevel="0" collapsed="false">
      <c r="A1959" s="2" t="n">
        <v>46175</v>
      </c>
      <c r="B1959" s="3" t="s">
        <v>697</v>
      </c>
      <c r="C1959" s="0" t="n">
        <v>208</v>
      </c>
      <c r="D1959" s="0" t="n">
        <v>1</v>
      </c>
      <c r="E1959" s="0" t="str">
        <f aca="false">INDEX(lot!$B$2:$B$1201,MATCH(B1959,lot!$A$2:$A$1201,0))</f>
        <v>SUP-E</v>
      </c>
      <c r="F1959" s="3" t="n">
        <f aca="false">YEAR(A1959)*100+MONTH(A1959)</f>
        <v>202606</v>
      </c>
    </row>
    <row r="1960" customFormat="false" ht="15" hidden="false" customHeight="false" outlineLevel="0" collapsed="false">
      <c r="A1960" s="2" t="n">
        <v>46175</v>
      </c>
      <c r="B1960" s="3" t="s">
        <v>697</v>
      </c>
      <c r="C1960" s="0" t="n">
        <v>215</v>
      </c>
      <c r="D1960" s="0" t="n">
        <v>3</v>
      </c>
      <c r="E1960" s="0" t="str">
        <f aca="false">INDEX(lot!$B$2:$B$1201,MATCH(B1960,lot!$A$2:$A$1201,0))</f>
        <v>SUP-E</v>
      </c>
      <c r="F1960" s="3" t="n">
        <f aca="false">YEAR(A1960)*100+MONTH(A1960)</f>
        <v>202606</v>
      </c>
    </row>
    <row r="1961" customFormat="false" ht="15" hidden="false" customHeight="false" outlineLevel="0" collapsed="false">
      <c r="A1961" s="2" t="n">
        <v>46175</v>
      </c>
      <c r="B1961" s="3" t="s">
        <v>749</v>
      </c>
      <c r="C1961" s="0" t="n">
        <v>75</v>
      </c>
      <c r="D1961" s="0" t="n">
        <v>2</v>
      </c>
      <c r="E1961" s="0" t="str">
        <f aca="false">INDEX(lot!$B$2:$B$1201,MATCH(B1961,lot!$A$2:$A$1201,0))</f>
        <v>SUP-C</v>
      </c>
      <c r="F1961" s="3" t="n">
        <f aca="false">YEAR(A1961)*100+MONTH(A1961)</f>
        <v>202606</v>
      </c>
    </row>
    <row r="1962" customFormat="false" ht="15" hidden="false" customHeight="false" outlineLevel="0" collapsed="false">
      <c r="A1962" s="2" t="n">
        <v>46175</v>
      </c>
      <c r="B1962" s="3" t="s">
        <v>749</v>
      </c>
      <c r="C1962" s="0" t="n">
        <v>232</v>
      </c>
      <c r="D1962" s="0" t="n">
        <v>5</v>
      </c>
      <c r="E1962" s="0" t="str">
        <f aca="false">INDEX(lot!$B$2:$B$1201,MATCH(B1962,lot!$A$2:$A$1201,0))</f>
        <v>SUP-C</v>
      </c>
      <c r="F1962" s="3" t="n">
        <f aca="false">YEAR(A1962)*100+MONTH(A1962)</f>
        <v>202606</v>
      </c>
    </row>
    <row r="1963" customFormat="false" ht="15" hidden="false" customHeight="false" outlineLevel="0" collapsed="false">
      <c r="A1963" s="2" t="n">
        <v>46175</v>
      </c>
      <c r="B1963" s="3" t="s">
        <v>752</v>
      </c>
      <c r="C1963" s="0" t="n">
        <v>177</v>
      </c>
      <c r="D1963" s="0" t="n">
        <v>6</v>
      </c>
      <c r="E1963" s="0" t="str">
        <f aca="false">INDEX(lot!$B$2:$B$1201,MATCH(B1963,lot!$A$2:$A$1201,0))</f>
        <v>SUP-C</v>
      </c>
      <c r="F1963" s="3" t="n">
        <f aca="false">YEAR(A1963)*100+MONTH(A1963)</f>
        <v>202606</v>
      </c>
    </row>
    <row r="1964" customFormat="false" ht="15" hidden="false" customHeight="false" outlineLevel="0" collapsed="false">
      <c r="A1964" s="2" t="n">
        <v>46175</v>
      </c>
      <c r="B1964" s="3" t="s">
        <v>823</v>
      </c>
      <c r="C1964" s="0" t="n">
        <v>138</v>
      </c>
      <c r="D1964" s="0" t="n">
        <v>1</v>
      </c>
      <c r="E1964" s="0" t="str">
        <f aca="false">INDEX(lot!$B$2:$B$1201,MATCH(B1964,lot!$A$2:$A$1201,0))</f>
        <v>SUP-E</v>
      </c>
      <c r="F1964" s="3" t="n">
        <f aca="false">YEAR(A1964)*100+MONTH(A1964)</f>
        <v>202606</v>
      </c>
    </row>
    <row r="1965" customFormat="false" ht="15" hidden="false" customHeight="false" outlineLevel="0" collapsed="false">
      <c r="A1965" s="2" t="n">
        <v>46175</v>
      </c>
      <c r="B1965" s="3" t="s">
        <v>841</v>
      </c>
      <c r="C1965" s="0" t="n">
        <v>210</v>
      </c>
      <c r="D1965" s="0" t="n">
        <v>7</v>
      </c>
      <c r="E1965" s="0" t="str">
        <f aca="false">INDEX(lot!$B$2:$B$1201,MATCH(B1965,lot!$A$2:$A$1201,0))</f>
        <v>SUP-B</v>
      </c>
      <c r="F1965" s="3" t="n">
        <f aca="false">YEAR(A1965)*100+MONTH(A1965)</f>
        <v>202606</v>
      </c>
    </row>
    <row r="1966" customFormat="false" ht="15" hidden="false" customHeight="false" outlineLevel="0" collapsed="false">
      <c r="A1966" s="2" t="n">
        <v>46175</v>
      </c>
      <c r="B1966" s="3" t="s">
        <v>841</v>
      </c>
      <c r="C1966" s="0" t="n">
        <v>134</v>
      </c>
      <c r="D1966" s="0" t="n">
        <v>9</v>
      </c>
      <c r="E1966" s="0" t="str">
        <f aca="false">INDEX(lot!$B$2:$B$1201,MATCH(B1966,lot!$A$2:$A$1201,0))</f>
        <v>SUP-B</v>
      </c>
      <c r="F1966" s="3" t="n">
        <f aca="false">YEAR(A1966)*100+MONTH(A1966)</f>
        <v>202606</v>
      </c>
    </row>
    <row r="1967" customFormat="false" ht="15" hidden="false" customHeight="false" outlineLevel="0" collapsed="false">
      <c r="A1967" s="2" t="n">
        <v>46175</v>
      </c>
      <c r="B1967" s="3" t="s">
        <v>842</v>
      </c>
      <c r="C1967" s="0" t="n">
        <v>107</v>
      </c>
      <c r="D1967" s="0" t="n">
        <v>8</v>
      </c>
      <c r="E1967" s="0" t="str">
        <f aca="false">INDEX(lot!$B$2:$B$1201,MATCH(B1967,lot!$A$2:$A$1201,0))</f>
        <v>SUP-E</v>
      </c>
      <c r="F1967" s="3" t="n">
        <f aca="false">YEAR(A1967)*100+MONTH(A1967)</f>
        <v>202606</v>
      </c>
    </row>
    <row r="1968" customFormat="false" ht="15" hidden="false" customHeight="false" outlineLevel="0" collapsed="false">
      <c r="A1968" s="2" t="n">
        <v>46175</v>
      </c>
      <c r="B1968" s="3" t="s">
        <v>877</v>
      </c>
      <c r="C1968" s="0" t="n">
        <v>165</v>
      </c>
      <c r="D1968" s="0" t="n">
        <v>3</v>
      </c>
      <c r="E1968" s="0" t="str">
        <f aca="false">INDEX(lot!$B$2:$B$1201,MATCH(B1968,lot!$A$2:$A$1201,0))</f>
        <v>SUP-C</v>
      </c>
      <c r="F1968" s="3" t="n">
        <f aca="false">YEAR(A1968)*100+MONTH(A1968)</f>
        <v>202606</v>
      </c>
    </row>
    <row r="1969" customFormat="false" ht="15" hidden="false" customHeight="false" outlineLevel="0" collapsed="false">
      <c r="A1969" s="2" t="n">
        <v>46175</v>
      </c>
      <c r="B1969" s="3" t="s">
        <v>986</v>
      </c>
      <c r="C1969" s="0" t="n">
        <v>117</v>
      </c>
      <c r="D1969" s="0" t="n">
        <v>1</v>
      </c>
      <c r="E1969" s="0" t="str">
        <f aca="false">INDEX(lot!$B$2:$B$1201,MATCH(B1969,lot!$A$2:$A$1201,0))</f>
        <v>SUP-E</v>
      </c>
      <c r="F1969" s="3" t="n">
        <f aca="false">YEAR(A1969)*100+MONTH(A1969)</f>
        <v>202606</v>
      </c>
    </row>
    <row r="1970" customFormat="false" ht="15" hidden="false" customHeight="false" outlineLevel="0" collapsed="false">
      <c r="A1970" s="2" t="n">
        <v>46176</v>
      </c>
      <c r="B1970" s="3" t="s">
        <v>88</v>
      </c>
      <c r="C1970" s="0" t="n">
        <v>94</v>
      </c>
      <c r="D1970" s="0" t="n">
        <v>2</v>
      </c>
      <c r="E1970" s="0" t="str">
        <f aca="false">INDEX(lot!$B$2:$B$1201,MATCH(B1970,lot!$A$2:$A$1201,0))</f>
        <v>SUP-D</v>
      </c>
      <c r="F1970" s="3" t="n">
        <f aca="false">YEAR(A1970)*100+MONTH(A1970)</f>
        <v>202606</v>
      </c>
    </row>
    <row r="1971" customFormat="false" ht="15" hidden="false" customHeight="false" outlineLevel="0" collapsed="false">
      <c r="A1971" s="2" t="n">
        <v>46176</v>
      </c>
      <c r="B1971" s="3" t="s">
        <v>111</v>
      </c>
      <c r="C1971" s="0" t="n">
        <v>177</v>
      </c>
      <c r="D1971" s="0" t="n">
        <v>1</v>
      </c>
      <c r="E1971" s="0" t="str">
        <f aca="false">INDEX(lot!$B$2:$B$1201,MATCH(B1971,lot!$A$2:$A$1201,0))</f>
        <v>SUP-D</v>
      </c>
      <c r="F1971" s="3" t="n">
        <f aca="false">YEAR(A1971)*100+MONTH(A1971)</f>
        <v>202606</v>
      </c>
    </row>
    <row r="1972" customFormat="false" ht="15" hidden="false" customHeight="false" outlineLevel="0" collapsed="false">
      <c r="A1972" s="2" t="n">
        <v>46176</v>
      </c>
      <c r="B1972" s="3" t="s">
        <v>163</v>
      </c>
      <c r="C1972" s="0" t="n">
        <v>96</v>
      </c>
      <c r="D1972" s="0" t="n">
        <v>2</v>
      </c>
      <c r="E1972" s="0" t="str">
        <f aca="false">INDEX(lot!$B$2:$B$1201,MATCH(B1972,lot!$A$2:$A$1201,0))</f>
        <v>SUP-C</v>
      </c>
      <c r="F1972" s="3" t="n">
        <f aca="false">YEAR(A1972)*100+MONTH(A1972)</f>
        <v>202606</v>
      </c>
    </row>
    <row r="1973" customFormat="false" ht="15" hidden="false" customHeight="false" outlineLevel="0" collapsed="false">
      <c r="A1973" s="2" t="n">
        <v>46176</v>
      </c>
      <c r="B1973" s="3" t="s">
        <v>226</v>
      </c>
      <c r="C1973" s="0" t="n">
        <v>227</v>
      </c>
      <c r="D1973" s="0" t="n">
        <v>0</v>
      </c>
      <c r="E1973" s="0" t="str">
        <f aca="false">INDEX(lot!$B$2:$B$1201,MATCH(B1973,lot!$A$2:$A$1201,0))</f>
        <v>SUP-E</v>
      </c>
      <c r="F1973" s="3" t="n">
        <f aca="false">YEAR(A1973)*100+MONTH(A1973)</f>
        <v>202606</v>
      </c>
    </row>
    <row r="1974" customFormat="false" ht="15" hidden="false" customHeight="false" outlineLevel="0" collapsed="false">
      <c r="A1974" s="2" t="n">
        <v>46176</v>
      </c>
      <c r="B1974" s="3" t="s">
        <v>226</v>
      </c>
      <c r="C1974" s="0" t="n">
        <v>226</v>
      </c>
      <c r="D1974" s="0" t="n">
        <v>2</v>
      </c>
      <c r="E1974" s="0" t="str">
        <f aca="false">INDEX(lot!$B$2:$B$1201,MATCH(B1974,lot!$A$2:$A$1201,0))</f>
        <v>SUP-E</v>
      </c>
      <c r="F1974" s="3" t="n">
        <f aca="false">YEAR(A1974)*100+MONTH(A1974)</f>
        <v>202606</v>
      </c>
    </row>
    <row r="1975" customFormat="false" ht="15" hidden="false" customHeight="false" outlineLevel="0" collapsed="false">
      <c r="A1975" s="2" t="n">
        <v>46176</v>
      </c>
      <c r="B1975" s="3" t="s">
        <v>236</v>
      </c>
      <c r="C1975" s="0" t="n">
        <v>211</v>
      </c>
      <c r="D1975" s="0" t="n">
        <v>1</v>
      </c>
      <c r="E1975" s="0" t="str">
        <f aca="false">INDEX(lot!$B$2:$B$1201,MATCH(B1975,lot!$A$2:$A$1201,0))</f>
        <v>SUP-D</v>
      </c>
      <c r="F1975" s="3" t="n">
        <f aca="false">YEAR(A1975)*100+MONTH(A1975)</f>
        <v>202606</v>
      </c>
    </row>
    <row r="1976" customFormat="false" ht="15" hidden="false" customHeight="false" outlineLevel="0" collapsed="false">
      <c r="A1976" s="2" t="n">
        <v>46176</v>
      </c>
      <c r="B1976" s="3" t="s">
        <v>236</v>
      </c>
      <c r="C1976" s="0" t="n">
        <v>91</v>
      </c>
      <c r="D1976" s="0" t="n">
        <v>2</v>
      </c>
      <c r="E1976" s="0" t="str">
        <f aca="false">INDEX(lot!$B$2:$B$1201,MATCH(B1976,lot!$A$2:$A$1201,0))</f>
        <v>SUP-D</v>
      </c>
      <c r="F1976" s="3" t="n">
        <f aca="false">YEAR(A1976)*100+MONTH(A1976)</f>
        <v>202606</v>
      </c>
    </row>
    <row r="1977" customFormat="false" ht="15" hidden="false" customHeight="false" outlineLevel="0" collapsed="false">
      <c r="A1977" s="2" t="n">
        <v>46176</v>
      </c>
      <c r="B1977" s="3" t="s">
        <v>267</v>
      </c>
      <c r="C1977" s="0" t="n">
        <v>246</v>
      </c>
      <c r="D1977" s="0" t="n">
        <v>2</v>
      </c>
      <c r="E1977" s="0" t="str">
        <f aca="false">INDEX(lot!$B$2:$B$1201,MATCH(B1977,lot!$A$2:$A$1201,0))</f>
        <v>SUP-A</v>
      </c>
      <c r="F1977" s="3" t="n">
        <f aca="false">YEAR(A1977)*100+MONTH(A1977)</f>
        <v>202606</v>
      </c>
    </row>
    <row r="1978" customFormat="false" ht="15" hidden="false" customHeight="false" outlineLevel="0" collapsed="false">
      <c r="A1978" s="2" t="n">
        <v>46176</v>
      </c>
      <c r="B1978" s="3" t="s">
        <v>267</v>
      </c>
      <c r="C1978" s="0" t="n">
        <v>90</v>
      </c>
      <c r="D1978" s="0" t="n">
        <v>0</v>
      </c>
      <c r="E1978" s="0" t="str">
        <f aca="false">INDEX(lot!$B$2:$B$1201,MATCH(B1978,lot!$A$2:$A$1201,0))</f>
        <v>SUP-A</v>
      </c>
      <c r="F1978" s="3" t="n">
        <f aca="false">YEAR(A1978)*100+MONTH(A1978)</f>
        <v>202606</v>
      </c>
    </row>
    <row r="1979" customFormat="false" ht="15" hidden="false" customHeight="false" outlineLevel="0" collapsed="false">
      <c r="A1979" s="2" t="n">
        <v>46176</v>
      </c>
      <c r="B1979" s="3" t="s">
        <v>271</v>
      </c>
      <c r="C1979" s="0" t="n">
        <v>228</v>
      </c>
      <c r="D1979" s="0" t="n">
        <v>3</v>
      </c>
      <c r="E1979" s="0" t="str">
        <f aca="false">INDEX(lot!$B$2:$B$1201,MATCH(B1979,lot!$A$2:$A$1201,0))</f>
        <v>SUP-A</v>
      </c>
      <c r="F1979" s="3" t="n">
        <f aca="false">YEAR(A1979)*100+MONTH(A1979)</f>
        <v>202606</v>
      </c>
    </row>
    <row r="1980" customFormat="false" ht="15" hidden="false" customHeight="false" outlineLevel="0" collapsed="false">
      <c r="A1980" s="2" t="n">
        <v>46176</v>
      </c>
      <c r="B1980" s="3" t="s">
        <v>446</v>
      </c>
      <c r="C1980" s="0" t="n">
        <v>181</v>
      </c>
      <c r="D1980" s="0" t="n">
        <v>2</v>
      </c>
      <c r="E1980" s="0" t="str">
        <f aca="false">INDEX(lot!$B$2:$B$1201,MATCH(B1980,lot!$A$2:$A$1201,0))</f>
        <v>SUP-C</v>
      </c>
      <c r="F1980" s="3" t="n">
        <f aca="false">YEAR(A1980)*100+MONTH(A1980)</f>
        <v>202606</v>
      </c>
    </row>
    <row r="1981" customFormat="false" ht="15" hidden="false" customHeight="false" outlineLevel="0" collapsed="false">
      <c r="A1981" s="2" t="n">
        <v>46176</v>
      </c>
      <c r="B1981" s="3" t="s">
        <v>446</v>
      </c>
      <c r="C1981" s="0" t="n">
        <v>205</v>
      </c>
      <c r="D1981" s="0" t="n">
        <v>5</v>
      </c>
      <c r="E1981" s="0" t="str">
        <f aca="false">INDEX(lot!$B$2:$B$1201,MATCH(B1981,lot!$A$2:$A$1201,0))</f>
        <v>SUP-C</v>
      </c>
      <c r="F1981" s="3" t="n">
        <f aca="false">YEAR(A1981)*100+MONTH(A1981)</f>
        <v>202606</v>
      </c>
    </row>
    <row r="1982" customFormat="false" ht="15" hidden="false" customHeight="false" outlineLevel="0" collapsed="false">
      <c r="A1982" s="2" t="n">
        <v>46176</v>
      </c>
      <c r="B1982" s="3" t="s">
        <v>494</v>
      </c>
      <c r="C1982" s="0" t="n">
        <v>73</v>
      </c>
      <c r="D1982" s="0" t="n">
        <v>1</v>
      </c>
      <c r="E1982" s="0" t="str">
        <f aca="false">INDEX(lot!$B$2:$B$1201,MATCH(B1982,lot!$A$2:$A$1201,0))</f>
        <v>SUP-E</v>
      </c>
      <c r="F1982" s="3" t="n">
        <f aca="false">YEAR(A1982)*100+MONTH(A1982)</f>
        <v>202606</v>
      </c>
    </row>
    <row r="1983" customFormat="false" ht="15" hidden="false" customHeight="false" outlineLevel="0" collapsed="false">
      <c r="A1983" s="2" t="n">
        <v>46176</v>
      </c>
      <c r="B1983" s="3" t="s">
        <v>494</v>
      </c>
      <c r="C1983" s="0" t="n">
        <v>174</v>
      </c>
      <c r="D1983" s="0" t="n">
        <v>0</v>
      </c>
      <c r="E1983" s="0" t="str">
        <f aca="false">INDEX(lot!$B$2:$B$1201,MATCH(B1983,lot!$A$2:$A$1201,0))</f>
        <v>SUP-E</v>
      </c>
      <c r="F1983" s="3" t="n">
        <f aca="false">YEAR(A1983)*100+MONTH(A1983)</f>
        <v>202606</v>
      </c>
    </row>
    <row r="1984" customFormat="false" ht="15" hidden="false" customHeight="false" outlineLevel="0" collapsed="false">
      <c r="A1984" s="2" t="n">
        <v>46176</v>
      </c>
      <c r="B1984" s="3" t="s">
        <v>546</v>
      </c>
      <c r="C1984" s="0" t="n">
        <v>79</v>
      </c>
      <c r="D1984" s="0" t="n">
        <v>0</v>
      </c>
      <c r="E1984" s="0" t="str">
        <f aca="false">INDEX(lot!$B$2:$B$1201,MATCH(B1984,lot!$A$2:$A$1201,0))</f>
        <v>SUP-A</v>
      </c>
      <c r="F1984" s="3" t="n">
        <f aca="false">YEAR(A1984)*100+MONTH(A1984)</f>
        <v>202606</v>
      </c>
    </row>
    <row r="1985" customFormat="false" ht="15" hidden="false" customHeight="false" outlineLevel="0" collapsed="false">
      <c r="A1985" s="2" t="n">
        <v>46176</v>
      </c>
      <c r="B1985" s="3" t="s">
        <v>582</v>
      </c>
      <c r="C1985" s="0" t="n">
        <v>242</v>
      </c>
      <c r="D1985" s="0" t="n">
        <v>0</v>
      </c>
      <c r="E1985" s="0" t="str">
        <f aca="false">INDEX(lot!$B$2:$B$1201,MATCH(B1985,lot!$A$2:$A$1201,0))</f>
        <v>SUP-E</v>
      </c>
      <c r="F1985" s="3" t="n">
        <f aca="false">YEAR(A1985)*100+MONTH(A1985)</f>
        <v>202606</v>
      </c>
    </row>
    <row r="1986" customFormat="false" ht="15" hidden="false" customHeight="false" outlineLevel="0" collapsed="false">
      <c r="A1986" s="2" t="n">
        <v>46176</v>
      </c>
      <c r="B1986" s="3" t="s">
        <v>752</v>
      </c>
      <c r="C1986" s="0" t="n">
        <v>142</v>
      </c>
      <c r="D1986" s="0" t="n">
        <v>3</v>
      </c>
      <c r="E1986" s="0" t="str">
        <f aca="false">INDEX(lot!$B$2:$B$1201,MATCH(B1986,lot!$A$2:$A$1201,0))</f>
        <v>SUP-C</v>
      </c>
      <c r="F1986" s="3" t="n">
        <f aca="false">YEAR(A1986)*100+MONTH(A1986)</f>
        <v>202606</v>
      </c>
    </row>
    <row r="1987" customFormat="false" ht="15" hidden="false" customHeight="false" outlineLevel="0" collapsed="false">
      <c r="A1987" s="2" t="n">
        <v>46176</v>
      </c>
      <c r="B1987" s="3" t="s">
        <v>752</v>
      </c>
      <c r="C1987" s="0" t="n">
        <v>247</v>
      </c>
      <c r="D1987" s="0" t="n">
        <v>8</v>
      </c>
      <c r="E1987" s="0" t="str">
        <f aca="false">INDEX(lot!$B$2:$B$1201,MATCH(B1987,lot!$A$2:$A$1201,0))</f>
        <v>SUP-C</v>
      </c>
      <c r="F1987" s="3" t="n">
        <f aca="false">YEAR(A1987)*100+MONTH(A1987)</f>
        <v>202606</v>
      </c>
    </row>
    <row r="1988" customFormat="false" ht="15" hidden="false" customHeight="false" outlineLevel="0" collapsed="false">
      <c r="A1988" s="2" t="n">
        <v>46176</v>
      </c>
      <c r="B1988" s="3" t="s">
        <v>756</v>
      </c>
      <c r="C1988" s="0" t="n">
        <v>107</v>
      </c>
      <c r="D1988" s="0" t="n">
        <v>20</v>
      </c>
      <c r="E1988" s="0" t="str">
        <f aca="false">INDEX(lot!$B$2:$B$1201,MATCH(B1988,lot!$A$2:$A$1201,0))</f>
        <v>SUP-C</v>
      </c>
      <c r="F1988" s="3" t="n">
        <f aca="false">YEAR(A1988)*100+MONTH(A1988)</f>
        <v>202606</v>
      </c>
    </row>
    <row r="1989" customFormat="false" ht="15" hidden="false" customHeight="false" outlineLevel="0" collapsed="false">
      <c r="A1989" s="2" t="n">
        <v>46176</v>
      </c>
      <c r="B1989" s="3" t="s">
        <v>756</v>
      </c>
      <c r="C1989" s="0" t="n">
        <v>114</v>
      </c>
      <c r="D1989" s="0" t="n">
        <v>20</v>
      </c>
      <c r="E1989" s="0" t="str">
        <f aca="false">INDEX(lot!$B$2:$B$1201,MATCH(B1989,lot!$A$2:$A$1201,0))</f>
        <v>SUP-C</v>
      </c>
      <c r="F1989" s="3" t="n">
        <f aca="false">YEAR(A1989)*100+MONTH(A1989)</f>
        <v>202606</v>
      </c>
    </row>
    <row r="1990" customFormat="false" ht="15" hidden="false" customHeight="false" outlineLevel="0" collapsed="false">
      <c r="A1990" s="2" t="n">
        <v>46176</v>
      </c>
      <c r="B1990" s="3" t="s">
        <v>803</v>
      </c>
      <c r="C1990" s="0" t="n">
        <v>161</v>
      </c>
      <c r="D1990" s="0" t="n">
        <v>14</v>
      </c>
      <c r="E1990" s="0" t="str">
        <f aca="false">INDEX(lot!$B$2:$B$1201,MATCH(B1990,lot!$A$2:$A$1201,0))</f>
        <v>SUP-D</v>
      </c>
      <c r="F1990" s="3" t="n">
        <f aca="false">YEAR(A1990)*100+MONTH(A1990)</f>
        <v>202606</v>
      </c>
    </row>
    <row r="1991" customFormat="false" ht="15" hidden="false" customHeight="false" outlineLevel="0" collapsed="false">
      <c r="A1991" s="2" t="n">
        <v>46176</v>
      </c>
      <c r="B1991" s="3" t="s">
        <v>841</v>
      </c>
      <c r="C1991" s="0" t="n">
        <v>109</v>
      </c>
      <c r="D1991" s="0" t="n">
        <v>10</v>
      </c>
      <c r="E1991" s="0" t="str">
        <f aca="false">INDEX(lot!$B$2:$B$1201,MATCH(B1991,lot!$A$2:$A$1201,0))</f>
        <v>SUP-B</v>
      </c>
      <c r="F1991" s="3" t="n">
        <f aca="false">YEAR(A1991)*100+MONTH(A1991)</f>
        <v>202606</v>
      </c>
    </row>
    <row r="1992" customFormat="false" ht="15" hidden="false" customHeight="false" outlineLevel="0" collapsed="false">
      <c r="A1992" s="2" t="n">
        <v>46176</v>
      </c>
      <c r="B1992" s="3" t="s">
        <v>842</v>
      </c>
      <c r="C1992" s="0" t="n">
        <v>132</v>
      </c>
      <c r="D1992" s="0" t="n">
        <v>4</v>
      </c>
      <c r="E1992" s="0" t="str">
        <f aca="false">INDEX(lot!$B$2:$B$1201,MATCH(B1992,lot!$A$2:$A$1201,0))</f>
        <v>SUP-E</v>
      </c>
      <c r="F1992" s="3" t="n">
        <f aca="false">YEAR(A1992)*100+MONTH(A1992)</f>
        <v>202606</v>
      </c>
    </row>
    <row r="1993" customFormat="false" ht="15" hidden="false" customHeight="false" outlineLevel="0" collapsed="false">
      <c r="A1993" s="2" t="n">
        <v>46176</v>
      </c>
      <c r="B1993" s="3" t="s">
        <v>842</v>
      </c>
      <c r="C1993" s="0" t="n">
        <v>79</v>
      </c>
      <c r="D1993" s="0" t="n">
        <v>2</v>
      </c>
      <c r="E1993" s="0" t="str">
        <f aca="false">INDEX(lot!$B$2:$B$1201,MATCH(B1993,lot!$A$2:$A$1201,0))</f>
        <v>SUP-E</v>
      </c>
      <c r="F1993" s="3" t="n">
        <f aca="false">YEAR(A1993)*100+MONTH(A1993)</f>
        <v>202606</v>
      </c>
    </row>
    <row r="1994" customFormat="false" ht="15" hidden="false" customHeight="false" outlineLevel="0" collapsed="false">
      <c r="A1994" s="2" t="n">
        <v>46176</v>
      </c>
      <c r="B1994" s="3" t="s">
        <v>860</v>
      </c>
      <c r="C1994" s="0" t="n">
        <v>170</v>
      </c>
      <c r="D1994" s="0" t="n">
        <v>0</v>
      </c>
      <c r="E1994" s="0" t="str">
        <f aca="false">INDEX(lot!$B$2:$B$1201,MATCH(B1994,lot!$A$2:$A$1201,0))</f>
        <v>SUP-E</v>
      </c>
      <c r="F1994" s="3" t="n">
        <f aca="false">YEAR(A1994)*100+MONTH(A1994)</f>
        <v>202606</v>
      </c>
    </row>
    <row r="1995" customFormat="false" ht="15" hidden="false" customHeight="false" outlineLevel="0" collapsed="false">
      <c r="A1995" s="2" t="n">
        <v>46176</v>
      </c>
      <c r="B1995" s="3" t="s">
        <v>986</v>
      </c>
      <c r="C1995" s="0" t="n">
        <v>190</v>
      </c>
      <c r="D1995" s="0" t="n">
        <v>1</v>
      </c>
      <c r="E1995" s="0" t="str">
        <f aca="false">INDEX(lot!$B$2:$B$1201,MATCH(B1995,lot!$A$2:$A$1201,0))</f>
        <v>SUP-E</v>
      </c>
      <c r="F1995" s="3" t="n">
        <f aca="false">YEAR(A1995)*100+MONTH(A1995)</f>
        <v>202606</v>
      </c>
    </row>
    <row r="1996" customFormat="false" ht="15" hidden="false" customHeight="false" outlineLevel="0" collapsed="false">
      <c r="A1996" s="2" t="n">
        <v>46176</v>
      </c>
      <c r="B1996" s="3" t="s">
        <v>986</v>
      </c>
      <c r="C1996" s="0" t="n">
        <v>88</v>
      </c>
      <c r="D1996" s="0" t="n">
        <v>2</v>
      </c>
      <c r="E1996" s="0" t="str">
        <f aca="false">INDEX(lot!$B$2:$B$1201,MATCH(B1996,lot!$A$2:$A$1201,0))</f>
        <v>SUP-E</v>
      </c>
      <c r="F1996" s="3" t="n">
        <f aca="false">YEAR(A1996)*100+MONTH(A1996)</f>
        <v>202606</v>
      </c>
    </row>
    <row r="1997" customFormat="false" ht="15" hidden="false" customHeight="false" outlineLevel="0" collapsed="false">
      <c r="A1997" s="2" t="n">
        <v>46176</v>
      </c>
      <c r="B1997" s="3" t="s">
        <v>1087</v>
      </c>
      <c r="C1997" s="0" t="n">
        <v>184</v>
      </c>
      <c r="D1997" s="0" t="n">
        <v>2</v>
      </c>
      <c r="E1997" s="0" t="str">
        <f aca="false">INDEX(lot!$B$2:$B$1201,MATCH(B1997,lot!$A$2:$A$1201,0))</f>
        <v>SUP-E</v>
      </c>
      <c r="F1997" s="3" t="n">
        <f aca="false">YEAR(A1997)*100+MONTH(A1997)</f>
        <v>202606</v>
      </c>
    </row>
    <row r="1998" customFormat="false" ht="15" hidden="false" customHeight="false" outlineLevel="0" collapsed="false">
      <c r="A1998" s="2" t="n">
        <v>46176</v>
      </c>
      <c r="B1998" s="3" t="s">
        <v>1087</v>
      </c>
      <c r="C1998" s="0" t="n">
        <v>230</v>
      </c>
      <c r="D1998" s="0" t="n">
        <v>1</v>
      </c>
      <c r="E1998" s="0" t="str">
        <f aca="false">INDEX(lot!$B$2:$B$1201,MATCH(B1998,lot!$A$2:$A$1201,0))</f>
        <v>SUP-E</v>
      </c>
      <c r="F1998" s="3" t="n">
        <f aca="false">YEAR(A1998)*100+MONTH(A1998)</f>
        <v>202606</v>
      </c>
    </row>
    <row r="1999" customFormat="false" ht="15" hidden="false" customHeight="false" outlineLevel="0" collapsed="false">
      <c r="A1999" s="2" t="n">
        <v>46176</v>
      </c>
      <c r="B1999" s="3" t="s">
        <v>1190</v>
      </c>
      <c r="C1999" s="0" t="n">
        <v>82</v>
      </c>
      <c r="D1999" s="0" t="n">
        <v>0</v>
      </c>
      <c r="E1999" s="0" t="str">
        <f aca="false">INDEX(lot!$B$2:$B$1201,MATCH(B1999,lot!$A$2:$A$1201,0))</f>
        <v>SUP-E</v>
      </c>
      <c r="F1999" s="3" t="n">
        <f aca="false">YEAR(A1999)*100+MONTH(A1999)</f>
        <v>202606</v>
      </c>
    </row>
    <row r="2000" customFormat="false" ht="15" hidden="false" customHeight="false" outlineLevel="0" collapsed="false">
      <c r="A2000" s="2" t="n">
        <v>46177</v>
      </c>
      <c r="B2000" s="3" t="s">
        <v>81</v>
      </c>
      <c r="C2000" s="0" t="n">
        <v>73</v>
      </c>
      <c r="D2000" s="0" t="n">
        <v>1</v>
      </c>
      <c r="E2000" s="0" t="str">
        <f aca="false">INDEX(lot!$B$2:$B$1201,MATCH(B2000,lot!$A$2:$A$1201,0))</f>
        <v>SUP-D</v>
      </c>
      <c r="F2000" s="3" t="n">
        <f aca="false">YEAR(A2000)*100+MONTH(A2000)</f>
        <v>202606</v>
      </c>
    </row>
    <row r="2001" customFormat="false" ht="15" hidden="false" customHeight="false" outlineLevel="0" collapsed="false">
      <c r="A2001" s="2" t="n">
        <v>46177</v>
      </c>
      <c r="B2001" s="3" t="s">
        <v>81</v>
      </c>
      <c r="C2001" s="0" t="n">
        <v>102</v>
      </c>
      <c r="D2001" s="0" t="n">
        <v>3</v>
      </c>
      <c r="E2001" s="0" t="str">
        <f aca="false">INDEX(lot!$B$2:$B$1201,MATCH(B2001,lot!$A$2:$A$1201,0))</f>
        <v>SUP-D</v>
      </c>
      <c r="F2001" s="3" t="n">
        <f aca="false">YEAR(A2001)*100+MONTH(A2001)</f>
        <v>202606</v>
      </c>
    </row>
    <row r="2002" customFormat="false" ht="15" hidden="false" customHeight="false" outlineLevel="0" collapsed="false">
      <c r="A2002" s="2" t="n">
        <v>46177</v>
      </c>
      <c r="B2002" s="3" t="s">
        <v>284</v>
      </c>
      <c r="C2002" s="0" t="n">
        <v>130</v>
      </c>
      <c r="D2002" s="0" t="n">
        <v>0</v>
      </c>
      <c r="E2002" s="0" t="str">
        <f aca="false">INDEX(lot!$B$2:$B$1201,MATCH(B2002,lot!$A$2:$A$1201,0))</f>
        <v>SUP-E</v>
      </c>
      <c r="F2002" s="3" t="n">
        <f aca="false">YEAR(A2002)*100+MONTH(A2002)</f>
        <v>202606</v>
      </c>
    </row>
    <row r="2003" customFormat="false" ht="15" hidden="false" customHeight="false" outlineLevel="0" collapsed="false">
      <c r="A2003" s="2" t="n">
        <v>46177</v>
      </c>
      <c r="B2003" s="3" t="s">
        <v>284</v>
      </c>
      <c r="C2003" s="0" t="n">
        <v>143</v>
      </c>
      <c r="D2003" s="0" t="n">
        <v>2</v>
      </c>
      <c r="E2003" s="0" t="str">
        <f aca="false">INDEX(lot!$B$2:$B$1201,MATCH(B2003,lot!$A$2:$A$1201,0))</f>
        <v>SUP-E</v>
      </c>
      <c r="F2003" s="3" t="n">
        <f aca="false">YEAR(A2003)*100+MONTH(A2003)</f>
        <v>202606</v>
      </c>
    </row>
    <row r="2004" customFormat="false" ht="15" hidden="false" customHeight="false" outlineLevel="0" collapsed="false">
      <c r="A2004" s="2" t="n">
        <v>46177</v>
      </c>
      <c r="B2004" s="3" t="s">
        <v>371</v>
      </c>
      <c r="C2004" s="0" t="n">
        <v>123</v>
      </c>
      <c r="D2004" s="0" t="n">
        <v>1</v>
      </c>
      <c r="E2004" s="0" t="str">
        <f aca="false">INDEX(lot!$B$2:$B$1201,MATCH(B2004,lot!$A$2:$A$1201,0))</f>
        <v>SUP-A</v>
      </c>
      <c r="F2004" s="3" t="n">
        <f aca="false">YEAR(A2004)*100+MONTH(A2004)</f>
        <v>202606</v>
      </c>
    </row>
    <row r="2005" customFormat="false" ht="15" hidden="false" customHeight="false" outlineLevel="0" collapsed="false">
      <c r="A2005" s="2" t="n">
        <v>46177</v>
      </c>
      <c r="B2005" s="3" t="s">
        <v>371</v>
      </c>
      <c r="C2005" s="0" t="n">
        <v>110</v>
      </c>
      <c r="D2005" s="0" t="n">
        <v>1</v>
      </c>
      <c r="E2005" s="0" t="str">
        <f aca="false">INDEX(lot!$B$2:$B$1201,MATCH(B2005,lot!$A$2:$A$1201,0))</f>
        <v>SUP-A</v>
      </c>
      <c r="F2005" s="3" t="n">
        <f aca="false">YEAR(A2005)*100+MONTH(A2005)</f>
        <v>202606</v>
      </c>
    </row>
    <row r="2006" customFormat="false" ht="15" hidden="false" customHeight="false" outlineLevel="0" collapsed="false">
      <c r="A2006" s="2" t="n">
        <v>46177</v>
      </c>
      <c r="B2006" s="3" t="s">
        <v>446</v>
      </c>
      <c r="C2006" s="0" t="n">
        <v>130</v>
      </c>
      <c r="D2006" s="0" t="n">
        <v>4</v>
      </c>
      <c r="E2006" s="0" t="str">
        <f aca="false">INDEX(lot!$B$2:$B$1201,MATCH(B2006,lot!$A$2:$A$1201,0))</f>
        <v>SUP-C</v>
      </c>
      <c r="F2006" s="3" t="n">
        <f aca="false">YEAR(A2006)*100+MONTH(A2006)</f>
        <v>202606</v>
      </c>
    </row>
    <row r="2007" customFormat="false" ht="15" hidden="false" customHeight="false" outlineLevel="0" collapsed="false">
      <c r="A2007" s="2" t="n">
        <v>46177</v>
      </c>
      <c r="B2007" s="3" t="s">
        <v>582</v>
      </c>
      <c r="C2007" s="0" t="n">
        <v>142</v>
      </c>
      <c r="D2007" s="0" t="n">
        <v>2</v>
      </c>
      <c r="E2007" s="0" t="str">
        <f aca="false">INDEX(lot!$B$2:$B$1201,MATCH(B2007,lot!$A$2:$A$1201,0))</f>
        <v>SUP-E</v>
      </c>
      <c r="F2007" s="3" t="n">
        <f aca="false">YEAR(A2007)*100+MONTH(A2007)</f>
        <v>202606</v>
      </c>
    </row>
    <row r="2008" customFormat="false" ht="15" hidden="false" customHeight="false" outlineLevel="0" collapsed="false">
      <c r="A2008" s="2" t="n">
        <v>46177</v>
      </c>
      <c r="B2008" s="3" t="s">
        <v>582</v>
      </c>
      <c r="C2008" s="0" t="n">
        <v>152</v>
      </c>
      <c r="D2008" s="0" t="n">
        <v>1</v>
      </c>
      <c r="E2008" s="0" t="str">
        <f aca="false">INDEX(lot!$B$2:$B$1201,MATCH(B2008,lot!$A$2:$A$1201,0))</f>
        <v>SUP-E</v>
      </c>
      <c r="F2008" s="3" t="n">
        <f aca="false">YEAR(A2008)*100+MONTH(A2008)</f>
        <v>202606</v>
      </c>
    </row>
    <row r="2009" customFormat="false" ht="15" hidden="false" customHeight="false" outlineLevel="0" collapsed="false">
      <c r="A2009" s="2" t="n">
        <v>46177</v>
      </c>
      <c r="B2009" s="3" t="s">
        <v>752</v>
      </c>
      <c r="C2009" s="0" t="n">
        <v>248</v>
      </c>
      <c r="D2009" s="0" t="n">
        <v>8</v>
      </c>
      <c r="E2009" s="0" t="str">
        <f aca="false">INDEX(lot!$B$2:$B$1201,MATCH(B2009,lot!$A$2:$A$1201,0))</f>
        <v>SUP-C</v>
      </c>
      <c r="F2009" s="3" t="n">
        <f aca="false">YEAR(A2009)*100+MONTH(A2009)</f>
        <v>202606</v>
      </c>
    </row>
    <row r="2010" customFormat="false" ht="15" hidden="false" customHeight="false" outlineLevel="0" collapsed="false">
      <c r="A2010" s="2" t="n">
        <v>46177</v>
      </c>
      <c r="B2010" s="3" t="s">
        <v>756</v>
      </c>
      <c r="C2010" s="0" t="n">
        <v>112</v>
      </c>
      <c r="D2010" s="0" t="n">
        <v>13</v>
      </c>
      <c r="E2010" s="0" t="str">
        <f aca="false">INDEX(lot!$B$2:$B$1201,MATCH(B2010,lot!$A$2:$A$1201,0))</f>
        <v>SUP-C</v>
      </c>
      <c r="F2010" s="3" t="n">
        <f aca="false">YEAR(A2010)*100+MONTH(A2010)</f>
        <v>202606</v>
      </c>
    </row>
    <row r="2011" customFormat="false" ht="15" hidden="false" customHeight="false" outlineLevel="0" collapsed="false">
      <c r="A2011" s="2" t="n">
        <v>46177</v>
      </c>
      <c r="B2011" s="3" t="s">
        <v>756</v>
      </c>
      <c r="C2011" s="0" t="n">
        <v>147</v>
      </c>
      <c r="D2011" s="0" t="n">
        <v>19</v>
      </c>
      <c r="E2011" s="0" t="str">
        <f aca="false">INDEX(lot!$B$2:$B$1201,MATCH(B2011,lot!$A$2:$A$1201,0))</f>
        <v>SUP-C</v>
      </c>
      <c r="F2011" s="3" t="n">
        <f aca="false">YEAR(A2011)*100+MONTH(A2011)</f>
        <v>202606</v>
      </c>
    </row>
    <row r="2012" customFormat="false" ht="15" hidden="false" customHeight="false" outlineLevel="0" collapsed="false">
      <c r="A2012" s="2" t="n">
        <v>46177</v>
      </c>
      <c r="B2012" s="3" t="s">
        <v>803</v>
      </c>
      <c r="C2012" s="0" t="n">
        <v>95</v>
      </c>
      <c r="D2012" s="0" t="n">
        <v>3</v>
      </c>
      <c r="E2012" s="0" t="str">
        <f aca="false">INDEX(lot!$B$2:$B$1201,MATCH(B2012,lot!$A$2:$A$1201,0))</f>
        <v>SUP-D</v>
      </c>
      <c r="F2012" s="3" t="n">
        <f aca="false">YEAR(A2012)*100+MONTH(A2012)</f>
        <v>202606</v>
      </c>
    </row>
    <row r="2013" customFormat="false" ht="15" hidden="false" customHeight="false" outlineLevel="0" collapsed="false">
      <c r="A2013" s="2" t="n">
        <v>46177</v>
      </c>
      <c r="B2013" s="3" t="s">
        <v>842</v>
      </c>
      <c r="C2013" s="0" t="n">
        <v>165</v>
      </c>
      <c r="D2013" s="0" t="n">
        <v>12</v>
      </c>
      <c r="E2013" s="0" t="str">
        <f aca="false">INDEX(lot!$B$2:$B$1201,MATCH(B2013,lot!$A$2:$A$1201,0))</f>
        <v>SUP-E</v>
      </c>
      <c r="F2013" s="3" t="n">
        <f aca="false">YEAR(A2013)*100+MONTH(A2013)</f>
        <v>202606</v>
      </c>
    </row>
    <row r="2014" customFormat="false" ht="15" hidden="false" customHeight="false" outlineLevel="0" collapsed="false">
      <c r="A2014" s="2" t="n">
        <v>46177</v>
      </c>
      <c r="B2014" s="3" t="s">
        <v>843</v>
      </c>
      <c r="C2014" s="0" t="n">
        <v>125</v>
      </c>
      <c r="D2014" s="0" t="n">
        <v>0</v>
      </c>
      <c r="E2014" s="0" t="str">
        <f aca="false">INDEX(lot!$B$2:$B$1201,MATCH(B2014,lot!$A$2:$A$1201,0))</f>
        <v>SUP-E</v>
      </c>
      <c r="F2014" s="3" t="n">
        <f aca="false">YEAR(A2014)*100+MONTH(A2014)</f>
        <v>202606</v>
      </c>
    </row>
    <row r="2015" customFormat="false" ht="15" hidden="false" customHeight="false" outlineLevel="0" collapsed="false">
      <c r="A2015" s="2" t="n">
        <v>46177</v>
      </c>
      <c r="B2015" s="3" t="s">
        <v>843</v>
      </c>
      <c r="C2015" s="0" t="n">
        <v>128</v>
      </c>
      <c r="D2015" s="0" t="n">
        <v>1</v>
      </c>
      <c r="E2015" s="0" t="str">
        <f aca="false">INDEX(lot!$B$2:$B$1201,MATCH(B2015,lot!$A$2:$A$1201,0))</f>
        <v>SUP-E</v>
      </c>
      <c r="F2015" s="3" t="n">
        <f aca="false">YEAR(A2015)*100+MONTH(A2015)</f>
        <v>202606</v>
      </c>
    </row>
    <row r="2016" customFormat="false" ht="15" hidden="false" customHeight="false" outlineLevel="0" collapsed="false">
      <c r="A2016" s="2" t="n">
        <v>46177</v>
      </c>
      <c r="B2016" s="3" t="s">
        <v>860</v>
      </c>
      <c r="C2016" s="0" t="n">
        <v>151</v>
      </c>
      <c r="D2016" s="0" t="n">
        <v>0</v>
      </c>
      <c r="E2016" s="0" t="str">
        <f aca="false">INDEX(lot!$B$2:$B$1201,MATCH(B2016,lot!$A$2:$A$1201,0))</f>
        <v>SUP-E</v>
      </c>
      <c r="F2016" s="3" t="n">
        <f aca="false">YEAR(A2016)*100+MONTH(A2016)</f>
        <v>202606</v>
      </c>
    </row>
    <row r="2017" customFormat="false" ht="15" hidden="false" customHeight="false" outlineLevel="0" collapsed="false">
      <c r="A2017" s="2" t="n">
        <v>46177</v>
      </c>
      <c r="B2017" s="3" t="s">
        <v>860</v>
      </c>
      <c r="C2017" s="0" t="n">
        <v>93</v>
      </c>
      <c r="D2017" s="0" t="n">
        <v>2</v>
      </c>
      <c r="E2017" s="0" t="str">
        <f aca="false">INDEX(lot!$B$2:$B$1201,MATCH(B2017,lot!$A$2:$A$1201,0))</f>
        <v>SUP-E</v>
      </c>
      <c r="F2017" s="3" t="n">
        <f aca="false">YEAR(A2017)*100+MONTH(A2017)</f>
        <v>202606</v>
      </c>
    </row>
    <row r="2018" customFormat="false" ht="15" hidden="false" customHeight="false" outlineLevel="0" collapsed="false">
      <c r="A2018" s="2" t="n">
        <v>46177</v>
      </c>
      <c r="B2018" s="3" t="s">
        <v>868</v>
      </c>
      <c r="C2018" s="0" t="n">
        <v>86</v>
      </c>
      <c r="D2018" s="0" t="n">
        <v>0</v>
      </c>
      <c r="E2018" s="0" t="str">
        <f aca="false">INDEX(lot!$B$2:$B$1201,MATCH(B2018,lot!$A$2:$A$1201,0))</f>
        <v>SUP-D</v>
      </c>
      <c r="F2018" s="3" t="n">
        <f aca="false">YEAR(A2018)*100+MONTH(A2018)</f>
        <v>202606</v>
      </c>
    </row>
    <row r="2019" customFormat="false" ht="15" hidden="false" customHeight="false" outlineLevel="0" collapsed="false">
      <c r="A2019" s="2" t="n">
        <v>46177</v>
      </c>
      <c r="B2019" s="3" t="s">
        <v>868</v>
      </c>
      <c r="C2019" s="0" t="n">
        <v>156</v>
      </c>
      <c r="D2019" s="0" t="n">
        <v>1</v>
      </c>
      <c r="E2019" s="0" t="str">
        <f aca="false">INDEX(lot!$B$2:$B$1201,MATCH(B2019,lot!$A$2:$A$1201,0))</f>
        <v>SUP-D</v>
      </c>
      <c r="F2019" s="3" t="n">
        <f aca="false">YEAR(A2019)*100+MONTH(A2019)</f>
        <v>202606</v>
      </c>
    </row>
    <row r="2020" customFormat="false" ht="15" hidden="false" customHeight="false" outlineLevel="0" collapsed="false">
      <c r="A2020" s="2" t="n">
        <v>46177</v>
      </c>
      <c r="B2020" s="3" t="s">
        <v>962</v>
      </c>
      <c r="C2020" s="0" t="n">
        <v>188</v>
      </c>
      <c r="D2020" s="0" t="n">
        <v>9</v>
      </c>
      <c r="E2020" s="0" t="str">
        <f aca="false">INDEX(lot!$B$2:$B$1201,MATCH(B2020,lot!$A$2:$A$1201,0))</f>
        <v>SUP-D</v>
      </c>
      <c r="F2020" s="3" t="n">
        <f aca="false">YEAR(A2020)*100+MONTH(A2020)</f>
        <v>202606</v>
      </c>
    </row>
    <row r="2021" customFormat="false" ht="15" hidden="false" customHeight="false" outlineLevel="0" collapsed="false">
      <c r="A2021" s="2" t="n">
        <v>46177</v>
      </c>
      <c r="B2021" s="3" t="s">
        <v>1021</v>
      </c>
      <c r="C2021" s="0" t="n">
        <v>188</v>
      </c>
      <c r="D2021" s="0" t="n">
        <v>3</v>
      </c>
      <c r="E2021" s="0" t="str">
        <f aca="false">INDEX(lot!$B$2:$B$1201,MATCH(B2021,lot!$A$2:$A$1201,0))</f>
        <v>SUP-E</v>
      </c>
      <c r="F2021" s="3" t="n">
        <f aca="false">YEAR(A2021)*100+MONTH(A2021)</f>
        <v>202606</v>
      </c>
    </row>
    <row r="2022" customFormat="false" ht="15" hidden="false" customHeight="false" outlineLevel="0" collapsed="false">
      <c r="A2022" s="2" t="n">
        <v>46177</v>
      </c>
      <c r="B2022" s="3" t="s">
        <v>1021</v>
      </c>
      <c r="C2022" s="0" t="n">
        <v>165</v>
      </c>
      <c r="D2022" s="0" t="n">
        <v>2</v>
      </c>
      <c r="E2022" s="0" t="str">
        <f aca="false">INDEX(lot!$B$2:$B$1201,MATCH(B2022,lot!$A$2:$A$1201,0))</f>
        <v>SUP-E</v>
      </c>
      <c r="F2022" s="3" t="n">
        <f aca="false">YEAR(A2022)*100+MONTH(A2022)</f>
        <v>202606</v>
      </c>
    </row>
    <row r="2023" customFormat="false" ht="15" hidden="false" customHeight="false" outlineLevel="0" collapsed="false">
      <c r="A2023" s="2" t="n">
        <v>46177</v>
      </c>
      <c r="B2023" s="3" t="s">
        <v>1100</v>
      </c>
      <c r="C2023" s="0" t="n">
        <v>81</v>
      </c>
      <c r="D2023" s="0" t="n">
        <v>3</v>
      </c>
      <c r="E2023" s="0" t="str">
        <f aca="false">INDEX(lot!$B$2:$B$1201,MATCH(B2023,lot!$A$2:$A$1201,0))</f>
        <v>SUP-C</v>
      </c>
      <c r="F2023" s="3" t="n">
        <f aca="false">YEAR(A2023)*100+MONTH(A2023)</f>
        <v>202606</v>
      </c>
    </row>
    <row r="2024" customFormat="false" ht="15" hidden="false" customHeight="false" outlineLevel="0" collapsed="false">
      <c r="A2024" s="2" t="n">
        <v>46177</v>
      </c>
      <c r="B2024" s="3" t="s">
        <v>1100</v>
      </c>
      <c r="C2024" s="0" t="n">
        <v>77</v>
      </c>
      <c r="D2024" s="0" t="n">
        <v>1</v>
      </c>
      <c r="E2024" s="0" t="str">
        <f aca="false">INDEX(lot!$B$2:$B$1201,MATCH(B2024,lot!$A$2:$A$1201,0))</f>
        <v>SUP-C</v>
      </c>
      <c r="F2024" s="3" t="n">
        <f aca="false">YEAR(A2024)*100+MONTH(A2024)</f>
        <v>202606</v>
      </c>
    </row>
    <row r="2025" customFormat="false" ht="15" hidden="false" customHeight="false" outlineLevel="0" collapsed="false">
      <c r="A2025" s="2" t="n">
        <v>46177</v>
      </c>
      <c r="B2025" s="3" t="s">
        <v>1190</v>
      </c>
      <c r="C2025" s="0" t="n">
        <v>129</v>
      </c>
      <c r="D2025" s="0" t="n">
        <v>0</v>
      </c>
      <c r="E2025" s="0" t="str">
        <f aca="false">INDEX(lot!$B$2:$B$1201,MATCH(B2025,lot!$A$2:$A$1201,0))</f>
        <v>SUP-E</v>
      </c>
      <c r="F2025" s="3" t="n">
        <f aca="false">YEAR(A2025)*100+MONTH(A2025)</f>
        <v>202606</v>
      </c>
    </row>
    <row r="2026" customFormat="false" ht="15" hidden="false" customHeight="false" outlineLevel="0" collapsed="false">
      <c r="A2026" s="2" t="n">
        <v>46177</v>
      </c>
      <c r="B2026" s="3" t="s">
        <v>1190</v>
      </c>
      <c r="C2026" s="0" t="n">
        <v>164</v>
      </c>
      <c r="D2026" s="0" t="n">
        <v>1</v>
      </c>
      <c r="E2026" s="0" t="str">
        <f aca="false">INDEX(lot!$B$2:$B$1201,MATCH(B2026,lot!$A$2:$A$1201,0))</f>
        <v>SUP-E</v>
      </c>
      <c r="F2026" s="3" t="n">
        <f aca="false">YEAR(A2026)*100+MONTH(A2026)</f>
        <v>202606</v>
      </c>
    </row>
    <row r="2027" customFormat="false" ht="15" hidden="false" customHeight="false" outlineLevel="0" collapsed="false">
      <c r="A2027" s="2" t="n">
        <v>46178</v>
      </c>
      <c r="B2027" s="3" t="s">
        <v>81</v>
      </c>
      <c r="C2027" s="0" t="n">
        <v>135</v>
      </c>
      <c r="D2027" s="0" t="n">
        <v>3</v>
      </c>
      <c r="E2027" s="0" t="str">
        <f aca="false">INDEX(lot!$B$2:$B$1201,MATCH(B2027,lot!$A$2:$A$1201,0))</f>
        <v>SUP-D</v>
      </c>
      <c r="F2027" s="3" t="n">
        <f aca="false">YEAR(A2027)*100+MONTH(A2027)</f>
        <v>202606</v>
      </c>
    </row>
    <row r="2028" customFormat="false" ht="15" hidden="false" customHeight="false" outlineLevel="0" collapsed="false">
      <c r="A2028" s="2" t="n">
        <v>46178</v>
      </c>
      <c r="B2028" s="3" t="s">
        <v>284</v>
      </c>
      <c r="C2028" s="0" t="n">
        <v>110</v>
      </c>
      <c r="D2028" s="0" t="n">
        <v>1</v>
      </c>
      <c r="E2028" s="0" t="str">
        <f aca="false">INDEX(lot!$B$2:$B$1201,MATCH(B2028,lot!$A$2:$A$1201,0))</f>
        <v>SUP-E</v>
      </c>
      <c r="F2028" s="3" t="n">
        <f aca="false">YEAR(A2028)*100+MONTH(A2028)</f>
        <v>202606</v>
      </c>
    </row>
    <row r="2029" customFormat="false" ht="15" hidden="false" customHeight="false" outlineLevel="0" collapsed="false">
      <c r="A2029" s="2" t="n">
        <v>46178</v>
      </c>
      <c r="B2029" s="3" t="s">
        <v>286</v>
      </c>
      <c r="C2029" s="0" t="n">
        <v>71</v>
      </c>
      <c r="D2029" s="0" t="n">
        <v>0</v>
      </c>
      <c r="E2029" s="0" t="str">
        <f aca="false">INDEX(lot!$B$2:$B$1201,MATCH(B2029,lot!$A$2:$A$1201,0))</f>
        <v>SUP-E</v>
      </c>
      <c r="F2029" s="3" t="n">
        <f aca="false">YEAR(A2029)*100+MONTH(A2029)</f>
        <v>202606</v>
      </c>
    </row>
    <row r="2030" customFormat="false" ht="15" hidden="false" customHeight="false" outlineLevel="0" collapsed="false">
      <c r="A2030" s="2" t="n">
        <v>46178</v>
      </c>
      <c r="B2030" s="3" t="s">
        <v>286</v>
      </c>
      <c r="C2030" s="0" t="n">
        <v>84</v>
      </c>
      <c r="D2030" s="0" t="n">
        <v>0</v>
      </c>
      <c r="E2030" s="0" t="str">
        <f aca="false">INDEX(lot!$B$2:$B$1201,MATCH(B2030,lot!$A$2:$A$1201,0))</f>
        <v>SUP-E</v>
      </c>
      <c r="F2030" s="3" t="n">
        <f aca="false">YEAR(A2030)*100+MONTH(A2030)</f>
        <v>202606</v>
      </c>
    </row>
    <row r="2031" customFormat="false" ht="15" hidden="false" customHeight="false" outlineLevel="0" collapsed="false">
      <c r="A2031" s="2" t="n">
        <v>46178</v>
      </c>
      <c r="B2031" s="3" t="s">
        <v>371</v>
      </c>
      <c r="C2031" s="0" t="n">
        <v>119</v>
      </c>
      <c r="D2031" s="0" t="n">
        <v>0</v>
      </c>
      <c r="E2031" s="0" t="str">
        <f aca="false">INDEX(lot!$B$2:$B$1201,MATCH(B2031,lot!$A$2:$A$1201,0))</f>
        <v>SUP-A</v>
      </c>
      <c r="F2031" s="3" t="n">
        <f aca="false">YEAR(A2031)*100+MONTH(A2031)</f>
        <v>202606</v>
      </c>
    </row>
    <row r="2032" customFormat="false" ht="15" hidden="false" customHeight="false" outlineLevel="0" collapsed="false">
      <c r="A2032" s="2" t="n">
        <v>46178</v>
      </c>
      <c r="B2032" s="3" t="s">
        <v>710</v>
      </c>
      <c r="C2032" s="0" t="n">
        <v>79</v>
      </c>
      <c r="D2032" s="0" t="n">
        <v>1</v>
      </c>
      <c r="E2032" s="0" t="str">
        <f aca="false">INDEX(lot!$B$2:$B$1201,MATCH(B2032,lot!$A$2:$A$1201,0))</f>
        <v>SUP-E</v>
      </c>
      <c r="F2032" s="3" t="n">
        <f aca="false">YEAR(A2032)*100+MONTH(A2032)</f>
        <v>202606</v>
      </c>
    </row>
    <row r="2033" customFormat="false" ht="15" hidden="false" customHeight="false" outlineLevel="0" collapsed="false">
      <c r="A2033" s="2" t="n">
        <v>46178</v>
      </c>
      <c r="B2033" s="3" t="s">
        <v>843</v>
      </c>
      <c r="C2033" s="0" t="n">
        <v>76</v>
      </c>
      <c r="D2033" s="0" t="n">
        <v>0</v>
      </c>
      <c r="E2033" s="0" t="str">
        <f aca="false">INDEX(lot!$B$2:$B$1201,MATCH(B2033,lot!$A$2:$A$1201,0))</f>
        <v>SUP-E</v>
      </c>
      <c r="F2033" s="3" t="n">
        <f aca="false">YEAR(A2033)*100+MONTH(A2033)</f>
        <v>202606</v>
      </c>
    </row>
    <row r="2034" customFormat="false" ht="15" hidden="false" customHeight="false" outlineLevel="0" collapsed="false">
      <c r="A2034" s="2" t="n">
        <v>46178</v>
      </c>
      <c r="B2034" s="3" t="s">
        <v>843</v>
      </c>
      <c r="C2034" s="0" t="n">
        <v>115</v>
      </c>
      <c r="D2034" s="0" t="n">
        <v>0</v>
      </c>
      <c r="E2034" s="0" t="str">
        <f aca="false">INDEX(lot!$B$2:$B$1201,MATCH(B2034,lot!$A$2:$A$1201,0))</f>
        <v>SUP-E</v>
      </c>
      <c r="F2034" s="3" t="n">
        <f aca="false">YEAR(A2034)*100+MONTH(A2034)</f>
        <v>202606</v>
      </c>
    </row>
    <row r="2035" customFormat="false" ht="15" hidden="false" customHeight="false" outlineLevel="0" collapsed="false">
      <c r="A2035" s="2" t="n">
        <v>46178</v>
      </c>
      <c r="B2035" s="3" t="s">
        <v>860</v>
      </c>
      <c r="C2035" s="0" t="n">
        <v>215</v>
      </c>
      <c r="D2035" s="0" t="n">
        <v>2</v>
      </c>
      <c r="E2035" s="0" t="str">
        <f aca="false">INDEX(lot!$B$2:$B$1201,MATCH(B2035,lot!$A$2:$A$1201,0))</f>
        <v>SUP-E</v>
      </c>
      <c r="F2035" s="3" t="n">
        <f aca="false">YEAR(A2035)*100+MONTH(A2035)</f>
        <v>202606</v>
      </c>
    </row>
    <row r="2036" customFormat="false" ht="15" hidden="false" customHeight="false" outlineLevel="0" collapsed="false">
      <c r="A2036" s="2" t="n">
        <v>46178</v>
      </c>
      <c r="B2036" s="3" t="s">
        <v>868</v>
      </c>
      <c r="C2036" s="0" t="n">
        <v>79</v>
      </c>
      <c r="D2036" s="0" t="n">
        <v>0</v>
      </c>
      <c r="E2036" s="0" t="str">
        <f aca="false">INDEX(lot!$B$2:$B$1201,MATCH(B2036,lot!$A$2:$A$1201,0))</f>
        <v>SUP-D</v>
      </c>
      <c r="F2036" s="3" t="n">
        <f aca="false">YEAR(A2036)*100+MONTH(A2036)</f>
        <v>202606</v>
      </c>
    </row>
    <row r="2037" customFormat="false" ht="15" hidden="false" customHeight="false" outlineLevel="0" collapsed="false">
      <c r="A2037" s="2" t="n">
        <v>46178</v>
      </c>
      <c r="B2037" s="3" t="s">
        <v>1021</v>
      </c>
      <c r="C2037" s="0" t="n">
        <v>151</v>
      </c>
      <c r="D2037" s="0" t="n">
        <v>1</v>
      </c>
      <c r="E2037" s="0" t="str">
        <f aca="false">INDEX(lot!$B$2:$B$1201,MATCH(B2037,lot!$A$2:$A$1201,0))</f>
        <v>SUP-E</v>
      </c>
      <c r="F2037" s="3" t="n">
        <f aca="false">YEAR(A2037)*100+MONTH(A2037)</f>
        <v>202606</v>
      </c>
    </row>
    <row r="2038" customFormat="false" ht="15" hidden="false" customHeight="false" outlineLevel="0" collapsed="false">
      <c r="A2038" s="2" t="n">
        <v>46178</v>
      </c>
      <c r="B2038" s="3" t="s">
        <v>1190</v>
      </c>
      <c r="C2038" s="0" t="n">
        <v>241</v>
      </c>
      <c r="D2038" s="0" t="n">
        <v>3</v>
      </c>
      <c r="E2038" s="0" t="str">
        <f aca="false">INDEX(lot!$B$2:$B$1201,MATCH(B2038,lot!$A$2:$A$1201,0))</f>
        <v>SUP-E</v>
      </c>
      <c r="F2038" s="3" t="n">
        <f aca="false">YEAR(A2038)*100+MONTH(A2038)</f>
        <v>202606</v>
      </c>
    </row>
    <row r="2039" customFormat="false" ht="15" hidden="false" customHeight="false" outlineLevel="0" collapsed="false">
      <c r="A2039" s="2" t="n">
        <v>46181</v>
      </c>
      <c r="B2039" s="3" t="s">
        <v>65</v>
      </c>
      <c r="C2039" s="0" t="n">
        <v>105</v>
      </c>
      <c r="D2039" s="0" t="n">
        <v>0</v>
      </c>
      <c r="E2039" s="0" t="str">
        <f aca="false">INDEX(lot!$B$2:$B$1201,MATCH(B2039,lot!$A$2:$A$1201,0))</f>
        <v>SUP-D</v>
      </c>
      <c r="F2039" s="3" t="n">
        <f aca="false">YEAR(A2039)*100+MONTH(A2039)</f>
        <v>202606</v>
      </c>
    </row>
    <row r="2040" customFormat="false" ht="15" hidden="false" customHeight="false" outlineLevel="0" collapsed="false">
      <c r="A2040" s="2" t="n">
        <v>46181</v>
      </c>
      <c r="B2040" s="3" t="s">
        <v>81</v>
      </c>
      <c r="C2040" s="0" t="n">
        <v>207</v>
      </c>
      <c r="D2040" s="0" t="n">
        <v>3</v>
      </c>
      <c r="E2040" s="0" t="str">
        <f aca="false">INDEX(lot!$B$2:$B$1201,MATCH(B2040,lot!$A$2:$A$1201,0))</f>
        <v>SUP-D</v>
      </c>
      <c r="F2040" s="3" t="n">
        <f aca="false">YEAR(A2040)*100+MONTH(A2040)</f>
        <v>202606</v>
      </c>
    </row>
    <row r="2041" customFormat="false" ht="15" hidden="false" customHeight="false" outlineLevel="0" collapsed="false">
      <c r="A2041" s="2" t="n">
        <v>46181</v>
      </c>
      <c r="B2041" s="3" t="s">
        <v>150</v>
      </c>
      <c r="C2041" s="0" t="n">
        <v>154</v>
      </c>
      <c r="D2041" s="0" t="n">
        <v>0</v>
      </c>
      <c r="E2041" s="0" t="str">
        <f aca="false">INDEX(lot!$B$2:$B$1201,MATCH(B2041,lot!$A$2:$A$1201,0))</f>
        <v>SUP-D</v>
      </c>
      <c r="F2041" s="3" t="n">
        <f aca="false">YEAR(A2041)*100+MONTH(A2041)</f>
        <v>202606</v>
      </c>
    </row>
    <row r="2042" customFormat="false" ht="15" hidden="false" customHeight="false" outlineLevel="0" collapsed="false">
      <c r="A2042" s="2" t="n">
        <v>46181</v>
      </c>
      <c r="B2042" s="3" t="s">
        <v>160</v>
      </c>
      <c r="C2042" s="0" t="n">
        <v>199</v>
      </c>
      <c r="D2042" s="0" t="n">
        <v>3</v>
      </c>
      <c r="E2042" s="0" t="str">
        <f aca="false">INDEX(lot!$B$2:$B$1201,MATCH(B2042,lot!$A$2:$A$1201,0))</f>
        <v>SUP-A</v>
      </c>
      <c r="F2042" s="3" t="n">
        <f aca="false">YEAR(A2042)*100+MONTH(A2042)</f>
        <v>202606</v>
      </c>
    </row>
    <row r="2043" customFormat="false" ht="15" hidden="false" customHeight="false" outlineLevel="0" collapsed="false">
      <c r="A2043" s="2" t="n">
        <v>46181</v>
      </c>
      <c r="B2043" s="3" t="s">
        <v>160</v>
      </c>
      <c r="C2043" s="0" t="n">
        <v>169</v>
      </c>
      <c r="D2043" s="0" t="n">
        <v>1</v>
      </c>
      <c r="E2043" s="0" t="str">
        <f aca="false">INDEX(lot!$B$2:$B$1201,MATCH(B2043,lot!$A$2:$A$1201,0))</f>
        <v>SUP-A</v>
      </c>
      <c r="F2043" s="3" t="n">
        <f aca="false">YEAR(A2043)*100+MONTH(A2043)</f>
        <v>202606</v>
      </c>
    </row>
    <row r="2044" customFormat="false" ht="15" hidden="false" customHeight="false" outlineLevel="0" collapsed="false">
      <c r="A2044" s="2" t="n">
        <v>46181</v>
      </c>
      <c r="B2044" s="3" t="s">
        <v>278</v>
      </c>
      <c r="C2044" s="0" t="n">
        <v>203</v>
      </c>
      <c r="D2044" s="0" t="n">
        <v>1</v>
      </c>
      <c r="E2044" s="0" t="str">
        <f aca="false">INDEX(lot!$B$2:$B$1201,MATCH(B2044,lot!$A$2:$A$1201,0))</f>
        <v>SUP-D</v>
      </c>
      <c r="F2044" s="3" t="n">
        <f aca="false">YEAR(A2044)*100+MONTH(A2044)</f>
        <v>202606</v>
      </c>
    </row>
    <row r="2045" customFormat="false" ht="15" hidden="false" customHeight="false" outlineLevel="0" collapsed="false">
      <c r="A2045" s="2" t="n">
        <v>46181</v>
      </c>
      <c r="B2045" s="3" t="s">
        <v>278</v>
      </c>
      <c r="C2045" s="0" t="n">
        <v>240</v>
      </c>
      <c r="D2045" s="0" t="n">
        <v>2</v>
      </c>
      <c r="E2045" s="0" t="str">
        <f aca="false">INDEX(lot!$B$2:$B$1201,MATCH(B2045,lot!$A$2:$A$1201,0))</f>
        <v>SUP-D</v>
      </c>
      <c r="F2045" s="3" t="n">
        <f aca="false">YEAR(A2045)*100+MONTH(A2045)</f>
        <v>202606</v>
      </c>
    </row>
    <row r="2046" customFormat="false" ht="15" hidden="false" customHeight="false" outlineLevel="0" collapsed="false">
      <c r="A2046" s="2" t="n">
        <v>46181</v>
      </c>
      <c r="B2046" s="3" t="s">
        <v>286</v>
      </c>
      <c r="C2046" s="0" t="n">
        <v>151</v>
      </c>
      <c r="D2046" s="0" t="n">
        <v>1</v>
      </c>
      <c r="E2046" s="0" t="str">
        <f aca="false">INDEX(lot!$B$2:$B$1201,MATCH(B2046,lot!$A$2:$A$1201,0))</f>
        <v>SUP-E</v>
      </c>
      <c r="F2046" s="3" t="n">
        <f aca="false">YEAR(A2046)*100+MONTH(A2046)</f>
        <v>202606</v>
      </c>
    </row>
    <row r="2047" customFormat="false" ht="15" hidden="false" customHeight="false" outlineLevel="0" collapsed="false">
      <c r="A2047" s="2" t="n">
        <v>46181</v>
      </c>
      <c r="B2047" s="3" t="s">
        <v>286</v>
      </c>
      <c r="C2047" s="0" t="n">
        <v>68</v>
      </c>
      <c r="D2047" s="0" t="n">
        <v>1</v>
      </c>
      <c r="E2047" s="0" t="str">
        <f aca="false">INDEX(lot!$B$2:$B$1201,MATCH(B2047,lot!$A$2:$A$1201,0))</f>
        <v>SUP-E</v>
      </c>
      <c r="F2047" s="3" t="n">
        <f aca="false">YEAR(A2047)*100+MONTH(A2047)</f>
        <v>202606</v>
      </c>
    </row>
    <row r="2048" customFormat="false" ht="15" hidden="false" customHeight="false" outlineLevel="0" collapsed="false">
      <c r="A2048" s="2" t="n">
        <v>46181</v>
      </c>
      <c r="B2048" s="3" t="s">
        <v>593</v>
      </c>
      <c r="C2048" s="0" t="n">
        <v>189</v>
      </c>
      <c r="D2048" s="0" t="n">
        <v>3</v>
      </c>
      <c r="E2048" s="0" t="str">
        <f aca="false">INDEX(lot!$B$2:$B$1201,MATCH(B2048,lot!$A$2:$A$1201,0))</f>
        <v>SUP-D</v>
      </c>
      <c r="F2048" s="3" t="n">
        <f aca="false">YEAR(A2048)*100+MONTH(A2048)</f>
        <v>202606</v>
      </c>
    </row>
    <row r="2049" customFormat="false" ht="15" hidden="false" customHeight="false" outlineLevel="0" collapsed="false">
      <c r="A2049" s="2" t="n">
        <v>46181</v>
      </c>
      <c r="B2049" s="3" t="s">
        <v>736</v>
      </c>
      <c r="C2049" s="0" t="n">
        <v>103</v>
      </c>
      <c r="D2049" s="0" t="n">
        <v>7</v>
      </c>
      <c r="E2049" s="0" t="str">
        <f aca="false">INDEX(lot!$B$2:$B$1201,MATCH(B2049,lot!$A$2:$A$1201,0))</f>
        <v>SUP-A</v>
      </c>
      <c r="F2049" s="3" t="n">
        <f aca="false">YEAR(A2049)*100+MONTH(A2049)</f>
        <v>202606</v>
      </c>
    </row>
    <row r="2050" customFormat="false" ht="15" hidden="false" customHeight="false" outlineLevel="0" collapsed="false">
      <c r="A2050" s="2" t="n">
        <v>46181</v>
      </c>
      <c r="B2050" s="3" t="s">
        <v>736</v>
      </c>
      <c r="C2050" s="0" t="n">
        <v>142</v>
      </c>
      <c r="D2050" s="0" t="n">
        <v>10</v>
      </c>
      <c r="E2050" s="0" t="str">
        <f aca="false">INDEX(lot!$B$2:$B$1201,MATCH(B2050,lot!$A$2:$A$1201,0))</f>
        <v>SUP-A</v>
      </c>
      <c r="F2050" s="3" t="n">
        <f aca="false">YEAR(A2050)*100+MONTH(A2050)</f>
        <v>202606</v>
      </c>
    </row>
    <row r="2051" customFormat="false" ht="15" hidden="false" customHeight="false" outlineLevel="0" collapsed="false">
      <c r="A2051" s="2" t="n">
        <v>46181</v>
      </c>
      <c r="B2051" s="3" t="s">
        <v>789</v>
      </c>
      <c r="C2051" s="0" t="n">
        <v>187</v>
      </c>
      <c r="D2051" s="0" t="n">
        <v>8</v>
      </c>
      <c r="E2051" s="0" t="str">
        <f aca="false">INDEX(lot!$B$2:$B$1201,MATCH(B2051,lot!$A$2:$A$1201,0))</f>
        <v>SUP-E</v>
      </c>
      <c r="F2051" s="3" t="n">
        <f aca="false">YEAR(A2051)*100+MONTH(A2051)</f>
        <v>202606</v>
      </c>
    </row>
    <row r="2052" customFormat="false" ht="15" hidden="false" customHeight="false" outlineLevel="0" collapsed="false">
      <c r="A2052" s="2" t="n">
        <v>46181</v>
      </c>
      <c r="B2052" s="3" t="s">
        <v>789</v>
      </c>
      <c r="C2052" s="0" t="n">
        <v>141</v>
      </c>
      <c r="D2052" s="0" t="n">
        <v>10</v>
      </c>
      <c r="E2052" s="0" t="str">
        <f aca="false">INDEX(lot!$B$2:$B$1201,MATCH(B2052,lot!$A$2:$A$1201,0))</f>
        <v>SUP-E</v>
      </c>
      <c r="F2052" s="3" t="n">
        <f aca="false">YEAR(A2052)*100+MONTH(A2052)</f>
        <v>202606</v>
      </c>
    </row>
    <row r="2053" customFormat="false" ht="15" hidden="false" customHeight="false" outlineLevel="0" collapsed="false">
      <c r="A2053" s="2" t="n">
        <v>46181</v>
      </c>
      <c r="B2053" s="3" t="s">
        <v>843</v>
      </c>
      <c r="C2053" s="0" t="n">
        <v>145</v>
      </c>
      <c r="D2053" s="0" t="n">
        <v>1</v>
      </c>
      <c r="E2053" s="0" t="str">
        <f aca="false">INDEX(lot!$B$2:$B$1201,MATCH(B2053,lot!$A$2:$A$1201,0))</f>
        <v>SUP-E</v>
      </c>
      <c r="F2053" s="3" t="n">
        <f aca="false">YEAR(A2053)*100+MONTH(A2053)</f>
        <v>202606</v>
      </c>
    </row>
    <row r="2054" customFormat="false" ht="15" hidden="false" customHeight="false" outlineLevel="0" collapsed="false">
      <c r="A2054" s="2" t="n">
        <v>46181</v>
      </c>
      <c r="B2054" s="3" t="s">
        <v>843</v>
      </c>
      <c r="C2054" s="0" t="n">
        <v>97</v>
      </c>
      <c r="D2054" s="0" t="n">
        <v>0</v>
      </c>
      <c r="E2054" s="0" t="str">
        <f aca="false">INDEX(lot!$B$2:$B$1201,MATCH(B2054,lot!$A$2:$A$1201,0))</f>
        <v>SUP-E</v>
      </c>
      <c r="F2054" s="3" t="n">
        <f aca="false">YEAR(A2054)*100+MONTH(A2054)</f>
        <v>202606</v>
      </c>
    </row>
    <row r="2055" customFormat="false" ht="15" hidden="false" customHeight="false" outlineLevel="0" collapsed="false">
      <c r="A2055" s="2" t="n">
        <v>46181</v>
      </c>
      <c r="B2055" s="3" t="s">
        <v>982</v>
      </c>
      <c r="C2055" s="0" t="n">
        <v>157</v>
      </c>
      <c r="D2055" s="0" t="n">
        <v>1</v>
      </c>
      <c r="E2055" s="0" t="str">
        <f aca="false">INDEX(lot!$B$2:$B$1201,MATCH(B2055,lot!$A$2:$A$1201,0))</f>
        <v>SUP-E</v>
      </c>
      <c r="F2055" s="3" t="n">
        <f aca="false">YEAR(A2055)*100+MONTH(A2055)</f>
        <v>202606</v>
      </c>
    </row>
    <row r="2056" customFormat="false" ht="15" hidden="false" customHeight="false" outlineLevel="0" collapsed="false">
      <c r="A2056" s="2" t="n">
        <v>46181</v>
      </c>
      <c r="B2056" s="3" t="s">
        <v>982</v>
      </c>
      <c r="C2056" s="0" t="n">
        <v>129</v>
      </c>
      <c r="D2056" s="0" t="n">
        <v>2</v>
      </c>
      <c r="E2056" s="0" t="str">
        <f aca="false">INDEX(lot!$B$2:$B$1201,MATCH(B2056,lot!$A$2:$A$1201,0))</f>
        <v>SUP-E</v>
      </c>
      <c r="F2056" s="3" t="n">
        <f aca="false">YEAR(A2056)*100+MONTH(A2056)</f>
        <v>202606</v>
      </c>
    </row>
    <row r="2057" customFormat="false" ht="15" hidden="false" customHeight="false" outlineLevel="0" collapsed="false">
      <c r="A2057" s="2" t="n">
        <v>46182</v>
      </c>
      <c r="B2057" s="3" t="s">
        <v>65</v>
      </c>
      <c r="C2057" s="0" t="n">
        <v>168</v>
      </c>
      <c r="D2057" s="0" t="n">
        <v>2</v>
      </c>
      <c r="E2057" s="0" t="str">
        <f aca="false">INDEX(lot!$B$2:$B$1201,MATCH(B2057,lot!$A$2:$A$1201,0))</f>
        <v>SUP-D</v>
      </c>
      <c r="F2057" s="3" t="n">
        <f aca="false">YEAR(A2057)*100+MONTH(A2057)</f>
        <v>202606</v>
      </c>
    </row>
    <row r="2058" customFormat="false" ht="15" hidden="false" customHeight="false" outlineLevel="0" collapsed="false">
      <c r="A2058" s="2" t="n">
        <v>46182</v>
      </c>
      <c r="B2058" s="3" t="s">
        <v>65</v>
      </c>
      <c r="C2058" s="0" t="n">
        <v>152</v>
      </c>
      <c r="D2058" s="0" t="n">
        <v>3</v>
      </c>
      <c r="E2058" s="0" t="str">
        <f aca="false">INDEX(lot!$B$2:$B$1201,MATCH(B2058,lot!$A$2:$A$1201,0))</f>
        <v>SUP-D</v>
      </c>
      <c r="F2058" s="3" t="n">
        <f aca="false">YEAR(A2058)*100+MONTH(A2058)</f>
        <v>202606</v>
      </c>
    </row>
    <row r="2059" customFormat="false" ht="15" hidden="false" customHeight="false" outlineLevel="0" collapsed="false">
      <c r="A2059" s="2" t="n">
        <v>46182</v>
      </c>
      <c r="B2059" s="3" t="s">
        <v>83</v>
      </c>
      <c r="C2059" s="0" t="n">
        <v>87</v>
      </c>
      <c r="D2059" s="0" t="n">
        <v>3</v>
      </c>
      <c r="E2059" s="0" t="str">
        <f aca="false">INDEX(lot!$B$2:$B$1201,MATCH(B2059,lot!$A$2:$A$1201,0))</f>
        <v>SUP-C</v>
      </c>
      <c r="F2059" s="3" t="n">
        <f aca="false">YEAR(A2059)*100+MONTH(A2059)</f>
        <v>202606</v>
      </c>
    </row>
    <row r="2060" customFormat="false" ht="15" hidden="false" customHeight="false" outlineLevel="0" collapsed="false">
      <c r="A2060" s="2" t="n">
        <v>46182</v>
      </c>
      <c r="B2060" s="3" t="s">
        <v>141</v>
      </c>
      <c r="C2060" s="0" t="n">
        <v>205</v>
      </c>
      <c r="D2060" s="0" t="n">
        <v>4</v>
      </c>
      <c r="E2060" s="0" t="str">
        <f aca="false">INDEX(lot!$B$2:$B$1201,MATCH(B2060,lot!$A$2:$A$1201,0))</f>
        <v>SUP-C</v>
      </c>
      <c r="F2060" s="3" t="n">
        <f aca="false">YEAR(A2060)*100+MONTH(A2060)</f>
        <v>202606</v>
      </c>
    </row>
    <row r="2061" customFormat="false" ht="15" hidden="false" customHeight="false" outlineLevel="0" collapsed="false">
      <c r="A2061" s="2" t="n">
        <v>46182</v>
      </c>
      <c r="B2061" s="3" t="s">
        <v>141</v>
      </c>
      <c r="C2061" s="0" t="n">
        <v>112</v>
      </c>
      <c r="D2061" s="0" t="n">
        <v>3</v>
      </c>
      <c r="E2061" s="0" t="str">
        <f aca="false">INDEX(lot!$B$2:$B$1201,MATCH(B2061,lot!$A$2:$A$1201,0))</f>
        <v>SUP-C</v>
      </c>
      <c r="F2061" s="3" t="n">
        <f aca="false">YEAR(A2061)*100+MONTH(A2061)</f>
        <v>202606</v>
      </c>
    </row>
    <row r="2062" customFormat="false" ht="15" hidden="false" customHeight="false" outlineLevel="0" collapsed="false">
      <c r="A2062" s="2" t="n">
        <v>46182</v>
      </c>
      <c r="B2062" s="3" t="s">
        <v>150</v>
      </c>
      <c r="C2062" s="0" t="n">
        <v>234</v>
      </c>
      <c r="D2062" s="0" t="n">
        <v>2</v>
      </c>
      <c r="E2062" s="0" t="str">
        <f aca="false">INDEX(lot!$B$2:$B$1201,MATCH(B2062,lot!$A$2:$A$1201,0))</f>
        <v>SUP-D</v>
      </c>
      <c r="F2062" s="3" t="n">
        <f aca="false">YEAR(A2062)*100+MONTH(A2062)</f>
        <v>202606</v>
      </c>
    </row>
    <row r="2063" customFormat="false" ht="15" hidden="false" customHeight="false" outlineLevel="0" collapsed="false">
      <c r="A2063" s="2" t="n">
        <v>46182</v>
      </c>
      <c r="B2063" s="3" t="s">
        <v>150</v>
      </c>
      <c r="C2063" s="0" t="n">
        <v>107</v>
      </c>
      <c r="D2063" s="0" t="n">
        <v>1</v>
      </c>
      <c r="E2063" s="0" t="str">
        <f aca="false">INDEX(lot!$B$2:$B$1201,MATCH(B2063,lot!$A$2:$A$1201,0))</f>
        <v>SUP-D</v>
      </c>
      <c r="F2063" s="3" t="n">
        <f aca="false">YEAR(A2063)*100+MONTH(A2063)</f>
        <v>202606</v>
      </c>
    </row>
    <row r="2064" customFormat="false" ht="15" hidden="false" customHeight="false" outlineLevel="0" collapsed="false">
      <c r="A2064" s="2" t="n">
        <v>46182</v>
      </c>
      <c r="B2064" s="3" t="s">
        <v>160</v>
      </c>
      <c r="C2064" s="0" t="n">
        <v>241</v>
      </c>
      <c r="D2064" s="0" t="n">
        <v>3</v>
      </c>
      <c r="E2064" s="0" t="str">
        <f aca="false">INDEX(lot!$B$2:$B$1201,MATCH(B2064,lot!$A$2:$A$1201,0))</f>
        <v>SUP-A</v>
      </c>
      <c r="F2064" s="3" t="n">
        <f aca="false">YEAR(A2064)*100+MONTH(A2064)</f>
        <v>202606</v>
      </c>
    </row>
    <row r="2065" customFormat="false" ht="15" hidden="false" customHeight="false" outlineLevel="0" collapsed="false">
      <c r="A2065" s="2" t="n">
        <v>46182</v>
      </c>
      <c r="B2065" s="3" t="s">
        <v>171</v>
      </c>
      <c r="C2065" s="0" t="n">
        <v>239</v>
      </c>
      <c r="D2065" s="0" t="n">
        <v>3</v>
      </c>
      <c r="E2065" s="0" t="str">
        <f aca="false">INDEX(lot!$B$2:$B$1201,MATCH(B2065,lot!$A$2:$A$1201,0))</f>
        <v>SUP-D</v>
      </c>
      <c r="F2065" s="3" t="n">
        <f aca="false">YEAR(A2065)*100+MONTH(A2065)</f>
        <v>202606</v>
      </c>
    </row>
    <row r="2066" customFormat="false" ht="15" hidden="false" customHeight="false" outlineLevel="0" collapsed="false">
      <c r="A2066" s="2" t="n">
        <v>46182</v>
      </c>
      <c r="B2066" s="3" t="s">
        <v>171</v>
      </c>
      <c r="C2066" s="0" t="n">
        <v>157</v>
      </c>
      <c r="D2066" s="0" t="n">
        <v>3</v>
      </c>
      <c r="E2066" s="0" t="str">
        <f aca="false">INDEX(lot!$B$2:$B$1201,MATCH(B2066,lot!$A$2:$A$1201,0))</f>
        <v>SUP-D</v>
      </c>
      <c r="F2066" s="3" t="n">
        <f aca="false">YEAR(A2066)*100+MONTH(A2066)</f>
        <v>202606</v>
      </c>
    </row>
    <row r="2067" customFormat="false" ht="15" hidden="false" customHeight="false" outlineLevel="0" collapsed="false">
      <c r="A2067" s="2" t="n">
        <v>46182</v>
      </c>
      <c r="B2067" s="3" t="s">
        <v>286</v>
      </c>
      <c r="C2067" s="0" t="n">
        <v>92</v>
      </c>
      <c r="D2067" s="0" t="n">
        <v>0</v>
      </c>
      <c r="E2067" s="0" t="str">
        <f aca="false">INDEX(lot!$B$2:$B$1201,MATCH(B2067,lot!$A$2:$A$1201,0))</f>
        <v>SUP-E</v>
      </c>
      <c r="F2067" s="3" t="n">
        <f aca="false">YEAR(A2067)*100+MONTH(A2067)</f>
        <v>202606</v>
      </c>
    </row>
    <row r="2068" customFormat="false" ht="15" hidden="false" customHeight="false" outlineLevel="0" collapsed="false">
      <c r="A2068" s="2" t="n">
        <v>46182</v>
      </c>
      <c r="B2068" s="3" t="s">
        <v>286</v>
      </c>
      <c r="C2068" s="0" t="n">
        <v>173</v>
      </c>
      <c r="D2068" s="0" t="n">
        <v>1</v>
      </c>
      <c r="E2068" s="0" t="str">
        <f aca="false">INDEX(lot!$B$2:$B$1201,MATCH(B2068,lot!$A$2:$A$1201,0))</f>
        <v>SUP-E</v>
      </c>
      <c r="F2068" s="3" t="n">
        <f aca="false">YEAR(A2068)*100+MONTH(A2068)</f>
        <v>202606</v>
      </c>
    </row>
    <row r="2069" customFormat="false" ht="15" hidden="false" customHeight="false" outlineLevel="0" collapsed="false">
      <c r="A2069" s="2" t="n">
        <v>46182</v>
      </c>
      <c r="B2069" s="3" t="s">
        <v>430</v>
      </c>
      <c r="C2069" s="0" t="n">
        <v>187</v>
      </c>
      <c r="D2069" s="0" t="n">
        <v>12</v>
      </c>
      <c r="E2069" s="0" t="str">
        <f aca="false">INDEX(lot!$B$2:$B$1201,MATCH(B2069,lot!$A$2:$A$1201,0))</f>
        <v>SUP-D</v>
      </c>
      <c r="F2069" s="3" t="n">
        <f aca="false">YEAR(A2069)*100+MONTH(A2069)</f>
        <v>202606</v>
      </c>
    </row>
    <row r="2070" customFormat="false" ht="15" hidden="false" customHeight="false" outlineLevel="0" collapsed="false">
      <c r="A2070" s="2" t="n">
        <v>46182</v>
      </c>
      <c r="B2070" s="3" t="s">
        <v>430</v>
      </c>
      <c r="C2070" s="0" t="n">
        <v>233</v>
      </c>
      <c r="D2070" s="0" t="n">
        <v>20</v>
      </c>
      <c r="E2070" s="0" t="str">
        <f aca="false">INDEX(lot!$B$2:$B$1201,MATCH(B2070,lot!$A$2:$A$1201,0))</f>
        <v>SUP-D</v>
      </c>
      <c r="F2070" s="3" t="n">
        <f aca="false">YEAR(A2070)*100+MONTH(A2070)</f>
        <v>202606</v>
      </c>
    </row>
    <row r="2071" customFormat="false" ht="15" hidden="false" customHeight="false" outlineLevel="0" collapsed="false">
      <c r="A2071" s="2" t="n">
        <v>46182</v>
      </c>
      <c r="B2071" s="3" t="s">
        <v>593</v>
      </c>
      <c r="C2071" s="0" t="n">
        <v>88</v>
      </c>
      <c r="D2071" s="0" t="n">
        <v>0</v>
      </c>
      <c r="E2071" s="0" t="str">
        <f aca="false">INDEX(lot!$B$2:$B$1201,MATCH(B2071,lot!$A$2:$A$1201,0))</f>
        <v>SUP-D</v>
      </c>
      <c r="F2071" s="3" t="n">
        <f aca="false">YEAR(A2071)*100+MONTH(A2071)</f>
        <v>202606</v>
      </c>
    </row>
    <row r="2072" customFormat="false" ht="15" hidden="false" customHeight="false" outlineLevel="0" collapsed="false">
      <c r="A2072" s="2" t="n">
        <v>46182</v>
      </c>
      <c r="B2072" s="3" t="s">
        <v>593</v>
      </c>
      <c r="C2072" s="0" t="n">
        <v>81</v>
      </c>
      <c r="D2072" s="0" t="n">
        <v>1</v>
      </c>
      <c r="E2072" s="0" t="str">
        <f aca="false">INDEX(lot!$B$2:$B$1201,MATCH(B2072,lot!$A$2:$A$1201,0))</f>
        <v>SUP-D</v>
      </c>
      <c r="F2072" s="3" t="n">
        <f aca="false">YEAR(A2072)*100+MONTH(A2072)</f>
        <v>202606</v>
      </c>
    </row>
    <row r="2073" customFormat="false" ht="15" hidden="false" customHeight="false" outlineLevel="0" collapsed="false">
      <c r="A2073" s="2" t="n">
        <v>46182</v>
      </c>
      <c r="B2073" s="3" t="s">
        <v>634</v>
      </c>
      <c r="C2073" s="0" t="n">
        <v>229</v>
      </c>
      <c r="D2073" s="0" t="n">
        <v>1</v>
      </c>
      <c r="E2073" s="0" t="str">
        <f aca="false">INDEX(lot!$B$2:$B$1201,MATCH(B2073,lot!$A$2:$A$1201,0))</f>
        <v>SUP-D</v>
      </c>
      <c r="F2073" s="3" t="n">
        <f aca="false">YEAR(A2073)*100+MONTH(A2073)</f>
        <v>202606</v>
      </c>
    </row>
    <row r="2074" customFormat="false" ht="15" hidden="false" customHeight="false" outlineLevel="0" collapsed="false">
      <c r="A2074" s="2" t="n">
        <v>46182</v>
      </c>
      <c r="B2074" s="3" t="s">
        <v>634</v>
      </c>
      <c r="C2074" s="0" t="n">
        <v>163</v>
      </c>
      <c r="D2074" s="0" t="n">
        <v>1</v>
      </c>
      <c r="E2074" s="0" t="str">
        <f aca="false">INDEX(lot!$B$2:$B$1201,MATCH(B2074,lot!$A$2:$A$1201,0))</f>
        <v>SUP-D</v>
      </c>
      <c r="F2074" s="3" t="n">
        <f aca="false">YEAR(A2074)*100+MONTH(A2074)</f>
        <v>202606</v>
      </c>
    </row>
    <row r="2075" customFormat="false" ht="15" hidden="false" customHeight="false" outlineLevel="0" collapsed="false">
      <c r="A2075" s="2" t="n">
        <v>46182</v>
      </c>
      <c r="B2075" s="3" t="s">
        <v>721</v>
      </c>
      <c r="C2075" s="0" t="n">
        <v>178</v>
      </c>
      <c r="D2075" s="0" t="n">
        <v>1</v>
      </c>
      <c r="E2075" s="0" t="str">
        <f aca="false">INDEX(lot!$B$2:$B$1201,MATCH(B2075,lot!$A$2:$A$1201,0))</f>
        <v>SUP-E</v>
      </c>
      <c r="F2075" s="3" t="n">
        <f aca="false">YEAR(A2075)*100+MONTH(A2075)</f>
        <v>202606</v>
      </c>
    </row>
    <row r="2076" customFormat="false" ht="15" hidden="false" customHeight="false" outlineLevel="0" collapsed="false">
      <c r="A2076" s="2" t="n">
        <v>46182</v>
      </c>
      <c r="B2076" s="3" t="s">
        <v>789</v>
      </c>
      <c r="C2076" s="0" t="n">
        <v>8</v>
      </c>
      <c r="D2076" s="0" t="n">
        <v>1</v>
      </c>
      <c r="E2076" s="0" t="str">
        <f aca="false">INDEX(lot!$B$2:$B$1201,MATCH(B2076,lot!$A$2:$A$1201,0))</f>
        <v>SUP-E</v>
      </c>
      <c r="F2076" s="3" t="n">
        <f aca="false">YEAR(A2076)*100+MONTH(A2076)</f>
        <v>202606</v>
      </c>
    </row>
    <row r="2077" customFormat="false" ht="15" hidden="false" customHeight="false" outlineLevel="0" collapsed="false">
      <c r="A2077" s="2" t="n">
        <v>46182</v>
      </c>
      <c r="B2077" s="3" t="s">
        <v>889</v>
      </c>
      <c r="C2077" s="0" t="n">
        <v>116</v>
      </c>
      <c r="D2077" s="0" t="n">
        <v>3</v>
      </c>
      <c r="E2077" s="0" t="str">
        <f aca="false">INDEX(lot!$B$2:$B$1201,MATCH(B2077,lot!$A$2:$A$1201,0))</f>
        <v>SUP-C</v>
      </c>
      <c r="F2077" s="3" t="n">
        <f aca="false">YEAR(A2077)*100+MONTH(A2077)</f>
        <v>202606</v>
      </c>
    </row>
    <row r="2078" customFormat="false" ht="15" hidden="false" customHeight="false" outlineLevel="0" collapsed="false">
      <c r="A2078" s="2" t="n">
        <v>46182</v>
      </c>
      <c r="B2078" s="3" t="s">
        <v>889</v>
      </c>
      <c r="C2078" s="0" t="n">
        <v>232</v>
      </c>
      <c r="D2078" s="0" t="n">
        <v>9</v>
      </c>
      <c r="E2078" s="0" t="str">
        <f aca="false">INDEX(lot!$B$2:$B$1201,MATCH(B2078,lot!$A$2:$A$1201,0))</f>
        <v>SUP-C</v>
      </c>
      <c r="F2078" s="3" t="n">
        <f aca="false">YEAR(A2078)*100+MONTH(A2078)</f>
        <v>202606</v>
      </c>
    </row>
    <row r="2079" customFormat="false" ht="15" hidden="false" customHeight="false" outlineLevel="0" collapsed="false">
      <c r="A2079" s="2" t="n">
        <v>46182</v>
      </c>
      <c r="B2079" s="3" t="s">
        <v>994</v>
      </c>
      <c r="C2079" s="0" t="n">
        <v>234</v>
      </c>
      <c r="D2079" s="0" t="n">
        <v>0</v>
      </c>
      <c r="E2079" s="0" t="str">
        <f aca="false">INDEX(lot!$B$2:$B$1201,MATCH(B2079,lot!$A$2:$A$1201,0))</f>
        <v>SUP-A</v>
      </c>
      <c r="F2079" s="3" t="n">
        <f aca="false">YEAR(A2079)*100+MONTH(A2079)</f>
        <v>202606</v>
      </c>
    </row>
    <row r="2080" customFormat="false" ht="15" hidden="false" customHeight="false" outlineLevel="0" collapsed="false">
      <c r="A2080" s="2" t="n">
        <v>46182</v>
      </c>
      <c r="B2080" s="3" t="s">
        <v>994</v>
      </c>
      <c r="C2080" s="0" t="n">
        <v>75</v>
      </c>
      <c r="D2080" s="0" t="n">
        <v>0</v>
      </c>
      <c r="E2080" s="0" t="str">
        <f aca="false">INDEX(lot!$B$2:$B$1201,MATCH(B2080,lot!$A$2:$A$1201,0))</f>
        <v>SUP-A</v>
      </c>
      <c r="F2080" s="3" t="n">
        <f aca="false">YEAR(A2080)*100+MONTH(A2080)</f>
        <v>202606</v>
      </c>
    </row>
    <row r="2081" customFormat="false" ht="15" hidden="false" customHeight="false" outlineLevel="0" collapsed="false">
      <c r="A2081" s="2" t="n">
        <v>46182</v>
      </c>
      <c r="B2081" s="3" t="s">
        <v>1004</v>
      </c>
      <c r="C2081" s="0" t="n">
        <v>74</v>
      </c>
      <c r="D2081" s="0" t="n">
        <v>2</v>
      </c>
      <c r="E2081" s="0" t="str">
        <f aca="false">INDEX(lot!$B$2:$B$1201,MATCH(B2081,lot!$A$2:$A$1201,0))</f>
        <v>SUP-C</v>
      </c>
      <c r="F2081" s="3" t="n">
        <f aca="false">YEAR(A2081)*100+MONTH(A2081)</f>
        <v>202606</v>
      </c>
    </row>
    <row r="2082" customFormat="false" ht="15" hidden="false" customHeight="false" outlineLevel="0" collapsed="false">
      <c r="A2082" s="2" t="n">
        <v>46182</v>
      </c>
      <c r="B2082" s="3" t="s">
        <v>1004</v>
      </c>
      <c r="C2082" s="0" t="n">
        <v>168</v>
      </c>
      <c r="D2082" s="0" t="n">
        <v>7</v>
      </c>
      <c r="E2082" s="0" t="str">
        <f aca="false">INDEX(lot!$B$2:$B$1201,MATCH(B2082,lot!$A$2:$A$1201,0))</f>
        <v>SUP-C</v>
      </c>
      <c r="F2082" s="3" t="n">
        <f aca="false">YEAR(A2082)*100+MONTH(A2082)</f>
        <v>202606</v>
      </c>
    </row>
    <row r="2083" customFormat="false" ht="15" hidden="false" customHeight="false" outlineLevel="0" collapsed="false">
      <c r="A2083" s="2" t="n">
        <v>46182</v>
      </c>
      <c r="B2083" s="3" t="s">
        <v>1161</v>
      </c>
      <c r="C2083" s="0" t="n">
        <v>89</v>
      </c>
      <c r="D2083" s="0" t="n">
        <v>2</v>
      </c>
      <c r="E2083" s="0" t="str">
        <f aca="false">INDEX(lot!$B$2:$B$1201,MATCH(B2083,lot!$A$2:$A$1201,0))</f>
        <v>SUP-D</v>
      </c>
      <c r="F2083" s="3" t="n">
        <f aca="false">YEAR(A2083)*100+MONTH(A2083)</f>
        <v>202606</v>
      </c>
    </row>
    <row r="2084" customFormat="false" ht="15" hidden="false" customHeight="false" outlineLevel="0" collapsed="false">
      <c r="A2084" s="2" t="n">
        <v>46183</v>
      </c>
      <c r="B2084" s="3" t="s">
        <v>16</v>
      </c>
      <c r="C2084" s="0" t="n">
        <v>88</v>
      </c>
      <c r="D2084" s="0" t="n">
        <v>3</v>
      </c>
      <c r="E2084" s="0" t="str">
        <f aca="false">INDEX(lot!$B$2:$B$1201,MATCH(B2084,lot!$A$2:$A$1201,0))</f>
        <v>SUP-C</v>
      </c>
      <c r="F2084" s="3" t="n">
        <f aca="false">YEAR(A2084)*100+MONTH(A2084)</f>
        <v>202606</v>
      </c>
    </row>
    <row r="2085" customFormat="false" ht="15" hidden="false" customHeight="false" outlineLevel="0" collapsed="false">
      <c r="A2085" s="2" t="n">
        <v>46183</v>
      </c>
      <c r="B2085" s="3" t="s">
        <v>42</v>
      </c>
      <c r="C2085" s="0" t="n">
        <v>136</v>
      </c>
      <c r="D2085" s="0" t="n">
        <v>0</v>
      </c>
      <c r="E2085" s="0" t="str">
        <f aca="false">INDEX(lot!$B$2:$B$1201,MATCH(B2085,lot!$A$2:$A$1201,0))</f>
        <v>SUP-D</v>
      </c>
      <c r="F2085" s="3" t="n">
        <f aca="false">YEAR(A2085)*100+MONTH(A2085)</f>
        <v>202606</v>
      </c>
    </row>
    <row r="2086" customFormat="false" ht="15" hidden="false" customHeight="false" outlineLevel="0" collapsed="false">
      <c r="A2086" s="2" t="n">
        <v>46183</v>
      </c>
      <c r="B2086" s="3" t="s">
        <v>65</v>
      </c>
      <c r="C2086" s="0" t="n">
        <v>74</v>
      </c>
      <c r="D2086" s="0" t="n">
        <v>1</v>
      </c>
      <c r="E2086" s="0" t="str">
        <f aca="false">INDEX(lot!$B$2:$B$1201,MATCH(B2086,lot!$A$2:$A$1201,0))</f>
        <v>SUP-D</v>
      </c>
      <c r="F2086" s="3" t="n">
        <f aca="false">YEAR(A2086)*100+MONTH(A2086)</f>
        <v>202606</v>
      </c>
    </row>
    <row r="2087" customFormat="false" ht="15" hidden="false" customHeight="false" outlineLevel="0" collapsed="false">
      <c r="A2087" s="2" t="n">
        <v>46183</v>
      </c>
      <c r="B2087" s="3" t="s">
        <v>80</v>
      </c>
      <c r="C2087" s="0" t="n">
        <v>88</v>
      </c>
      <c r="D2087" s="0" t="n">
        <v>1</v>
      </c>
      <c r="E2087" s="0" t="str">
        <f aca="false">INDEX(lot!$B$2:$B$1201,MATCH(B2087,lot!$A$2:$A$1201,0))</f>
        <v>SUP-E</v>
      </c>
      <c r="F2087" s="3" t="n">
        <f aca="false">YEAR(A2087)*100+MONTH(A2087)</f>
        <v>202606</v>
      </c>
    </row>
    <row r="2088" customFormat="false" ht="15" hidden="false" customHeight="false" outlineLevel="0" collapsed="false">
      <c r="A2088" s="2" t="n">
        <v>46183</v>
      </c>
      <c r="B2088" s="3" t="s">
        <v>80</v>
      </c>
      <c r="C2088" s="0" t="n">
        <v>176</v>
      </c>
      <c r="D2088" s="0" t="n">
        <v>0</v>
      </c>
      <c r="E2088" s="0" t="str">
        <f aca="false">INDEX(lot!$B$2:$B$1201,MATCH(B2088,lot!$A$2:$A$1201,0))</f>
        <v>SUP-E</v>
      </c>
      <c r="F2088" s="3" t="n">
        <f aca="false">YEAR(A2088)*100+MONTH(A2088)</f>
        <v>202606</v>
      </c>
    </row>
    <row r="2089" customFormat="false" ht="15" hidden="false" customHeight="false" outlineLevel="0" collapsed="false">
      <c r="A2089" s="2" t="n">
        <v>46183</v>
      </c>
      <c r="B2089" s="3" t="s">
        <v>141</v>
      </c>
      <c r="C2089" s="0" t="n">
        <v>92</v>
      </c>
      <c r="D2089" s="0" t="n">
        <v>2</v>
      </c>
      <c r="E2089" s="0" t="str">
        <f aca="false">INDEX(lot!$B$2:$B$1201,MATCH(B2089,lot!$A$2:$A$1201,0))</f>
        <v>SUP-C</v>
      </c>
      <c r="F2089" s="3" t="n">
        <f aca="false">YEAR(A2089)*100+MONTH(A2089)</f>
        <v>202606</v>
      </c>
    </row>
    <row r="2090" customFormat="false" ht="15" hidden="false" customHeight="false" outlineLevel="0" collapsed="false">
      <c r="A2090" s="2" t="n">
        <v>46183</v>
      </c>
      <c r="B2090" s="3" t="s">
        <v>150</v>
      </c>
      <c r="C2090" s="0" t="n">
        <v>97</v>
      </c>
      <c r="D2090" s="0" t="n">
        <v>1</v>
      </c>
      <c r="E2090" s="0" t="str">
        <f aca="false">INDEX(lot!$B$2:$B$1201,MATCH(B2090,lot!$A$2:$A$1201,0))</f>
        <v>SUP-D</v>
      </c>
      <c r="F2090" s="3" t="n">
        <f aca="false">YEAR(A2090)*100+MONTH(A2090)</f>
        <v>202606</v>
      </c>
    </row>
    <row r="2091" customFormat="false" ht="15" hidden="false" customHeight="false" outlineLevel="0" collapsed="false">
      <c r="A2091" s="2" t="n">
        <v>46183</v>
      </c>
      <c r="B2091" s="3" t="s">
        <v>160</v>
      </c>
      <c r="C2091" s="0" t="n">
        <v>244</v>
      </c>
      <c r="D2091" s="0" t="n">
        <v>2</v>
      </c>
      <c r="E2091" s="0" t="str">
        <f aca="false">INDEX(lot!$B$2:$B$1201,MATCH(B2091,lot!$A$2:$A$1201,0))</f>
        <v>SUP-A</v>
      </c>
      <c r="F2091" s="3" t="n">
        <f aca="false">YEAR(A2091)*100+MONTH(A2091)</f>
        <v>202606</v>
      </c>
    </row>
    <row r="2092" customFormat="false" ht="15" hidden="false" customHeight="false" outlineLevel="0" collapsed="false">
      <c r="A2092" s="2" t="n">
        <v>46183</v>
      </c>
      <c r="B2092" s="3" t="s">
        <v>160</v>
      </c>
      <c r="C2092" s="0" t="n">
        <v>102</v>
      </c>
      <c r="D2092" s="0" t="n">
        <v>0</v>
      </c>
      <c r="E2092" s="0" t="str">
        <f aca="false">INDEX(lot!$B$2:$B$1201,MATCH(B2092,lot!$A$2:$A$1201,0))</f>
        <v>SUP-A</v>
      </c>
      <c r="F2092" s="3" t="n">
        <f aca="false">YEAR(A2092)*100+MONTH(A2092)</f>
        <v>202606</v>
      </c>
    </row>
    <row r="2093" customFormat="false" ht="15" hidden="false" customHeight="false" outlineLevel="0" collapsed="false">
      <c r="A2093" s="2" t="n">
        <v>46183</v>
      </c>
      <c r="B2093" s="3" t="s">
        <v>228</v>
      </c>
      <c r="C2093" s="0" t="n">
        <v>125</v>
      </c>
      <c r="D2093" s="0" t="n">
        <v>4</v>
      </c>
      <c r="E2093" s="0" t="str">
        <f aca="false">INDEX(lot!$B$2:$B$1201,MATCH(B2093,lot!$A$2:$A$1201,0))</f>
        <v>SUP-C</v>
      </c>
      <c r="F2093" s="3" t="n">
        <f aca="false">YEAR(A2093)*100+MONTH(A2093)</f>
        <v>202606</v>
      </c>
    </row>
    <row r="2094" customFormat="false" ht="15" hidden="false" customHeight="false" outlineLevel="0" collapsed="false">
      <c r="A2094" s="2" t="n">
        <v>46183</v>
      </c>
      <c r="B2094" s="3" t="s">
        <v>268</v>
      </c>
      <c r="C2094" s="0" t="n">
        <v>229</v>
      </c>
      <c r="D2094" s="0" t="n">
        <v>1</v>
      </c>
      <c r="E2094" s="0" t="str">
        <f aca="false">INDEX(lot!$B$2:$B$1201,MATCH(B2094,lot!$A$2:$A$1201,0))</f>
        <v>SUP-A</v>
      </c>
      <c r="F2094" s="3" t="n">
        <f aca="false">YEAR(A2094)*100+MONTH(A2094)</f>
        <v>202606</v>
      </c>
    </row>
    <row r="2095" customFormat="false" ht="15" hidden="false" customHeight="false" outlineLevel="0" collapsed="false">
      <c r="A2095" s="2" t="n">
        <v>46183</v>
      </c>
      <c r="B2095" s="3" t="s">
        <v>268</v>
      </c>
      <c r="C2095" s="0" t="n">
        <v>107</v>
      </c>
      <c r="D2095" s="0" t="n">
        <v>1</v>
      </c>
      <c r="E2095" s="0" t="str">
        <f aca="false">INDEX(lot!$B$2:$B$1201,MATCH(B2095,lot!$A$2:$A$1201,0))</f>
        <v>SUP-A</v>
      </c>
      <c r="F2095" s="3" t="n">
        <f aca="false">YEAR(A2095)*100+MONTH(A2095)</f>
        <v>202606</v>
      </c>
    </row>
    <row r="2096" customFormat="false" ht="15" hidden="false" customHeight="false" outlineLevel="0" collapsed="false">
      <c r="A2096" s="2" t="n">
        <v>46183</v>
      </c>
      <c r="B2096" s="3" t="s">
        <v>404</v>
      </c>
      <c r="C2096" s="0" t="n">
        <v>130</v>
      </c>
      <c r="D2096" s="0" t="n">
        <v>0</v>
      </c>
      <c r="E2096" s="0" t="str">
        <f aca="false">INDEX(lot!$B$2:$B$1201,MATCH(B2096,lot!$A$2:$A$1201,0))</f>
        <v>SUP-E</v>
      </c>
      <c r="F2096" s="3" t="n">
        <f aca="false">YEAR(A2096)*100+MONTH(A2096)</f>
        <v>202606</v>
      </c>
    </row>
    <row r="2097" customFormat="false" ht="15" hidden="false" customHeight="false" outlineLevel="0" collapsed="false">
      <c r="A2097" s="2" t="n">
        <v>46183</v>
      </c>
      <c r="B2097" s="3" t="s">
        <v>404</v>
      </c>
      <c r="C2097" s="0" t="n">
        <v>168</v>
      </c>
      <c r="D2097" s="0" t="n">
        <v>3</v>
      </c>
      <c r="E2097" s="0" t="str">
        <f aca="false">INDEX(lot!$B$2:$B$1201,MATCH(B2097,lot!$A$2:$A$1201,0))</f>
        <v>SUP-E</v>
      </c>
      <c r="F2097" s="3" t="n">
        <f aca="false">YEAR(A2097)*100+MONTH(A2097)</f>
        <v>202606</v>
      </c>
    </row>
    <row r="2098" customFormat="false" ht="15" hidden="false" customHeight="false" outlineLevel="0" collapsed="false">
      <c r="A2098" s="2" t="n">
        <v>46183</v>
      </c>
      <c r="B2098" s="3" t="s">
        <v>437</v>
      </c>
      <c r="C2098" s="0" t="n">
        <v>151</v>
      </c>
      <c r="D2098" s="0" t="n">
        <v>2</v>
      </c>
      <c r="E2098" s="0" t="str">
        <f aca="false">INDEX(lot!$B$2:$B$1201,MATCH(B2098,lot!$A$2:$A$1201,0))</f>
        <v>SUP-D</v>
      </c>
      <c r="F2098" s="3" t="n">
        <f aca="false">YEAR(A2098)*100+MONTH(A2098)</f>
        <v>202606</v>
      </c>
    </row>
    <row r="2099" customFormat="false" ht="15" hidden="false" customHeight="false" outlineLevel="0" collapsed="false">
      <c r="A2099" s="2" t="n">
        <v>46183</v>
      </c>
      <c r="B2099" s="3" t="s">
        <v>438</v>
      </c>
      <c r="C2099" s="0" t="n">
        <v>232</v>
      </c>
      <c r="D2099" s="0" t="n">
        <v>1</v>
      </c>
      <c r="E2099" s="0" t="str">
        <f aca="false">INDEX(lot!$B$2:$B$1201,MATCH(B2099,lot!$A$2:$A$1201,0))</f>
        <v>SUP-A</v>
      </c>
      <c r="F2099" s="3" t="n">
        <f aca="false">YEAR(A2099)*100+MONTH(A2099)</f>
        <v>202606</v>
      </c>
    </row>
    <row r="2100" customFormat="false" ht="15" hidden="false" customHeight="false" outlineLevel="0" collapsed="false">
      <c r="A2100" s="2" t="n">
        <v>46183</v>
      </c>
      <c r="B2100" s="3" t="s">
        <v>556</v>
      </c>
      <c r="C2100" s="0" t="n">
        <v>162</v>
      </c>
      <c r="D2100" s="0" t="n">
        <v>1</v>
      </c>
      <c r="E2100" s="0" t="str">
        <f aca="false">INDEX(lot!$B$2:$B$1201,MATCH(B2100,lot!$A$2:$A$1201,0))</f>
        <v>SUP-E</v>
      </c>
      <c r="F2100" s="3" t="n">
        <f aca="false">YEAR(A2100)*100+MONTH(A2100)</f>
        <v>202606</v>
      </c>
    </row>
    <row r="2101" customFormat="false" ht="15" hidden="false" customHeight="false" outlineLevel="0" collapsed="false">
      <c r="A2101" s="2" t="n">
        <v>46183</v>
      </c>
      <c r="B2101" s="3" t="s">
        <v>593</v>
      </c>
      <c r="C2101" s="0" t="n">
        <v>188</v>
      </c>
      <c r="D2101" s="0" t="n">
        <v>1</v>
      </c>
      <c r="E2101" s="0" t="str">
        <f aca="false">INDEX(lot!$B$2:$B$1201,MATCH(B2101,lot!$A$2:$A$1201,0))</f>
        <v>SUP-D</v>
      </c>
      <c r="F2101" s="3" t="n">
        <f aca="false">YEAR(A2101)*100+MONTH(A2101)</f>
        <v>202606</v>
      </c>
    </row>
    <row r="2102" customFormat="false" ht="15" hidden="false" customHeight="false" outlineLevel="0" collapsed="false">
      <c r="A2102" s="2" t="n">
        <v>46183</v>
      </c>
      <c r="B2102" s="3" t="s">
        <v>634</v>
      </c>
      <c r="C2102" s="0" t="n">
        <v>155</v>
      </c>
      <c r="D2102" s="0" t="n">
        <v>2</v>
      </c>
      <c r="E2102" s="0" t="str">
        <f aca="false">INDEX(lot!$B$2:$B$1201,MATCH(B2102,lot!$A$2:$A$1201,0))</f>
        <v>SUP-D</v>
      </c>
      <c r="F2102" s="3" t="n">
        <f aca="false">YEAR(A2102)*100+MONTH(A2102)</f>
        <v>202606</v>
      </c>
    </row>
    <row r="2103" customFormat="false" ht="15" hidden="false" customHeight="false" outlineLevel="0" collapsed="false">
      <c r="A2103" s="2" t="n">
        <v>46183</v>
      </c>
      <c r="B2103" s="3" t="s">
        <v>673</v>
      </c>
      <c r="C2103" s="0" t="n">
        <v>76</v>
      </c>
      <c r="D2103" s="0" t="n">
        <v>0</v>
      </c>
      <c r="E2103" s="0" t="str">
        <f aca="false">INDEX(lot!$B$2:$B$1201,MATCH(B2103,lot!$A$2:$A$1201,0))</f>
        <v>SUP-D</v>
      </c>
      <c r="F2103" s="3" t="n">
        <f aca="false">YEAR(A2103)*100+MONTH(A2103)</f>
        <v>202606</v>
      </c>
    </row>
    <row r="2104" customFormat="false" ht="15" hidden="false" customHeight="false" outlineLevel="0" collapsed="false">
      <c r="A2104" s="2" t="n">
        <v>46183</v>
      </c>
      <c r="B2104" s="3" t="s">
        <v>742</v>
      </c>
      <c r="C2104" s="0" t="n">
        <v>237</v>
      </c>
      <c r="D2104" s="0" t="n">
        <v>0</v>
      </c>
      <c r="E2104" s="0" t="str">
        <f aca="false">INDEX(lot!$B$2:$B$1201,MATCH(B2104,lot!$A$2:$A$1201,0))</f>
        <v>SUP-D</v>
      </c>
      <c r="F2104" s="3" t="n">
        <f aca="false">YEAR(A2104)*100+MONTH(A2104)</f>
        <v>202606</v>
      </c>
    </row>
    <row r="2105" customFormat="false" ht="15" hidden="false" customHeight="false" outlineLevel="0" collapsed="false">
      <c r="A2105" s="2" t="n">
        <v>46183</v>
      </c>
      <c r="B2105" s="3" t="s">
        <v>744</v>
      </c>
      <c r="C2105" s="0" t="n">
        <v>205</v>
      </c>
      <c r="D2105" s="0" t="n">
        <v>10</v>
      </c>
      <c r="E2105" s="0" t="str">
        <f aca="false">INDEX(lot!$B$2:$B$1201,MATCH(B2105,lot!$A$2:$A$1201,0))</f>
        <v>SUP-D</v>
      </c>
      <c r="F2105" s="3" t="n">
        <f aca="false">YEAR(A2105)*100+MONTH(A2105)</f>
        <v>202606</v>
      </c>
    </row>
    <row r="2106" customFormat="false" ht="15" hidden="false" customHeight="false" outlineLevel="0" collapsed="false">
      <c r="A2106" s="2" t="n">
        <v>46183</v>
      </c>
      <c r="B2106" s="3" t="s">
        <v>744</v>
      </c>
      <c r="C2106" s="0" t="n">
        <v>195</v>
      </c>
      <c r="D2106" s="0" t="n">
        <v>16</v>
      </c>
      <c r="E2106" s="0" t="str">
        <f aca="false">INDEX(lot!$B$2:$B$1201,MATCH(B2106,lot!$A$2:$A$1201,0))</f>
        <v>SUP-D</v>
      </c>
      <c r="F2106" s="3" t="n">
        <f aca="false">YEAR(A2106)*100+MONTH(A2106)</f>
        <v>202606</v>
      </c>
    </row>
    <row r="2107" customFormat="false" ht="15" hidden="false" customHeight="false" outlineLevel="0" collapsed="false">
      <c r="A2107" s="2" t="n">
        <v>46183</v>
      </c>
      <c r="B2107" s="3" t="s">
        <v>889</v>
      </c>
      <c r="C2107" s="0" t="n">
        <v>201</v>
      </c>
      <c r="D2107" s="0" t="n">
        <v>5</v>
      </c>
      <c r="E2107" s="0" t="str">
        <f aca="false">INDEX(lot!$B$2:$B$1201,MATCH(B2107,lot!$A$2:$A$1201,0))</f>
        <v>SUP-C</v>
      </c>
      <c r="F2107" s="3" t="n">
        <f aca="false">YEAR(A2107)*100+MONTH(A2107)</f>
        <v>202606</v>
      </c>
    </row>
    <row r="2108" customFormat="false" ht="15" hidden="false" customHeight="false" outlineLevel="0" collapsed="false">
      <c r="A2108" s="2" t="n">
        <v>46183</v>
      </c>
      <c r="B2108" s="3" t="s">
        <v>889</v>
      </c>
      <c r="C2108" s="0" t="n">
        <v>106</v>
      </c>
      <c r="D2108" s="0" t="n">
        <v>4</v>
      </c>
      <c r="E2108" s="0" t="str">
        <f aca="false">INDEX(lot!$B$2:$B$1201,MATCH(B2108,lot!$A$2:$A$1201,0))</f>
        <v>SUP-C</v>
      </c>
      <c r="F2108" s="3" t="n">
        <f aca="false">YEAR(A2108)*100+MONTH(A2108)</f>
        <v>202606</v>
      </c>
    </row>
    <row r="2109" customFormat="false" ht="15" hidden="false" customHeight="false" outlineLevel="0" collapsed="false">
      <c r="A2109" s="2" t="n">
        <v>46183</v>
      </c>
      <c r="B2109" s="3" t="s">
        <v>1004</v>
      </c>
      <c r="C2109" s="0" t="n">
        <v>188</v>
      </c>
      <c r="D2109" s="0" t="n">
        <v>4</v>
      </c>
      <c r="E2109" s="0" t="str">
        <f aca="false">INDEX(lot!$B$2:$B$1201,MATCH(B2109,lot!$A$2:$A$1201,0))</f>
        <v>SUP-C</v>
      </c>
      <c r="F2109" s="3" t="n">
        <f aca="false">YEAR(A2109)*100+MONTH(A2109)</f>
        <v>202606</v>
      </c>
    </row>
    <row r="2110" customFormat="false" ht="15" hidden="false" customHeight="false" outlineLevel="0" collapsed="false">
      <c r="A2110" s="2" t="n">
        <v>46183</v>
      </c>
      <c r="B2110" s="3" t="s">
        <v>1004</v>
      </c>
      <c r="C2110" s="0" t="n">
        <v>202</v>
      </c>
      <c r="D2110" s="0" t="n">
        <v>3</v>
      </c>
      <c r="E2110" s="0" t="str">
        <f aca="false">INDEX(lot!$B$2:$B$1201,MATCH(B2110,lot!$A$2:$A$1201,0))</f>
        <v>SUP-C</v>
      </c>
      <c r="F2110" s="3" t="n">
        <f aca="false">YEAR(A2110)*100+MONTH(A2110)</f>
        <v>202606</v>
      </c>
    </row>
    <row r="2111" customFormat="false" ht="15" hidden="false" customHeight="false" outlineLevel="0" collapsed="false">
      <c r="A2111" s="2" t="n">
        <v>46184</v>
      </c>
      <c r="B2111" s="3" t="s">
        <v>42</v>
      </c>
      <c r="C2111" s="0" t="n">
        <v>96</v>
      </c>
      <c r="D2111" s="0" t="n">
        <v>1</v>
      </c>
      <c r="E2111" s="0" t="str">
        <f aca="false">INDEX(lot!$B$2:$B$1201,MATCH(B2111,lot!$A$2:$A$1201,0))</f>
        <v>SUP-D</v>
      </c>
      <c r="F2111" s="3" t="n">
        <f aca="false">YEAR(A2111)*100+MONTH(A2111)</f>
        <v>202606</v>
      </c>
    </row>
    <row r="2112" customFormat="false" ht="15" hidden="false" customHeight="false" outlineLevel="0" collapsed="false">
      <c r="A2112" s="2" t="n">
        <v>46184</v>
      </c>
      <c r="B2112" s="3" t="s">
        <v>42</v>
      </c>
      <c r="C2112" s="0" t="n">
        <v>146</v>
      </c>
      <c r="D2112" s="0" t="n">
        <v>1</v>
      </c>
      <c r="E2112" s="0" t="str">
        <f aca="false">INDEX(lot!$B$2:$B$1201,MATCH(B2112,lot!$A$2:$A$1201,0))</f>
        <v>SUP-D</v>
      </c>
      <c r="F2112" s="3" t="n">
        <f aca="false">YEAR(A2112)*100+MONTH(A2112)</f>
        <v>202606</v>
      </c>
    </row>
    <row r="2113" customFormat="false" ht="15" hidden="false" customHeight="false" outlineLevel="0" collapsed="false">
      <c r="A2113" s="2" t="n">
        <v>46184</v>
      </c>
      <c r="B2113" s="3" t="s">
        <v>72</v>
      </c>
      <c r="C2113" s="0" t="n">
        <v>113</v>
      </c>
      <c r="D2113" s="0" t="n">
        <v>3</v>
      </c>
      <c r="E2113" s="0" t="str">
        <f aca="false">INDEX(lot!$B$2:$B$1201,MATCH(B2113,lot!$A$2:$A$1201,0))</f>
        <v>SUP-A</v>
      </c>
      <c r="F2113" s="3" t="n">
        <f aca="false">YEAR(A2113)*100+MONTH(A2113)</f>
        <v>202606</v>
      </c>
    </row>
    <row r="2114" customFormat="false" ht="15" hidden="false" customHeight="false" outlineLevel="0" collapsed="false">
      <c r="A2114" s="2" t="n">
        <v>46184</v>
      </c>
      <c r="B2114" s="3" t="s">
        <v>80</v>
      </c>
      <c r="C2114" s="0" t="n">
        <v>158</v>
      </c>
      <c r="D2114" s="0" t="n">
        <v>2</v>
      </c>
      <c r="E2114" s="0" t="str">
        <f aca="false">INDEX(lot!$B$2:$B$1201,MATCH(B2114,lot!$A$2:$A$1201,0))</f>
        <v>SUP-E</v>
      </c>
      <c r="F2114" s="3" t="n">
        <f aca="false">YEAR(A2114)*100+MONTH(A2114)</f>
        <v>202606</v>
      </c>
    </row>
    <row r="2115" customFormat="false" ht="15" hidden="false" customHeight="false" outlineLevel="0" collapsed="false">
      <c r="A2115" s="2" t="n">
        <v>46184</v>
      </c>
      <c r="B2115" s="3" t="s">
        <v>80</v>
      </c>
      <c r="C2115" s="0" t="n">
        <v>195</v>
      </c>
      <c r="D2115" s="0" t="n">
        <v>2</v>
      </c>
      <c r="E2115" s="0" t="str">
        <f aca="false">INDEX(lot!$B$2:$B$1201,MATCH(B2115,lot!$A$2:$A$1201,0))</f>
        <v>SUP-E</v>
      </c>
      <c r="F2115" s="3" t="n">
        <f aca="false">YEAR(A2115)*100+MONTH(A2115)</f>
        <v>202606</v>
      </c>
    </row>
    <row r="2116" customFormat="false" ht="15" hidden="false" customHeight="false" outlineLevel="0" collapsed="false">
      <c r="A2116" s="2" t="n">
        <v>46184</v>
      </c>
      <c r="B2116" s="3" t="s">
        <v>228</v>
      </c>
      <c r="C2116" s="0" t="n">
        <v>198</v>
      </c>
      <c r="D2116" s="0" t="n">
        <v>4</v>
      </c>
      <c r="E2116" s="0" t="str">
        <f aca="false">INDEX(lot!$B$2:$B$1201,MATCH(B2116,lot!$A$2:$A$1201,0))</f>
        <v>SUP-C</v>
      </c>
      <c r="F2116" s="3" t="n">
        <f aca="false">YEAR(A2116)*100+MONTH(A2116)</f>
        <v>202606</v>
      </c>
    </row>
    <row r="2117" customFormat="false" ht="15" hidden="false" customHeight="false" outlineLevel="0" collapsed="false">
      <c r="A2117" s="2" t="n">
        <v>46184</v>
      </c>
      <c r="B2117" s="3" t="s">
        <v>268</v>
      </c>
      <c r="C2117" s="0" t="n">
        <v>190</v>
      </c>
      <c r="D2117" s="0" t="n">
        <v>2</v>
      </c>
      <c r="E2117" s="0" t="str">
        <f aca="false">INDEX(lot!$B$2:$B$1201,MATCH(B2117,lot!$A$2:$A$1201,0))</f>
        <v>SUP-A</v>
      </c>
      <c r="F2117" s="3" t="n">
        <f aca="false">YEAR(A2117)*100+MONTH(A2117)</f>
        <v>202606</v>
      </c>
    </row>
    <row r="2118" customFormat="false" ht="15" hidden="false" customHeight="false" outlineLevel="0" collapsed="false">
      <c r="A2118" s="2" t="n">
        <v>46184</v>
      </c>
      <c r="B2118" s="3" t="s">
        <v>350</v>
      </c>
      <c r="C2118" s="0" t="n">
        <v>210</v>
      </c>
      <c r="D2118" s="0" t="n">
        <v>2</v>
      </c>
      <c r="E2118" s="0" t="str">
        <f aca="false">INDEX(lot!$B$2:$B$1201,MATCH(B2118,lot!$A$2:$A$1201,0))</f>
        <v>SUP-B</v>
      </c>
      <c r="F2118" s="3" t="n">
        <f aca="false">YEAR(A2118)*100+MONTH(A2118)</f>
        <v>202606</v>
      </c>
    </row>
    <row r="2119" customFormat="false" ht="15" hidden="false" customHeight="false" outlineLevel="0" collapsed="false">
      <c r="A2119" s="2" t="n">
        <v>46184</v>
      </c>
      <c r="B2119" s="3" t="s">
        <v>350</v>
      </c>
      <c r="C2119" s="0" t="n">
        <v>109</v>
      </c>
      <c r="D2119" s="0" t="n">
        <v>1</v>
      </c>
      <c r="E2119" s="0" t="str">
        <f aca="false">INDEX(lot!$B$2:$B$1201,MATCH(B2119,lot!$A$2:$A$1201,0))</f>
        <v>SUP-B</v>
      </c>
      <c r="F2119" s="3" t="n">
        <f aca="false">YEAR(A2119)*100+MONTH(A2119)</f>
        <v>202606</v>
      </c>
    </row>
    <row r="2120" customFormat="false" ht="15" hidden="false" customHeight="false" outlineLevel="0" collapsed="false">
      <c r="A2120" s="2" t="n">
        <v>46184</v>
      </c>
      <c r="B2120" s="3" t="s">
        <v>361</v>
      </c>
      <c r="C2120" s="0" t="n">
        <v>227</v>
      </c>
      <c r="D2120" s="0" t="n">
        <v>1</v>
      </c>
      <c r="E2120" s="0" t="str">
        <f aca="false">INDEX(lot!$B$2:$B$1201,MATCH(B2120,lot!$A$2:$A$1201,0))</f>
        <v>SUP-D</v>
      </c>
      <c r="F2120" s="3" t="n">
        <f aca="false">YEAR(A2120)*100+MONTH(A2120)</f>
        <v>202606</v>
      </c>
    </row>
    <row r="2121" customFormat="false" ht="15" hidden="false" customHeight="false" outlineLevel="0" collapsed="false">
      <c r="A2121" s="2" t="n">
        <v>46184</v>
      </c>
      <c r="B2121" s="3" t="s">
        <v>404</v>
      </c>
      <c r="C2121" s="0" t="n">
        <v>135</v>
      </c>
      <c r="D2121" s="0" t="n">
        <v>1</v>
      </c>
      <c r="E2121" s="0" t="str">
        <f aca="false">INDEX(lot!$B$2:$B$1201,MATCH(B2121,lot!$A$2:$A$1201,0))</f>
        <v>SUP-E</v>
      </c>
      <c r="F2121" s="3" t="n">
        <f aca="false">YEAR(A2121)*100+MONTH(A2121)</f>
        <v>202606</v>
      </c>
    </row>
    <row r="2122" customFormat="false" ht="15" hidden="false" customHeight="false" outlineLevel="0" collapsed="false">
      <c r="A2122" s="2" t="n">
        <v>46184</v>
      </c>
      <c r="B2122" s="3" t="s">
        <v>404</v>
      </c>
      <c r="C2122" s="0" t="n">
        <v>113</v>
      </c>
      <c r="D2122" s="0" t="n">
        <v>1</v>
      </c>
      <c r="E2122" s="0" t="str">
        <f aca="false">INDEX(lot!$B$2:$B$1201,MATCH(B2122,lot!$A$2:$A$1201,0))</f>
        <v>SUP-E</v>
      </c>
      <c r="F2122" s="3" t="n">
        <f aca="false">YEAR(A2122)*100+MONTH(A2122)</f>
        <v>202606</v>
      </c>
    </row>
    <row r="2123" customFormat="false" ht="15" hidden="false" customHeight="false" outlineLevel="0" collapsed="false">
      <c r="A2123" s="2" t="n">
        <v>46184</v>
      </c>
      <c r="B2123" s="3" t="s">
        <v>428</v>
      </c>
      <c r="C2123" s="0" t="n">
        <v>126</v>
      </c>
      <c r="D2123" s="0" t="n">
        <v>3</v>
      </c>
      <c r="E2123" s="0" t="str">
        <f aca="false">INDEX(lot!$B$2:$B$1201,MATCH(B2123,lot!$A$2:$A$1201,0))</f>
        <v>SUP-D</v>
      </c>
      <c r="F2123" s="3" t="n">
        <f aca="false">YEAR(A2123)*100+MONTH(A2123)</f>
        <v>202606</v>
      </c>
    </row>
    <row r="2124" customFormat="false" ht="15" hidden="false" customHeight="false" outlineLevel="0" collapsed="false">
      <c r="A2124" s="2" t="n">
        <v>46184</v>
      </c>
      <c r="B2124" s="3" t="s">
        <v>428</v>
      </c>
      <c r="C2124" s="0" t="n">
        <v>193</v>
      </c>
      <c r="D2124" s="0" t="n">
        <v>3</v>
      </c>
      <c r="E2124" s="0" t="str">
        <f aca="false">INDEX(lot!$B$2:$B$1201,MATCH(B2124,lot!$A$2:$A$1201,0))</f>
        <v>SUP-D</v>
      </c>
      <c r="F2124" s="3" t="n">
        <f aca="false">YEAR(A2124)*100+MONTH(A2124)</f>
        <v>202606</v>
      </c>
    </row>
    <row r="2125" customFormat="false" ht="15" hidden="false" customHeight="false" outlineLevel="0" collapsed="false">
      <c r="A2125" s="2" t="n">
        <v>46184</v>
      </c>
      <c r="B2125" s="3" t="s">
        <v>437</v>
      </c>
      <c r="C2125" s="0" t="n">
        <v>64</v>
      </c>
      <c r="D2125" s="0" t="n">
        <v>1</v>
      </c>
      <c r="E2125" s="0" t="str">
        <f aca="false">INDEX(lot!$B$2:$B$1201,MATCH(B2125,lot!$A$2:$A$1201,0))</f>
        <v>SUP-D</v>
      </c>
      <c r="F2125" s="3" t="n">
        <f aca="false">YEAR(A2125)*100+MONTH(A2125)</f>
        <v>202606</v>
      </c>
    </row>
    <row r="2126" customFormat="false" ht="15" hidden="false" customHeight="false" outlineLevel="0" collapsed="false">
      <c r="A2126" s="2" t="n">
        <v>46184</v>
      </c>
      <c r="B2126" s="3" t="s">
        <v>438</v>
      </c>
      <c r="C2126" s="0" t="n">
        <v>96</v>
      </c>
      <c r="D2126" s="0" t="n">
        <v>2</v>
      </c>
      <c r="E2126" s="0" t="str">
        <f aca="false">INDEX(lot!$B$2:$B$1201,MATCH(B2126,lot!$A$2:$A$1201,0))</f>
        <v>SUP-A</v>
      </c>
      <c r="F2126" s="3" t="n">
        <f aca="false">YEAR(A2126)*100+MONTH(A2126)</f>
        <v>202606</v>
      </c>
    </row>
    <row r="2127" customFormat="false" ht="15" hidden="false" customHeight="false" outlineLevel="0" collapsed="false">
      <c r="A2127" s="2" t="n">
        <v>46184</v>
      </c>
      <c r="B2127" s="3" t="s">
        <v>438</v>
      </c>
      <c r="C2127" s="0" t="n">
        <v>168</v>
      </c>
      <c r="D2127" s="0" t="n">
        <v>2</v>
      </c>
      <c r="E2127" s="0" t="str">
        <f aca="false">INDEX(lot!$B$2:$B$1201,MATCH(B2127,lot!$A$2:$A$1201,0))</f>
        <v>SUP-A</v>
      </c>
      <c r="F2127" s="3" t="n">
        <f aca="false">YEAR(A2127)*100+MONTH(A2127)</f>
        <v>202606</v>
      </c>
    </row>
    <row r="2128" customFormat="false" ht="15" hidden="false" customHeight="false" outlineLevel="0" collapsed="false">
      <c r="A2128" s="2" t="n">
        <v>46184</v>
      </c>
      <c r="B2128" s="3" t="s">
        <v>556</v>
      </c>
      <c r="C2128" s="0" t="n">
        <v>123</v>
      </c>
      <c r="D2128" s="0" t="n">
        <v>0</v>
      </c>
      <c r="E2128" s="0" t="str">
        <f aca="false">INDEX(lot!$B$2:$B$1201,MATCH(B2128,lot!$A$2:$A$1201,0))</f>
        <v>SUP-E</v>
      </c>
      <c r="F2128" s="3" t="n">
        <f aca="false">YEAR(A2128)*100+MONTH(A2128)</f>
        <v>202606</v>
      </c>
    </row>
    <row r="2129" customFormat="false" ht="15" hidden="false" customHeight="false" outlineLevel="0" collapsed="false">
      <c r="A2129" s="2" t="n">
        <v>46184</v>
      </c>
      <c r="B2129" s="3" t="s">
        <v>556</v>
      </c>
      <c r="C2129" s="0" t="n">
        <v>129</v>
      </c>
      <c r="D2129" s="0" t="n">
        <v>0</v>
      </c>
      <c r="E2129" s="0" t="str">
        <f aca="false">INDEX(lot!$B$2:$B$1201,MATCH(B2129,lot!$A$2:$A$1201,0))</f>
        <v>SUP-E</v>
      </c>
      <c r="F2129" s="3" t="n">
        <f aca="false">YEAR(A2129)*100+MONTH(A2129)</f>
        <v>202606</v>
      </c>
    </row>
    <row r="2130" customFormat="false" ht="15" hidden="false" customHeight="false" outlineLevel="0" collapsed="false">
      <c r="A2130" s="2" t="n">
        <v>46184</v>
      </c>
      <c r="B2130" s="3" t="s">
        <v>603</v>
      </c>
      <c r="C2130" s="0" t="n">
        <v>166</v>
      </c>
      <c r="D2130" s="0" t="n">
        <v>2</v>
      </c>
      <c r="E2130" s="0" t="str">
        <f aca="false">INDEX(lot!$B$2:$B$1201,MATCH(B2130,lot!$A$2:$A$1201,0))</f>
        <v>SUP-E</v>
      </c>
      <c r="F2130" s="3" t="n">
        <f aca="false">YEAR(A2130)*100+MONTH(A2130)</f>
        <v>202606</v>
      </c>
    </row>
    <row r="2131" customFormat="false" ht="15" hidden="false" customHeight="false" outlineLevel="0" collapsed="false">
      <c r="A2131" s="2" t="n">
        <v>46184</v>
      </c>
      <c r="B2131" s="3" t="s">
        <v>606</v>
      </c>
      <c r="C2131" s="0" t="n">
        <v>98</v>
      </c>
      <c r="D2131" s="0" t="n">
        <v>3</v>
      </c>
      <c r="E2131" s="0" t="str">
        <f aca="false">INDEX(lot!$B$2:$B$1201,MATCH(B2131,lot!$A$2:$A$1201,0))</f>
        <v>SUP-B</v>
      </c>
      <c r="F2131" s="3" t="n">
        <f aca="false">YEAR(A2131)*100+MONTH(A2131)</f>
        <v>202606</v>
      </c>
    </row>
    <row r="2132" customFormat="false" ht="15" hidden="false" customHeight="false" outlineLevel="0" collapsed="false">
      <c r="A2132" s="2" t="n">
        <v>46184</v>
      </c>
      <c r="B2132" s="3" t="s">
        <v>607</v>
      </c>
      <c r="C2132" s="0" t="n">
        <v>165</v>
      </c>
      <c r="D2132" s="0" t="n">
        <v>2</v>
      </c>
      <c r="E2132" s="0" t="str">
        <f aca="false">INDEX(lot!$B$2:$B$1201,MATCH(B2132,lot!$A$2:$A$1201,0))</f>
        <v>SUP-C</v>
      </c>
      <c r="F2132" s="3" t="n">
        <f aca="false">YEAR(A2132)*100+MONTH(A2132)</f>
        <v>202606</v>
      </c>
    </row>
    <row r="2133" customFormat="false" ht="15" hidden="false" customHeight="false" outlineLevel="0" collapsed="false">
      <c r="A2133" s="2" t="n">
        <v>46184</v>
      </c>
      <c r="B2133" s="3" t="s">
        <v>607</v>
      </c>
      <c r="C2133" s="0" t="n">
        <v>88</v>
      </c>
      <c r="D2133" s="0" t="n">
        <v>3</v>
      </c>
      <c r="E2133" s="0" t="str">
        <f aca="false">INDEX(lot!$B$2:$B$1201,MATCH(B2133,lot!$A$2:$A$1201,0))</f>
        <v>SUP-C</v>
      </c>
      <c r="F2133" s="3" t="n">
        <f aca="false">YEAR(A2133)*100+MONTH(A2133)</f>
        <v>202606</v>
      </c>
    </row>
    <row r="2134" customFormat="false" ht="15" hidden="false" customHeight="false" outlineLevel="0" collapsed="false">
      <c r="A2134" s="2" t="n">
        <v>46184</v>
      </c>
      <c r="B2134" s="3" t="s">
        <v>627</v>
      </c>
      <c r="C2134" s="0" t="n">
        <v>160</v>
      </c>
      <c r="D2134" s="0" t="n">
        <v>6</v>
      </c>
      <c r="E2134" s="0" t="str">
        <f aca="false">INDEX(lot!$B$2:$B$1201,MATCH(B2134,lot!$A$2:$A$1201,0))</f>
        <v>SUP-C</v>
      </c>
      <c r="F2134" s="3" t="n">
        <f aca="false">YEAR(A2134)*100+MONTH(A2134)</f>
        <v>202606</v>
      </c>
    </row>
    <row r="2135" customFormat="false" ht="15" hidden="false" customHeight="false" outlineLevel="0" collapsed="false">
      <c r="A2135" s="2" t="n">
        <v>46184</v>
      </c>
      <c r="B2135" s="3" t="s">
        <v>673</v>
      </c>
      <c r="C2135" s="0" t="n">
        <v>178</v>
      </c>
      <c r="D2135" s="0" t="n">
        <v>3</v>
      </c>
      <c r="E2135" s="0" t="str">
        <f aca="false">INDEX(lot!$B$2:$B$1201,MATCH(B2135,lot!$A$2:$A$1201,0))</f>
        <v>SUP-D</v>
      </c>
      <c r="F2135" s="3" t="n">
        <f aca="false">YEAR(A2135)*100+MONTH(A2135)</f>
        <v>202606</v>
      </c>
    </row>
    <row r="2136" customFormat="false" ht="15" hidden="false" customHeight="false" outlineLevel="0" collapsed="false">
      <c r="A2136" s="2" t="n">
        <v>46184</v>
      </c>
      <c r="B2136" s="3" t="s">
        <v>673</v>
      </c>
      <c r="C2136" s="0" t="n">
        <v>197</v>
      </c>
      <c r="D2136" s="0" t="n">
        <v>3</v>
      </c>
      <c r="E2136" s="0" t="str">
        <f aca="false">INDEX(lot!$B$2:$B$1201,MATCH(B2136,lot!$A$2:$A$1201,0))</f>
        <v>SUP-D</v>
      </c>
      <c r="F2136" s="3" t="n">
        <f aca="false">YEAR(A2136)*100+MONTH(A2136)</f>
        <v>202606</v>
      </c>
    </row>
    <row r="2137" customFormat="false" ht="15" hidden="false" customHeight="false" outlineLevel="0" collapsed="false">
      <c r="A2137" s="2" t="n">
        <v>46184</v>
      </c>
      <c r="B2137" s="3" t="s">
        <v>741</v>
      </c>
      <c r="C2137" s="0" t="n">
        <v>148</v>
      </c>
      <c r="D2137" s="0" t="n">
        <v>3</v>
      </c>
      <c r="E2137" s="0" t="str">
        <f aca="false">INDEX(lot!$B$2:$B$1201,MATCH(B2137,lot!$A$2:$A$1201,0))</f>
        <v>SUP-D</v>
      </c>
      <c r="F2137" s="3" t="n">
        <f aca="false">YEAR(A2137)*100+MONTH(A2137)</f>
        <v>202606</v>
      </c>
    </row>
    <row r="2138" customFormat="false" ht="15" hidden="false" customHeight="false" outlineLevel="0" collapsed="false">
      <c r="A2138" s="2" t="n">
        <v>46184</v>
      </c>
      <c r="B2138" s="3" t="s">
        <v>741</v>
      </c>
      <c r="C2138" s="0" t="n">
        <v>150</v>
      </c>
      <c r="D2138" s="0" t="n">
        <v>2</v>
      </c>
      <c r="E2138" s="0" t="str">
        <f aca="false">INDEX(lot!$B$2:$B$1201,MATCH(B2138,lot!$A$2:$A$1201,0))</f>
        <v>SUP-D</v>
      </c>
      <c r="F2138" s="3" t="n">
        <f aca="false">YEAR(A2138)*100+MONTH(A2138)</f>
        <v>202606</v>
      </c>
    </row>
    <row r="2139" customFormat="false" ht="15" hidden="false" customHeight="false" outlineLevel="0" collapsed="false">
      <c r="A2139" s="2" t="n">
        <v>46184</v>
      </c>
      <c r="B2139" s="3" t="s">
        <v>930</v>
      </c>
      <c r="C2139" s="0" t="n">
        <v>131</v>
      </c>
      <c r="D2139" s="0" t="n">
        <v>1</v>
      </c>
      <c r="E2139" s="0" t="str">
        <f aca="false">INDEX(lot!$B$2:$B$1201,MATCH(B2139,lot!$A$2:$A$1201,0))</f>
        <v>SUP-A</v>
      </c>
      <c r="F2139" s="3" t="n">
        <f aca="false">YEAR(A2139)*100+MONTH(A2139)</f>
        <v>202606</v>
      </c>
    </row>
    <row r="2140" customFormat="false" ht="15" hidden="false" customHeight="false" outlineLevel="0" collapsed="false">
      <c r="A2140" s="2" t="n">
        <v>46184</v>
      </c>
      <c r="B2140" s="3" t="s">
        <v>930</v>
      </c>
      <c r="C2140" s="0" t="n">
        <v>200</v>
      </c>
      <c r="D2140" s="0" t="n">
        <v>2</v>
      </c>
      <c r="E2140" s="0" t="str">
        <f aca="false">INDEX(lot!$B$2:$B$1201,MATCH(B2140,lot!$A$2:$A$1201,0))</f>
        <v>SUP-A</v>
      </c>
      <c r="F2140" s="3" t="n">
        <f aca="false">YEAR(A2140)*100+MONTH(A2140)</f>
        <v>202606</v>
      </c>
    </row>
    <row r="2141" customFormat="false" ht="15" hidden="false" customHeight="false" outlineLevel="0" collapsed="false">
      <c r="A2141" s="2" t="n">
        <v>46185</v>
      </c>
      <c r="B2141" s="3" t="s">
        <v>71</v>
      </c>
      <c r="C2141" s="0" t="n">
        <v>189</v>
      </c>
      <c r="D2141" s="0" t="n">
        <v>3</v>
      </c>
      <c r="E2141" s="0" t="str">
        <f aca="false">INDEX(lot!$B$2:$B$1201,MATCH(B2141,lot!$A$2:$A$1201,0))</f>
        <v>SUP-A</v>
      </c>
      <c r="F2141" s="3" t="n">
        <f aca="false">YEAR(A2141)*100+MONTH(A2141)</f>
        <v>202606</v>
      </c>
    </row>
    <row r="2142" customFormat="false" ht="15" hidden="false" customHeight="false" outlineLevel="0" collapsed="false">
      <c r="A2142" s="2" t="n">
        <v>46185</v>
      </c>
      <c r="B2142" s="3" t="s">
        <v>72</v>
      </c>
      <c r="C2142" s="0" t="n">
        <v>84</v>
      </c>
      <c r="D2142" s="0" t="n">
        <v>0</v>
      </c>
      <c r="E2142" s="0" t="str">
        <f aca="false">INDEX(lot!$B$2:$B$1201,MATCH(B2142,lot!$A$2:$A$1201,0))</f>
        <v>SUP-A</v>
      </c>
      <c r="F2142" s="3" t="n">
        <f aca="false">YEAR(A2142)*100+MONTH(A2142)</f>
        <v>202606</v>
      </c>
    </row>
    <row r="2143" customFormat="false" ht="15" hidden="false" customHeight="false" outlineLevel="0" collapsed="false">
      <c r="A2143" s="2" t="n">
        <v>46185</v>
      </c>
      <c r="B2143" s="3" t="s">
        <v>72</v>
      </c>
      <c r="C2143" s="0" t="n">
        <v>239</v>
      </c>
      <c r="D2143" s="0" t="n">
        <v>1</v>
      </c>
      <c r="E2143" s="0" t="str">
        <f aca="false">INDEX(lot!$B$2:$B$1201,MATCH(B2143,lot!$A$2:$A$1201,0))</f>
        <v>SUP-A</v>
      </c>
      <c r="F2143" s="3" t="n">
        <f aca="false">YEAR(A2143)*100+MONTH(A2143)</f>
        <v>202606</v>
      </c>
    </row>
    <row r="2144" customFormat="false" ht="15" hidden="false" customHeight="false" outlineLevel="0" collapsed="false">
      <c r="A2144" s="2" t="n">
        <v>46185</v>
      </c>
      <c r="B2144" s="3" t="s">
        <v>80</v>
      </c>
      <c r="C2144" s="0" t="n">
        <v>192</v>
      </c>
      <c r="D2144" s="0" t="n">
        <v>1</v>
      </c>
      <c r="E2144" s="0" t="str">
        <f aca="false">INDEX(lot!$B$2:$B$1201,MATCH(B2144,lot!$A$2:$A$1201,0))</f>
        <v>SUP-E</v>
      </c>
      <c r="F2144" s="3" t="n">
        <f aca="false">YEAR(A2144)*100+MONTH(A2144)</f>
        <v>202606</v>
      </c>
    </row>
    <row r="2145" customFormat="false" ht="15" hidden="false" customHeight="false" outlineLevel="0" collapsed="false">
      <c r="A2145" s="2" t="n">
        <v>46185</v>
      </c>
      <c r="B2145" s="3" t="s">
        <v>80</v>
      </c>
      <c r="C2145" s="0" t="n">
        <v>233</v>
      </c>
      <c r="D2145" s="0" t="n">
        <v>3</v>
      </c>
      <c r="E2145" s="0" t="str">
        <f aca="false">INDEX(lot!$B$2:$B$1201,MATCH(B2145,lot!$A$2:$A$1201,0))</f>
        <v>SUP-E</v>
      </c>
      <c r="F2145" s="3" t="n">
        <f aca="false">YEAR(A2145)*100+MONTH(A2145)</f>
        <v>202606</v>
      </c>
    </row>
    <row r="2146" customFormat="false" ht="15" hidden="false" customHeight="false" outlineLevel="0" collapsed="false">
      <c r="A2146" s="2" t="n">
        <v>46185</v>
      </c>
      <c r="B2146" s="3" t="s">
        <v>248</v>
      </c>
      <c r="C2146" s="0" t="n">
        <v>209</v>
      </c>
      <c r="D2146" s="0" t="n">
        <v>1</v>
      </c>
      <c r="E2146" s="0" t="str">
        <f aca="false">INDEX(lot!$B$2:$B$1201,MATCH(B2146,lot!$A$2:$A$1201,0))</f>
        <v>SUP-E</v>
      </c>
      <c r="F2146" s="3" t="n">
        <f aca="false">YEAR(A2146)*100+MONTH(A2146)</f>
        <v>202606</v>
      </c>
    </row>
    <row r="2147" customFormat="false" ht="15" hidden="false" customHeight="false" outlineLevel="0" collapsed="false">
      <c r="A2147" s="2" t="n">
        <v>46185</v>
      </c>
      <c r="B2147" s="3" t="s">
        <v>248</v>
      </c>
      <c r="C2147" s="0" t="n">
        <v>227</v>
      </c>
      <c r="D2147" s="0" t="n">
        <v>3</v>
      </c>
      <c r="E2147" s="0" t="str">
        <f aca="false">INDEX(lot!$B$2:$B$1201,MATCH(B2147,lot!$A$2:$A$1201,0))</f>
        <v>SUP-E</v>
      </c>
      <c r="F2147" s="3" t="n">
        <f aca="false">YEAR(A2147)*100+MONTH(A2147)</f>
        <v>202606</v>
      </c>
    </row>
    <row r="2148" customFormat="false" ht="15" hidden="false" customHeight="false" outlineLevel="0" collapsed="false">
      <c r="A2148" s="2" t="n">
        <v>46185</v>
      </c>
      <c r="B2148" s="3" t="s">
        <v>330</v>
      </c>
      <c r="C2148" s="0" t="n">
        <v>63</v>
      </c>
      <c r="D2148" s="0" t="n">
        <v>0</v>
      </c>
      <c r="E2148" s="0" t="str">
        <f aca="false">INDEX(lot!$B$2:$B$1201,MATCH(B2148,lot!$A$2:$A$1201,0))</f>
        <v>SUP-D</v>
      </c>
      <c r="F2148" s="3" t="n">
        <f aca="false">YEAR(A2148)*100+MONTH(A2148)</f>
        <v>202606</v>
      </c>
    </row>
    <row r="2149" customFormat="false" ht="15" hidden="false" customHeight="false" outlineLevel="0" collapsed="false">
      <c r="A2149" s="2" t="n">
        <v>46185</v>
      </c>
      <c r="B2149" s="3" t="s">
        <v>428</v>
      </c>
      <c r="C2149" s="0" t="n">
        <v>129</v>
      </c>
      <c r="D2149" s="0" t="n">
        <v>1</v>
      </c>
      <c r="E2149" s="0" t="str">
        <f aca="false">INDEX(lot!$B$2:$B$1201,MATCH(B2149,lot!$A$2:$A$1201,0))</f>
        <v>SUP-D</v>
      </c>
      <c r="F2149" s="3" t="n">
        <f aca="false">YEAR(A2149)*100+MONTH(A2149)</f>
        <v>202606</v>
      </c>
    </row>
    <row r="2150" customFormat="false" ht="15" hidden="false" customHeight="false" outlineLevel="0" collapsed="false">
      <c r="A2150" s="2" t="n">
        <v>46185</v>
      </c>
      <c r="B2150" s="3" t="s">
        <v>437</v>
      </c>
      <c r="C2150" s="0" t="n">
        <v>214</v>
      </c>
      <c r="D2150" s="0" t="n">
        <v>4</v>
      </c>
      <c r="E2150" s="0" t="str">
        <f aca="false">INDEX(lot!$B$2:$B$1201,MATCH(B2150,lot!$A$2:$A$1201,0))</f>
        <v>SUP-D</v>
      </c>
      <c r="F2150" s="3" t="n">
        <f aca="false">YEAR(A2150)*100+MONTH(A2150)</f>
        <v>202606</v>
      </c>
    </row>
    <row r="2151" customFormat="false" ht="15" hidden="false" customHeight="false" outlineLevel="0" collapsed="false">
      <c r="A2151" s="2" t="n">
        <v>46185</v>
      </c>
      <c r="B2151" s="3" t="s">
        <v>438</v>
      </c>
      <c r="C2151" s="0" t="n">
        <v>103</v>
      </c>
      <c r="D2151" s="0" t="n">
        <v>2</v>
      </c>
      <c r="E2151" s="0" t="str">
        <f aca="false">INDEX(lot!$B$2:$B$1201,MATCH(B2151,lot!$A$2:$A$1201,0))</f>
        <v>SUP-A</v>
      </c>
      <c r="F2151" s="3" t="n">
        <f aca="false">YEAR(A2151)*100+MONTH(A2151)</f>
        <v>202606</v>
      </c>
    </row>
    <row r="2152" customFormat="false" ht="15" hidden="false" customHeight="false" outlineLevel="0" collapsed="false">
      <c r="A2152" s="2" t="n">
        <v>46185</v>
      </c>
      <c r="B2152" s="3" t="s">
        <v>438</v>
      </c>
      <c r="C2152" s="0" t="n">
        <v>142</v>
      </c>
      <c r="D2152" s="0" t="n">
        <v>1</v>
      </c>
      <c r="E2152" s="0" t="str">
        <f aca="false">INDEX(lot!$B$2:$B$1201,MATCH(B2152,lot!$A$2:$A$1201,0))</f>
        <v>SUP-A</v>
      </c>
      <c r="F2152" s="3" t="n">
        <f aca="false">YEAR(A2152)*100+MONTH(A2152)</f>
        <v>202606</v>
      </c>
    </row>
    <row r="2153" customFormat="false" ht="15" hidden="false" customHeight="false" outlineLevel="0" collapsed="false">
      <c r="A2153" s="2" t="n">
        <v>46185</v>
      </c>
      <c r="B2153" s="3" t="s">
        <v>447</v>
      </c>
      <c r="C2153" s="0" t="n">
        <v>241</v>
      </c>
      <c r="D2153" s="0" t="n">
        <v>7</v>
      </c>
      <c r="E2153" s="0" t="str">
        <f aca="false">INDEX(lot!$B$2:$B$1201,MATCH(B2153,lot!$A$2:$A$1201,0))</f>
        <v>SUP-B</v>
      </c>
      <c r="F2153" s="3" t="n">
        <f aca="false">YEAR(A2153)*100+MONTH(A2153)</f>
        <v>202606</v>
      </c>
    </row>
    <row r="2154" customFormat="false" ht="15" hidden="false" customHeight="false" outlineLevel="0" collapsed="false">
      <c r="A2154" s="2" t="n">
        <v>46185</v>
      </c>
      <c r="B2154" s="3" t="s">
        <v>513</v>
      </c>
      <c r="C2154" s="0" t="n">
        <v>158</v>
      </c>
      <c r="D2154" s="0" t="n">
        <v>5</v>
      </c>
      <c r="E2154" s="0" t="str">
        <f aca="false">INDEX(lot!$B$2:$B$1201,MATCH(B2154,lot!$A$2:$A$1201,0))</f>
        <v>SUP-C</v>
      </c>
      <c r="F2154" s="3" t="n">
        <f aca="false">YEAR(A2154)*100+MONTH(A2154)</f>
        <v>202606</v>
      </c>
    </row>
    <row r="2155" customFormat="false" ht="15" hidden="false" customHeight="false" outlineLevel="0" collapsed="false">
      <c r="A2155" s="2" t="n">
        <v>46185</v>
      </c>
      <c r="B2155" s="3" t="s">
        <v>513</v>
      </c>
      <c r="C2155" s="0" t="n">
        <v>232</v>
      </c>
      <c r="D2155" s="0" t="n">
        <v>8</v>
      </c>
      <c r="E2155" s="0" t="str">
        <f aca="false">INDEX(lot!$B$2:$B$1201,MATCH(B2155,lot!$A$2:$A$1201,0))</f>
        <v>SUP-C</v>
      </c>
      <c r="F2155" s="3" t="n">
        <f aca="false">YEAR(A2155)*100+MONTH(A2155)</f>
        <v>202606</v>
      </c>
    </row>
    <row r="2156" customFormat="false" ht="15" hidden="false" customHeight="false" outlineLevel="0" collapsed="false">
      <c r="A2156" s="2" t="n">
        <v>46185</v>
      </c>
      <c r="B2156" s="3" t="s">
        <v>606</v>
      </c>
      <c r="C2156" s="0" t="n">
        <v>154</v>
      </c>
      <c r="D2156" s="0" t="n">
        <v>3</v>
      </c>
      <c r="E2156" s="0" t="str">
        <f aca="false">INDEX(lot!$B$2:$B$1201,MATCH(B2156,lot!$A$2:$A$1201,0))</f>
        <v>SUP-B</v>
      </c>
      <c r="F2156" s="3" t="n">
        <f aca="false">YEAR(A2156)*100+MONTH(A2156)</f>
        <v>202606</v>
      </c>
    </row>
    <row r="2157" customFormat="false" ht="15" hidden="false" customHeight="false" outlineLevel="0" collapsed="false">
      <c r="A2157" s="2" t="n">
        <v>46185</v>
      </c>
      <c r="B2157" s="3" t="s">
        <v>606</v>
      </c>
      <c r="C2157" s="0" t="n">
        <v>96</v>
      </c>
      <c r="D2157" s="0" t="n">
        <v>3</v>
      </c>
      <c r="E2157" s="0" t="str">
        <f aca="false">INDEX(lot!$B$2:$B$1201,MATCH(B2157,lot!$A$2:$A$1201,0))</f>
        <v>SUP-B</v>
      </c>
      <c r="F2157" s="3" t="n">
        <f aca="false">YEAR(A2157)*100+MONTH(A2157)</f>
        <v>202606</v>
      </c>
    </row>
    <row r="2158" customFormat="false" ht="15" hidden="false" customHeight="false" outlineLevel="0" collapsed="false">
      <c r="A2158" s="2" t="n">
        <v>46185</v>
      </c>
      <c r="B2158" s="3" t="s">
        <v>607</v>
      </c>
      <c r="C2158" s="0" t="n">
        <v>221</v>
      </c>
      <c r="D2158" s="0" t="n">
        <v>5</v>
      </c>
      <c r="E2158" s="0" t="str">
        <f aca="false">INDEX(lot!$B$2:$B$1201,MATCH(B2158,lot!$A$2:$A$1201,0))</f>
        <v>SUP-C</v>
      </c>
      <c r="F2158" s="3" t="n">
        <f aca="false">YEAR(A2158)*100+MONTH(A2158)</f>
        <v>202606</v>
      </c>
    </row>
    <row r="2159" customFormat="false" ht="15" hidden="false" customHeight="false" outlineLevel="0" collapsed="false">
      <c r="A2159" s="2" t="n">
        <v>46185</v>
      </c>
      <c r="B2159" s="3" t="s">
        <v>607</v>
      </c>
      <c r="C2159" s="0" t="n">
        <v>83</v>
      </c>
      <c r="D2159" s="0" t="n">
        <v>1</v>
      </c>
      <c r="E2159" s="0" t="str">
        <f aca="false">INDEX(lot!$B$2:$B$1201,MATCH(B2159,lot!$A$2:$A$1201,0))</f>
        <v>SUP-C</v>
      </c>
      <c r="F2159" s="3" t="n">
        <f aca="false">YEAR(A2159)*100+MONTH(A2159)</f>
        <v>202606</v>
      </c>
    </row>
    <row r="2160" customFormat="false" ht="15" hidden="false" customHeight="false" outlineLevel="0" collapsed="false">
      <c r="A2160" s="2" t="n">
        <v>46185</v>
      </c>
      <c r="B2160" s="3" t="s">
        <v>673</v>
      </c>
      <c r="C2160" s="0" t="n">
        <v>223</v>
      </c>
      <c r="D2160" s="0" t="n">
        <v>2</v>
      </c>
      <c r="E2160" s="0" t="str">
        <f aca="false">INDEX(lot!$B$2:$B$1201,MATCH(B2160,lot!$A$2:$A$1201,0))</f>
        <v>SUP-D</v>
      </c>
      <c r="F2160" s="3" t="n">
        <f aca="false">YEAR(A2160)*100+MONTH(A2160)</f>
        <v>202606</v>
      </c>
    </row>
    <row r="2161" customFormat="false" ht="15" hidden="false" customHeight="false" outlineLevel="0" collapsed="false">
      <c r="A2161" s="2" t="n">
        <v>46185</v>
      </c>
      <c r="B2161" s="3" t="s">
        <v>673</v>
      </c>
      <c r="C2161" s="0" t="n">
        <v>237</v>
      </c>
      <c r="D2161" s="0" t="n">
        <v>2</v>
      </c>
      <c r="E2161" s="0" t="str">
        <f aca="false">INDEX(lot!$B$2:$B$1201,MATCH(B2161,lot!$A$2:$A$1201,0))</f>
        <v>SUP-D</v>
      </c>
      <c r="F2161" s="3" t="n">
        <f aca="false">YEAR(A2161)*100+MONTH(A2161)</f>
        <v>202606</v>
      </c>
    </row>
    <row r="2162" customFormat="false" ht="15" hidden="false" customHeight="false" outlineLevel="0" collapsed="false">
      <c r="A2162" s="2" t="n">
        <v>46185</v>
      </c>
      <c r="B2162" s="3" t="s">
        <v>1111</v>
      </c>
      <c r="C2162" s="0" t="n">
        <v>166</v>
      </c>
      <c r="D2162" s="0" t="n">
        <v>5</v>
      </c>
      <c r="E2162" s="0" t="str">
        <f aca="false">INDEX(lot!$B$2:$B$1201,MATCH(B2162,lot!$A$2:$A$1201,0))</f>
        <v>SUP-C</v>
      </c>
      <c r="F2162" s="3" t="n">
        <f aca="false">YEAR(A2162)*100+MONTH(A2162)</f>
        <v>202606</v>
      </c>
    </row>
    <row r="2163" customFormat="false" ht="15" hidden="false" customHeight="false" outlineLevel="0" collapsed="false">
      <c r="A2163" s="2" t="n">
        <v>46185</v>
      </c>
      <c r="B2163" s="3" t="s">
        <v>1194</v>
      </c>
      <c r="C2163" s="0" t="n">
        <v>92</v>
      </c>
      <c r="D2163" s="0" t="n">
        <v>5</v>
      </c>
      <c r="E2163" s="0" t="str">
        <f aca="false">INDEX(lot!$B$2:$B$1201,MATCH(B2163,lot!$A$2:$A$1201,0))</f>
        <v>SUP-C</v>
      </c>
      <c r="F2163" s="3" t="n">
        <f aca="false">YEAR(A2163)*100+MONTH(A2163)</f>
        <v>202606</v>
      </c>
    </row>
    <row r="2164" customFormat="false" ht="15" hidden="false" customHeight="false" outlineLevel="0" collapsed="false">
      <c r="A2164" s="2" t="n">
        <v>46185</v>
      </c>
      <c r="B2164" s="3" t="s">
        <v>1194</v>
      </c>
      <c r="C2164" s="0" t="n">
        <v>249</v>
      </c>
      <c r="D2164" s="0" t="n">
        <v>10</v>
      </c>
      <c r="E2164" s="0" t="str">
        <f aca="false">INDEX(lot!$B$2:$B$1201,MATCH(B2164,lot!$A$2:$A$1201,0))</f>
        <v>SUP-C</v>
      </c>
      <c r="F2164" s="3" t="n">
        <f aca="false">YEAR(A2164)*100+MONTH(A2164)</f>
        <v>202606</v>
      </c>
    </row>
    <row r="2165" customFormat="false" ht="15" hidden="false" customHeight="false" outlineLevel="0" collapsed="false">
      <c r="A2165" s="2" t="n">
        <v>46188</v>
      </c>
      <c r="B2165" s="3" t="s">
        <v>71</v>
      </c>
      <c r="C2165" s="0" t="n">
        <v>197</v>
      </c>
      <c r="D2165" s="0" t="n">
        <v>1</v>
      </c>
      <c r="E2165" s="0" t="str">
        <f aca="false">INDEX(lot!$B$2:$B$1201,MATCH(B2165,lot!$A$2:$A$1201,0))</f>
        <v>SUP-A</v>
      </c>
      <c r="F2165" s="3" t="n">
        <f aca="false">YEAR(A2165)*100+MONTH(A2165)</f>
        <v>202606</v>
      </c>
    </row>
    <row r="2166" customFormat="false" ht="15" hidden="false" customHeight="false" outlineLevel="0" collapsed="false">
      <c r="A2166" s="2" t="n">
        <v>46188</v>
      </c>
      <c r="B2166" s="3" t="s">
        <v>132</v>
      </c>
      <c r="C2166" s="0" t="n">
        <v>108</v>
      </c>
      <c r="D2166" s="0" t="n">
        <v>1</v>
      </c>
      <c r="E2166" s="0" t="str">
        <f aca="false">INDEX(lot!$B$2:$B$1201,MATCH(B2166,lot!$A$2:$A$1201,0))</f>
        <v>SUP-D</v>
      </c>
      <c r="F2166" s="3" t="n">
        <f aca="false">YEAR(A2166)*100+MONTH(A2166)</f>
        <v>202606</v>
      </c>
    </row>
    <row r="2167" customFormat="false" ht="15" hidden="false" customHeight="false" outlineLevel="0" collapsed="false">
      <c r="A2167" s="2" t="n">
        <v>46188</v>
      </c>
      <c r="B2167" s="3" t="s">
        <v>181</v>
      </c>
      <c r="C2167" s="0" t="n">
        <v>220</v>
      </c>
      <c r="D2167" s="0" t="n">
        <v>2</v>
      </c>
      <c r="E2167" s="0" t="str">
        <f aca="false">INDEX(lot!$B$2:$B$1201,MATCH(B2167,lot!$A$2:$A$1201,0))</f>
        <v>SUP-E</v>
      </c>
      <c r="F2167" s="3" t="n">
        <f aca="false">YEAR(A2167)*100+MONTH(A2167)</f>
        <v>202606</v>
      </c>
    </row>
    <row r="2168" customFormat="false" ht="15" hidden="false" customHeight="false" outlineLevel="0" collapsed="false">
      <c r="A2168" s="2" t="n">
        <v>46188</v>
      </c>
      <c r="B2168" s="3" t="s">
        <v>204</v>
      </c>
      <c r="C2168" s="0" t="n">
        <v>205</v>
      </c>
      <c r="D2168" s="0" t="n">
        <v>3</v>
      </c>
      <c r="E2168" s="0" t="str">
        <f aca="false">INDEX(lot!$B$2:$B$1201,MATCH(B2168,lot!$A$2:$A$1201,0))</f>
        <v>SUP-D</v>
      </c>
      <c r="F2168" s="3" t="n">
        <f aca="false">YEAR(A2168)*100+MONTH(A2168)</f>
        <v>202606</v>
      </c>
    </row>
    <row r="2169" customFormat="false" ht="15" hidden="false" customHeight="false" outlineLevel="0" collapsed="false">
      <c r="A2169" s="2" t="n">
        <v>46188</v>
      </c>
      <c r="B2169" s="3" t="s">
        <v>207</v>
      </c>
      <c r="C2169" s="0" t="n">
        <v>161</v>
      </c>
      <c r="D2169" s="0" t="n">
        <v>2</v>
      </c>
      <c r="E2169" s="0" t="str">
        <f aca="false">INDEX(lot!$B$2:$B$1201,MATCH(B2169,lot!$A$2:$A$1201,0))</f>
        <v>SUP-D</v>
      </c>
      <c r="F2169" s="3" t="n">
        <f aca="false">YEAR(A2169)*100+MONTH(A2169)</f>
        <v>202606</v>
      </c>
    </row>
    <row r="2170" customFormat="false" ht="15" hidden="false" customHeight="false" outlineLevel="0" collapsed="false">
      <c r="A2170" s="2" t="n">
        <v>46188</v>
      </c>
      <c r="B2170" s="3" t="s">
        <v>248</v>
      </c>
      <c r="C2170" s="0" t="n">
        <v>172</v>
      </c>
      <c r="D2170" s="0" t="n">
        <v>1</v>
      </c>
      <c r="E2170" s="0" t="str">
        <f aca="false">INDEX(lot!$B$2:$B$1201,MATCH(B2170,lot!$A$2:$A$1201,0))</f>
        <v>SUP-E</v>
      </c>
      <c r="F2170" s="3" t="n">
        <f aca="false">YEAR(A2170)*100+MONTH(A2170)</f>
        <v>202606</v>
      </c>
    </row>
    <row r="2171" customFormat="false" ht="15" hidden="false" customHeight="false" outlineLevel="0" collapsed="false">
      <c r="A2171" s="2" t="n">
        <v>46188</v>
      </c>
      <c r="B2171" s="3" t="s">
        <v>428</v>
      </c>
      <c r="C2171" s="0" t="n">
        <v>140</v>
      </c>
      <c r="D2171" s="0" t="n">
        <v>3</v>
      </c>
      <c r="E2171" s="0" t="str">
        <f aca="false">INDEX(lot!$B$2:$B$1201,MATCH(B2171,lot!$A$2:$A$1201,0))</f>
        <v>SUP-D</v>
      </c>
      <c r="F2171" s="3" t="n">
        <f aca="false">YEAR(A2171)*100+MONTH(A2171)</f>
        <v>202606</v>
      </c>
    </row>
    <row r="2172" customFormat="false" ht="15" hidden="false" customHeight="false" outlineLevel="0" collapsed="false">
      <c r="A2172" s="2" t="n">
        <v>46188</v>
      </c>
      <c r="B2172" s="3" t="s">
        <v>428</v>
      </c>
      <c r="C2172" s="0" t="n">
        <v>100</v>
      </c>
      <c r="D2172" s="0" t="n">
        <v>2</v>
      </c>
      <c r="E2172" s="0" t="str">
        <f aca="false">INDEX(lot!$B$2:$B$1201,MATCH(B2172,lot!$A$2:$A$1201,0))</f>
        <v>SUP-D</v>
      </c>
      <c r="F2172" s="3" t="n">
        <f aca="false">YEAR(A2172)*100+MONTH(A2172)</f>
        <v>202606</v>
      </c>
    </row>
    <row r="2173" customFormat="false" ht="15" hidden="false" customHeight="false" outlineLevel="0" collapsed="false">
      <c r="A2173" s="2" t="n">
        <v>46188</v>
      </c>
      <c r="B2173" s="3" t="s">
        <v>456</v>
      </c>
      <c r="C2173" s="0" t="n">
        <v>239</v>
      </c>
      <c r="D2173" s="0" t="n">
        <v>3</v>
      </c>
      <c r="E2173" s="0" t="str">
        <f aca="false">INDEX(lot!$B$2:$B$1201,MATCH(B2173,lot!$A$2:$A$1201,0))</f>
        <v>SUP-D</v>
      </c>
      <c r="F2173" s="3" t="n">
        <f aca="false">YEAR(A2173)*100+MONTH(A2173)</f>
        <v>202606</v>
      </c>
    </row>
    <row r="2174" customFormat="false" ht="15" hidden="false" customHeight="false" outlineLevel="0" collapsed="false">
      <c r="A2174" s="2" t="n">
        <v>46188</v>
      </c>
      <c r="B2174" s="3" t="s">
        <v>459</v>
      </c>
      <c r="C2174" s="0" t="n">
        <v>217</v>
      </c>
      <c r="D2174" s="0" t="n">
        <v>2</v>
      </c>
      <c r="E2174" s="0" t="str">
        <f aca="false">INDEX(lot!$B$2:$B$1201,MATCH(B2174,lot!$A$2:$A$1201,0))</f>
        <v>SUP-E</v>
      </c>
      <c r="F2174" s="3" t="n">
        <f aca="false">YEAR(A2174)*100+MONTH(A2174)</f>
        <v>202606</v>
      </c>
    </row>
    <row r="2175" customFormat="false" ht="15" hidden="false" customHeight="false" outlineLevel="0" collapsed="false">
      <c r="A2175" s="2" t="n">
        <v>46188</v>
      </c>
      <c r="B2175" s="3" t="s">
        <v>607</v>
      </c>
      <c r="C2175" s="0" t="n">
        <v>73</v>
      </c>
      <c r="D2175" s="0" t="n">
        <v>2</v>
      </c>
      <c r="E2175" s="0" t="str">
        <f aca="false">INDEX(lot!$B$2:$B$1201,MATCH(B2175,lot!$A$2:$A$1201,0))</f>
        <v>SUP-C</v>
      </c>
      <c r="F2175" s="3" t="n">
        <f aca="false">YEAR(A2175)*100+MONTH(A2175)</f>
        <v>202606</v>
      </c>
    </row>
    <row r="2176" customFormat="false" ht="15" hidden="false" customHeight="false" outlineLevel="0" collapsed="false">
      <c r="A2176" s="2" t="n">
        <v>46188</v>
      </c>
      <c r="B2176" s="3" t="s">
        <v>864</v>
      </c>
      <c r="C2176" s="0" t="n">
        <v>86</v>
      </c>
      <c r="D2176" s="0" t="n">
        <v>1</v>
      </c>
      <c r="E2176" s="0" t="str">
        <f aca="false">INDEX(lot!$B$2:$B$1201,MATCH(B2176,lot!$A$2:$A$1201,0))</f>
        <v>SUP-E</v>
      </c>
      <c r="F2176" s="3" t="n">
        <f aca="false">YEAR(A2176)*100+MONTH(A2176)</f>
        <v>202606</v>
      </c>
    </row>
    <row r="2177" customFormat="false" ht="15" hidden="false" customHeight="false" outlineLevel="0" collapsed="false">
      <c r="A2177" s="2" t="n">
        <v>46188</v>
      </c>
      <c r="B2177" s="3" t="s">
        <v>864</v>
      </c>
      <c r="C2177" s="0" t="n">
        <v>136</v>
      </c>
      <c r="D2177" s="0" t="n">
        <v>3</v>
      </c>
      <c r="E2177" s="0" t="str">
        <f aca="false">INDEX(lot!$B$2:$B$1201,MATCH(B2177,lot!$A$2:$A$1201,0))</f>
        <v>SUP-E</v>
      </c>
      <c r="F2177" s="3" t="n">
        <f aca="false">YEAR(A2177)*100+MONTH(A2177)</f>
        <v>202606</v>
      </c>
    </row>
    <row r="2178" customFormat="false" ht="15" hidden="false" customHeight="false" outlineLevel="0" collapsed="false">
      <c r="A2178" s="2" t="n">
        <v>46188</v>
      </c>
      <c r="B2178" s="3" t="s">
        <v>1065</v>
      </c>
      <c r="C2178" s="0" t="n">
        <v>156</v>
      </c>
      <c r="D2178" s="0" t="n">
        <v>0</v>
      </c>
      <c r="E2178" s="0" t="str">
        <f aca="false">INDEX(lot!$B$2:$B$1201,MATCH(B2178,lot!$A$2:$A$1201,0))</f>
        <v>SUP-E</v>
      </c>
      <c r="F2178" s="3" t="n">
        <f aca="false">YEAR(A2178)*100+MONTH(A2178)</f>
        <v>202606</v>
      </c>
    </row>
    <row r="2179" customFormat="false" ht="15" hidden="false" customHeight="false" outlineLevel="0" collapsed="false">
      <c r="A2179" s="2" t="n">
        <v>46188</v>
      </c>
      <c r="B2179" s="3" t="s">
        <v>1194</v>
      </c>
      <c r="C2179" s="0" t="n">
        <v>109</v>
      </c>
      <c r="D2179" s="0" t="n">
        <v>4</v>
      </c>
      <c r="E2179" s="0" t="str">
        <f aca="false">INDEX(lot!$B$2:$B$1201,MATCH(B2179,lot!$A$2:$A$1201,0))</f>
        <v>SUP-C</v>
      </c>
      <c r="F2179" s="3" t="n">
        <f aca="false">YEAR(A2179)*100+MONTH(A2179)</f>
        <v>202606</v>
      </c>
    </row>
    <row r="2180" customFormat="false" ht="15" hidden="false" customHeight="false" outlineLevel="0" collapsed="false">
      <c r="A2180" s="2" t="n">
        <v>46188</v>
      </c>
      <c r="B2180" s="3" t="s">
        <v>1194</v>
      </c>
      <c r="C2180" s="0" t="n">
        <v>156</v>
      </c>
      <c r="D2180" s="0" t="n">
        <v>2</v>
      </c>
      <c r="E2180" s="0" t="str">
        <f aca="false">INDEX(lot!$B$2:$B$1201,MATCH(B2180,lot!$A$2:$A$1201,0))</f>
        <v>SUP-C</v>
      </c>
      <c r="F2180" s="3" t="n">
        <f aca="false">YEAR(A2180)*100+MONTH(A2180)</f>
        <v>202606</v>
      </c>
    </row>
    <row r="2181" customFormat="false" ht="15" hidden="false" customHeight="false" outlineLevel="0" collapsed="false">
      <c r="A2181" s="2" t="n">
        <v>46189</v>
      </c>
      <c r="B2181" s="3" t="s">
        <v>71</v>
      </c>
      <c r="C2181" s="0" t="n">
        <v>194</v>
      </c>
      <c r="D2181" s="0" t="n">
        <v>1</v>
      </c>
      <c r="E2181" s="0" t="str">
        <f aca="false">INDEX(lot!$B$2:$B$1201,MATCH(B2181,lot!$A$2:$A$1201,0))</f>
        <v>SUP-A</v>
      </c>
      <c r="F2181" s="3" t="n">
        <f aca="false">YEAR(A2181)*100+MONTH(A2181)</f>
        <v>202606</v>
      </c>
    </row>
    <row r="2182" customFormat="false" ht="15" hidden="false" customHeight="false" outlineLevel="0" collapsed="false">
      <c r="A2182" s="2" t="n">
        <v>46189</v>
      </c>
      <c r="B2182" s="3" t="s">
        <v>132</v>
      </c>
      <c r="C2182" s="0" t="n">
        <v>244</v>
      </c>
      <c r="D2182" s="0" t="n">
        <v>3</v>
      </c>
      <c r="E2182" s="0" t="str">
        <f aca="false">INDEX(lot!$B$2:$B$1201,MATCH(B2182,lot!$A$2:$A$1201,0))</f>
        <v>SUP-D</v>
      </c>
      <c r="F2182" s="3" t="n">
        <f aca="false">YEAR(A2182)*100+MONTH(A2182)</f>
        <v>202606</v>
      </c>
    </row>
    <row r="2183" customFormat="false" ht="15" hidden="false" customHeight="false" outlineLevel="0" collapsed="false">
      <c r="A2183" s="2" t="n">
        <v>46189</v>
      </c>
      <c r="B2183" s="3" t="s">
        <v>132</v>
      </c>
      <c r="C2183" s="0" t="n">
        <v>170</v>
      </c>
      <c r="D2183" s="0" t="n">
        <v>0</v>
      </c>
      <c r="E2183" s="0" t="str">
        <f aca="false">INDEX(lot!$B$2:$B$1201,MATCH(B2183,lot!$A$2:$A$1201,0))</f>
        <v>SUP-D</v>
      </c>
      <c r="F2183" s="3" t="n">
        <f aca="false">YEAR(A2183)*100+MONTH(A2183)</f>
        <v>202606</v>
      </c>
    </row>
    <row r="2184" customFormat="false" ht="15" hidden="false" customHeight="false" outlineLevel="0" collapsed="false">
      <c r="A2184" s="2" t="n">
        <v>46189</v>
      </c>
      <c r="B2184" s="3" t="s">
        <v>181</v>
      </c>
      <c r="C2184" s="0" t="n">
        <v>110</v>
      </c>
      <c r="D2184" s="0" t="n">
        <v>1</v>
      </c>
      <c r="E2184" s="0" t="str">
        <f aca="false">INDEX(lot!$B$2:$B$1201,MATCH(B2184,lot!$A$2:$A$1201,0))</f>
        <v>SUP-E</v>
      </c>
      <c r="F2184" s="3" t="n">
        <f aca="false">YEAR(A2184)*100+MONTH(A2184)</f>
        <v>202606</v>
      </c>
    </row>
    <row r="2185" customFormat="false" ht="15" hidden="false" customHeight="false" outlineLevel="0" collapsed="false">
      <c r="A2185" s="2" t="n">
        <v>46189</v>
      </c>
      <c r="B2185" s="3" t="s">
        <v>204</v>
      </c>
      <c r="C2185" s="0" t="n">
        <v>98</v>
      </c>
      <c r="D2185" s="0" t="n">
        <v>0</v>
      </c>
      <c r="E2185" s="0" t="str">
        <f aca="false">INDEX(lot!$B$2:$B$1201,MATCH(B2185,lot!$A$2:$A$1201,0))</f>
        <v>SUP-D</v>
      </c>
      <c r="F2185" s="3" t="n">
        <f aca="false">YEAR(A2185)*100+MONTH(A2185)</f>
        <v>202606</v>
      </c>
    </row>
    <row r="2186" customFormat="false" ht="15" hidden="false" customHeight="false" outlineLevel="0" collapsed="false">
      <c r="A2186" s="2" t="n">
        <v>46189</v>
      </c>
      <c r="B2186" s="3" t="s">
        <v>349</v>
      </c>
      <c r="C2186" s="0" t="n">
        <v>168</v>
      </c>
      <c r="D2186" s="0" t="n">
        <v>1</v>
      </c>
      <c r="E2186" s="0" t="str">
        <f aca="false">INDEX(lot!$B$2:$B$1201,MATCH(B2186,lot!$A$2:$A$1201,0))</f>
        <v>SUP-D</v>
      </c>
      <c r="F2186" s="3" t="n">
        <f aca="false">YEAR(A2186)*100+MONTH(A2186)</f>
        <v>202606</v>
      </c>
    </row>
    <row r="2187" customFormat="false" ht="15" hidden="false" customHeight="false" outlineLevel="0" collapsed="false">
      <c r="A2187" s="2" t="n">
        <v>46189</v>
      </c>
      <c r="B2187" s="3" t="s">
        <v>456</v>
      </c>
      <c r="C2187" s="0" t="n">
        <v>122</v>
      </c>
      <c r="D2187" s="0" t="n">
        <v>1</v>
      </c>
      <c r="E2187" s="0" t="str">
        <f aca="false">INDEX(lot!$B$2:$B$1201,MATCH(B2187,lot!$A$2:$A$1201,0))</f>
        <v>SUP-D</v>
      </c>
      <c r="F2187" s="3" t="n">
        <f aca="false">YEAR(A2187)*100+MONTH(A2187)</f>
        <v>202606</v>
      </c>
    </row>
    <row r="2188" customFormat="false" ht="15" hidden="false" customHeight="false" outlineLevel="0" collapsed="false">
      <c r="A2188" s="2" t="n">
        <v>46189</v>
      </c>
      <c r="B2188" s="3" t="s">
        <v>459</v>
      </c>
      <c r="C2188" s="0" t="n">
        <v>219</v>
      </c>
      <c r="D2188" s="0" t="n">
        <v>2</v>
      </c>
      <c r="E2188" s="0" t="str">
        <f aca="false">INDEX(lot!$B$2:$B$1201,MATCH(B2188,lot!$A$2:$A$1201,0))</f>
        <v>SUP-E</v>
      </c>
      <c r="F2188" s="3" t="n">
        <f aca="false">YEAR(A2188)*100+MONTH(A2188)</f>
        <v>202606</v>
      </c>
    </row>
    <row r="2189" customFormat="false" ht="15" hidden="false" customHeight="false" outlineLevel="0" collapsed="false">
      <c r="A2189" s="2" t="n">
        <v>46189</v>
      </c>
      <c r="B2189" s="3" t="s">
        <v>459</v>
      </c>
      <c r="C2189" s="0" t="n">
        <v>205</v>
      </c>
      <c r="D2189" s="0" t="n">
        <v>0</v>
      </c>
      <c r="E2189" s="0" t="str">
        <f aca="false">INDEX(lot!$B$2:$B$1201,MATCH(B2189,lot!$A$2:$A$1201,0))</f>
        <v>SUP-E</v>
      </c>
      <c r="F2189" s="3" t="n">
        <f aca="false">YEAR(A2189)*100+MONTH(A2189)</f>
        <v>202606</v>
      </c>
    </row>
    <row r="2190" customFormat="false" ht="15" hidden="false" customHeight="false" outlineLevel="0" collapsed="false">
      <c r="A2190" s="2" t="n">
        <v>46189</v>
      </c>
      <c r="B2190" s="3" t="s">
        <v>520</v>
      </c>
      <c r="C2190" s="0" t="n">
        <v>93</v>
      </c>
      <c r="D2190" s="0" t="n">
        <v>0</v>
      </c>
      <c r="E2190" s="0" t="str">
        <f aca="false">INDEX(lot!$B$2:$B$1201,MATCH(B2190,lot!$A$2:$A$1201,0))</f>
        <v>SUP-E</v>
      </c>
      <c r="F2190" s="3" t="n">
        <f aca="false">YEAR(A2190)*100+MONTH(A2190)</f>
        <v>202606</v>
      </c>
    </row>
    <row r="2191" customFormat="false" ht="15" hidden="false" customHeight="false" outlineLevel="0" collapsed="false">
      <c r="A2191" s="2" t="n">
        <v>46189</v>
      </c>
      <c r="B2191" s="3" t="s">
        <v>563</v>
      </c>
      <c r="C2191" s="0" t="n">
        <v>194</v>
      </c>
      <c r="D2191" s="0" t="n">
        <v>2</v>
      </c>
      <c r="E2191" s="0" t="str">
        <f aca="false">INDEX(lot!$B$2:$B$1201,MATCH(B2191,lot!$A$2:$A$1201,0))</f>
        <v>SUP-D</v>
      </c>
      <c r="F2191" s="3" t="n">
        <f aca="false">YEAR(A2191)*100+MONTH(A2191)</f>
        <v>202606</v>
      </c>
    </row>
    <row r="2192" customFormat="false" ht="15" hidden="false" customHeight="false" outlineLevel="0" collapsed="false">
      <c r="A2192" s="2" t="n">
        <v>46189</v>
      </c>
      <c r="B2192" s="3" t="s">
        <v>563</v>
      </c>
      <c r="C2192" s="0" t="n">
        <v>140</v>
      </c>
      <c r="D2192" s="0" t="n">
        <v>4</v>
      </c>
      <c r="E2192" s="0" t="str">
        <f aca="false">INDEX(lot!$B$2:$B$1201,MATCH(B2192,lot!$A$2:$A$1201,0))</f>
        <v>SUP-D</v>
      </c>
      <c r="F2192" s="3" t="n">
        <f aca="false">YEAR(A2192)*100+MONTH(A2192)</f>
        <v>202606</v>
      </c>
    </row>
    <row r="2193" customFormat="false" ht="15" hidden="false" customHeight="false" outlineLevel="0" collapsed="false">
      <c r="A2193" s="2" t="n">
        <v>46189</v>
      </c>
      <c r="B2193" s="3" t="s">
        <v>827</v>
      </c>
      <c r="C2193" s="0" t="n">
        <v>95</v>
      </c>
      <c r="D2193" s="0" t="n">
        <v>2</v>
      </c>
      <c r="E2193" s="0" t="str">
        <f aca="false">INDEX(lot!$B$2:$B$1201,MATCH(B2193,lot!$A$2:$A$1201,0))</f>
        <v>SUP-C</v>
      </c>
      <c r="F2193" s="3" t="n">
        <f aca="false">YEAR(A2193)*100+MONTH(A2193)</f>
        <v>202606</v>
      </c>
    </row>
    <row r="2194" customFormat="false" ht="15" hidden="false" customHeight="false" outlineLevel="0" collapsed="false">
      <c r="A2194" s="2" t="n">
        <v>46189</v>
      </c>
      <c r="B2194" s="3" t="s">
        <v>827</v>
      </c>
      <c r="C2194" s="0" t="n">
        <v>174</v>
      </c>
      <c r="D2194" s="0" t="n">
        <v>8</v>
      </c>
      <c r="E2194" s="0" t="str">
        <f aca="false">INDEX(lot!$B$2:$B$1201,MATCH(B2194,lot!$A$2:$A$1201,0))</f>
        <v>SUP-C</v>
      </c>
      <c r="F2194" s="3" t="n">
        <f aca="false">YEAR(A2194)*100+MONTH(A2194)</f>
        <v>202606</v>
      </c>
    </row>
    <row r="2195" customFormat="false" ht="15" hidden="false" customHeight="false" outlineLevel="0" collapsed="false">
      <c r="A2195" s="2" t="n">
        <v>46189</v>
      </c>
      <c r="B2195" s="3" t="s">
        <v>864</v>
      </c>
      <c r="C2195" s="0" t="n">
        <v>93</v>
      </c>
      <c r="D2195" s="0" t="n">
        <v>1</v>
      </c>
      <c r="E2195" s="0" t="str">
        <f aca="false">INDEX(lot!$B$2:$B$1201,MATCH(B2195,lot!$A$2:$A$1201,0))</f>
        <v>SUP-E</v>
      </c>
      <c r="F2195" s="3" t="n">
        <f aca="false">YEAR(A2195)*100+MONTH(A2195)</f>
        <v>202606</v>
      </c>
    </row>
    <row r="2196" customFormat="false" ht="15" hidden="false" customHeight="false" outlineLevel="0" collapsed="false">
      <c r="A2196" s="2" t="n">
        <v>46189</v>
      </c>
      <c r="B2196" s="3" t="s">
        <v>864</v>
      </c>
      <c r="C2196" s="0" t="n">
        <v>222</v>
      </c>
      <c r="D2196" s="0" t="n">
        <v>0</v>
      </c>
      <c r="E2196" s="0" t="str">
        <f aca="false">INDEX(lot!$B$2:$B$1201,MATCH(B2196,lot!$A$2:$A$1201,0))</f>
        <v>SUP-E</v>
      </c>
      <c r="F2196" s="3" t="n">
        <f aca="false">YEAR(A2196)*100+MONTH(A2196)</f>
        <v>202606</v>
      </c>
    </row>
    <row r="2197" customFormat="false" ht="15" hidden="false" customHeight="false" outlineLevel="0" collapsed="false">
      <c r="A2197" s="2" t="n">
        <v>46189</v>
      </c>
      <c r="B2197" s="3" t="s">
        <v>949</v>
      </c>
      <c r="C2197" s="0" t="n">
        <v>100</v>
      </c>
      <c r="D2197" s="0" t="n">
        <v>0</v>
      </c>
      <c r="E2197" s="0" t="str">
        <f aca="false">INDEX(lot!$B$2:$B$1201,MATCH(B2197,lot!$A$2:$A$1201,0))</f>
        <v>SUP-D</v>
      </c>
      <c r="F2197" s="3" t="n">
        <f aca="false">YEAR(A2197)*100+MONTH(A2197)</f>
        <v>202606</v>
      </c>
    </row>
    <row r="2198" customFormat="false" ht="15" hidden="false" customHeight="false" outlineLevel="0" collapsed="false">
      <c r="A2198" s="2" t="n">
        <v>46189</v>
      </c>
      <c r="B2198" s="3" t="s">
        <v>1020</v>
      </c>
      <c r="C2198" s="0" t="n">
        <v>140</v>
      </c>
      <c r="D2198" s="0" t="n">
        <v>7</v>
      </c>
      <c r="E2198" s="0" t="str">
        <f aca="false">INDEX(lot!$B$2:$B$1201,MATCH(B2198,lot!$A$2:$A$1201,0))</f>
        <v>SUP-C</v>
      </c>
      <c r="F2198" s="3" t="n">
        <f aca="false">YEAR(A2198)*100+MONTH(A2198)</f>
        <v>202606</v>
      </c>
    </row>
    <row r="2199" customFormat="false" ht="15" hidden="false" customHeight="false" outlineLevel="0" collapsed="false">
      <c r="A2199" s="2" t="n">
        <v>46189</v>
      </c>
      <c r="B2199" s="3" t="s">
        <v>1020</v>
      </c>
      <c r="C2199" s="0" t="n">
        <v>150</v>
      </c>
      <c r="D2199" s="0" t="n">
        <v>5</v>
      </c>
      <c r="E2199" s="0" t="str">
        <f aca="false">INDEX(lot!$B$2:$B$1201,MATCH(B2199,lot!$A$2:$A$1201,0))</f>
        <v>SUP-C</v>
      </c>
      <c r="F2199" s="3" t="n">
        <f aca="false">YEAR(A2199)*100+MONTH(A2199)</f>
        <v>202606</v>
      </c>
    </row>
    <row r="2200" customFormat="false" ht="15" hidden="false" customHeight="false" outlineLevel="0" collapsed="false">
      <c r="A2200" s="2" t="n">
        <v>46189</v>
      </c>
      <c r="B2200" s="3" t="s">
        <v>1053</v>
      </c>
      <c r="C2200" s="0" t="n">
        <v>118</v>
      </c>
      <c r="D2200" s="0" t="n">
        <v>1</v>
      </c>
      <c r="E2200" s="0" t="str">
        <f aca="false">INDEX(lot!$B$2:$B$1201,MATCH(B2200,lot!$A$2:$A$1201,0))</f>
        <v>SUP-D</v>
      </c>
      <c r="F2200" s="3" t="n">
        <f aca="false">YEAR(A2200)*100+MONTH(A2200)</f>
        <v>202606</v>
      </c>
    </row>
    <row r="2201" customFormat="false" ht="15" hidden="false" customHeight="false" outlineLevel="0" collapsed="false">
      <c r="A2201" s="2" t="n">
        <v>46189</v>
      </c>
      <c r="B2201" s="3" t="s">
        <v>1053</v>
      </c>
      <c r="C2201" s="0" t="n">
        <v>159</v>
      </c>
      <c r="D2201" s="0" t="n">
        <v>0</v>
      </c>
      <c r="E2201" s="0" t="str">
        <f aca="false">INDEX(lot!$B$2:$B$1201,MATCH(B2201,lot!$A$2:$A$1201,0))</f>
        <v>SUP-D</v>
      </c>
      <c r="F2201" s="3" t="n">
        <f aca="false">YEAR(A2201)*100+MONTH(A2201)</f>
        <v>202606</v>
      </c>
    </row>
    <row r="2202" customFormat="false" ht="15" hidden="false" customHeight="false" outlineLevel="0" collapsed="false">
      <c r="A2202" s="2" t="n">
        <v>46189</v>
      </c>
      <c r="B2202" s="3" t="s">
        <v>1194</v>
      </c>
      <c r="C2202" s="0" t="n">
        <v>94</v>
      </c>
      <c r="D2202" s="0" t="n">
        <v>2</v>
      </c>
      <c r="E2202" s="0" t="str">
        <f aca="false">INDEX(lot!$B$2:$B$1201,MATCH(B2202,lot!$A$2:$A$1201,0))</f>
        <v>SUP-C</v>
      </c>
      <c r="F2202" s="3" t="n">
        <f aca="false">YEAR(A2202)*100+MONTH(A2202)</f>
        <v>202606</v>
      </c>
    </row>
    <row r="2203" customFormat="false" ht="15" hidden="false" customHeight="false" outlineLevel="0" collapsed="false">
      <c r="A2203" s="2" t="n">
        <v>46190</v>
      </c>
      <c r="B2203" s="3" t="s">
        <v>46</v>
      </c>
      <c r="C2203" s="0" t="n">
        <v>189</v>
      </c>
      <c r="D2203" s="0" t="n">
        <v>5</v>
      </c>
      <c r="E2203" s="0" t="str">
        <f aca="false">INDEX(lot!$B$2:$B$1201,MATCH(B2203,lot!$A$2:$A$1201,0))</f>
        <v>SUP-C</v>
      </c>
      <c r="F2203" s="3" t="n">
        <f aca="false">YEAR(A2203)*100+MONTH(A2203)</f>
        <v>202606</v>
      </c>
    </row>
    <row r="2204" customFormat="false" ht="15" hidden="false" customHeight="false" outlineLevel="0" collapsed="false">
      <c r="A2204" s="2" t="n">
        <v>46190</v>
      </c>
      <c r="B2204" s="3" t="s">
        <v>67</v>
      </c>
      <c r="C2204" s="0" t="n">
        <v>81</v>
      </c>
      <c r="D2204" s="0" t="n">
        <v>2</v>
      </c>
      <c r="E2204" s="0" t="str">
        <f aca="false">INDEX(lot!$B$2:$B$1201,MATCH(B2204,lot!$A$2:$A$1201,0))</f>
        <v>SUP-C</v>
      </c>
      <c r="F2204" s="3" t="n">
        <f aca="false">YEAR(A2204)*100+MONTH(A2204)</f>
        <v>202606</v>
      </c>
    </row>
    <row r="2205" customFormat="false" ht="15" hidden="false" customHeight="false" outlineLevel="0" collapsed="false">
      <c r="A2205" s="2" t="n">
        <v>46190</v>
      </c>
      <c r="B2205" s="3" t="s">
        <v>124</v>
      </c>
      <c r="C2205" s="0" t="n">
        <v>245</v>
      </c>
      <c r="D2205" s="0" t="n">
        <v>0</v>
      </c>
      <c r="E2205" s="0" t="str">
        <f aca="false">INDEX(lot!$B$2:$B$1201,MATCH(B2205,lot!$A$2:$A$1201,0))</f>
        <v>SUP-A</v>
      </c>
      <c r="F2205" s="3" t="n">
        <f aca="false">YEAR(A2205)*100+MONTH(A2205)</f>
        <v>202606</v>
      </c>
    </row>
    <row r="2206" customFormat="false" ht="15" hidden="false" customHeight="false" outlineLevel="0" collapsed="false">
      <c r="A2206" s="2" t="n">
        <v>46190</v>
      </c>
      <c r="B2206" s="3" t="s">
        <v>124</v>
      </c>
      <c r="C2206" s="0" t="n">
        <v>161</v>
      </c>
      <c r="D2206" s="0" t="n">
        <v>3</v>
      </c>
      <c r="E2206" s="0" t="str">
        <f aca="false">INDEX(lot!$B$2:$B$1201,MATCH(B2206,lot!$A$2:$A$1201,0))</f>
        <v>SUP-A</v>
      </c>
      <c r="F2206" s="3" t="n">
        <f aca="false">YEAR(A2206)*100+MONTH(A2206)</f>
        <v>202606</v>
      </c>
    </row>
    <row r="2207" customFormat="false" ht="15" hidden="false" customHeight="false" outlineLevel="0" collapsed="false">
      <c r="A2207" s="2" t="n">
        <v>46190</v>
      </c>
      <c r="B2207" s="3" t="s">
        <v>138</v>
      </c>
      <c r="C2207" s="0" t="n">
        <v>179</v>
      </c>
      <c r="D2207" s="0" t="n">
        <v>2</v>
      </c>
      <c r="E2207" s="0" t="str">
        <f aca="false">INDEX(lot!$B$2:$B$1201,MATCH(B2207,lot!$A$2:$A$1201,0))</f>
        <v>SUP-E</v>
      </c>
      <c r="F2207" s="3" t="n">
        <f aca="false">YEAR(A2207)*100+MONTH(A2207)</f>
        <v>202606</v>
      </c>
    </row>
    <row r="2208" customFormat="false" ht="15" hidden="false" customHeight="false" outlineLevel="0" collapsed="false">
      <c r="A2208" s="2" t="n">
        <v>46190</v>
      </c>
      <c r="B2208" s="3" t="s">
        <v>138</v>
      </c>
      <c r="C2208" s="0" t="n">
        <v>139</v>
      </c>
      <c r="D2208" s="0" t="n">
        <v>2</v>
      </c>
      <c r="E2208" s="0" t="str">
        <f aca="false">INDEX(lot!$B$2:$B$1201,MATCH(B2208,lot!$A$2:$A$1201,0))</f>
        <v>SUP-E</v>
      </c>
      <c r="F2208" s="3" t="n">
        <f aca="false">YEAR(A2208)*100+MONTH(A2208)</f>
        <v>202606</v>
      </c>
    </row>
    <row r="2209" customFormat="false" ht="15" hidden="false" customHeight="false" outlineLevel="0" collapsed="false">
      <c r="A2209" s="2" t="n">
        <v>46190</v>
      </c>
      <c r="B2209" s="3" t="s">
        <v>269</v>
      </c>
      <c r="C2209" s="0" t="n">
        <v>226</v>
      </c>
      <c r="D2209" s="0" t="n">
        <v>2</v>
      </c>
      <c r="E2209" s="0" t="str">
        <f aca="false">INDEX(lot!$B$2:$B$1201,MATCH(B2209,lot!$A$2:$A$1201,0))</f>
        <v>SUP-D</v>
      </c>
      <c r="F2209" s="3" t="n">
        <f aca="false">YEAR(A2209)*100+MONTH(A2209)</f>
        <v>202606</v>
      </c>
    </row>
    <row r="2210" customFormat="false" ht="15" hidden="false" customHeight="false" outlineLevel="0" collapsed="false">
      <c r="A2210" s="2" t="n">
        <v>46190</v>
      </c>
      <c r="B2210" s="3" t="s">
        <v>300</v>
      </c>
      <c r="C2210" s="0" t="n">
        <v>69</v>
      </c>
      <c r="D2210" s="0" t="n">
        <v>1</v>
      </c>
      <c r="E2210" s="0" t="str">
        <f aca="false">INDEX(lot!$B$2:$B$1201,MATCH(B2210,lot!$A$2:$A$1201,0))</f>
        <v>SUP-A</v>
      </c>
      <c r="F2210" s="3" t="n">
        <f aca="false">YEAR(A2210)*100+MONTH(A2210)</f>
        <v>202606</v>
      </c>
    </row>
    <row r="2211" customFormat="false" ht="15" hidden="false" customHeight="false" outlineLevel="0" collapsed="false">
      <c r="A2211" s="2" t="n">
        <v>46190</v>
      </c>
      <c r="B2211" s="3" t="s">
        <v>300</v>
      </c>
      <c r="C2211" s="0" t="n">
        <v>204</v>
      </c>
      <c r="D2211" s="0" t="n">
        <v>2</v>
      </c>
      <c r="E2211" s="0" t="str">
        <f aca="false">INDEX(lot!$B$2:$B$1201,MATCH(B2211,lot!$A$2:$A$1201,0))</f>
        <v>SUP-A</v>
      </c>
      <c r="F2211" s="3" t="n">
        <f aca="false">YEAR(A2211)*100+MONTH(A2211)</f>
        <v>202606</v>
      </c>
    </row>
    <row r="2212" customFormat="false" ht="15" hidden="false" customHeight="false" outlineLevel="0" collapsed="false">
      <c r="A2212" s="2" t="n">
        <v>46190</v>
      </c>
      <c r="B2212" s="3" t="s">
        <v>349</v>
      </c>
      <c r="C2212" s="0" t="n">
        <v>79</v>
      </c>
      <c r="D2212" s="0" t="n">
        <v>2</v>
      </c>
      <c r="E2212" s="0" t="str">
        <f aca="false">INDEX(lot!$B$2:$B$1201,MATCH(B2212,lot!$A$2:$A$1201,0))</f>
        <v>SUP-D</v>
      </c>
      <c r="F2212" s="3" t="n">
        <f aca="false">YEAR(A2212)*100+MONTH(A2212)</f>
        <v>202606</v>
      </c>
    </row>
    <row r="2213" customFormat="false" ht="15" hidden="false" customHeight="false" outlineLevel="0" collapsed="false">
      <c r="A2213" s="2" t="n">
        <v>46190</v>
      </c>
      <c r="B2213" s="3" t="s">
        <v>351</v>
      </c>
      <c r="C2213" s="0" t="n">
        <v>246</v>
      </c>
      <c r="D2213" s="0" t="n">
        <v>2</v>
      </c>
      <c r="E2213" s="0" t="str">
        <f aca="false">INDEX(lot!$B$2:$B$1201,MATCH(B2213,lot!$A$2:$A$1201,0))</f>
        <v>SUP-D</v>
      </c>
      <c r="F2213" s="3" t="n">
        <f aca="false">YEAR(A2213)*100+MONTH(A2213)</f>
        <v>202606</v>
      </c>
    </row>
    <row r="2214" customFormat="false" ht="15" hidden="false" customHeight="false" outlineLevel="0" collapsed="false">
      <c r="A2214" s="2" t="n">
        <v>46190</v>
      </c>
      <c r="B2214" s="3" t="s">
        <v>383</v>
      </c>
      <c r="C2214" s="0" t="n">
        <v>167</v>
      </c>
      <c r="D2214" s="0" t="n">
        <v>1</v>
      </c>
      <c r="E2214" s="0" t="str">
        <f aca="false">INDEX(lot!$B$2:$B$1201,MATCH(B2214,lot!$A$2:$A$1201,0))</f>
        <v>SUP-E</v>
      </c>
      <c r="F2214" s="3" t="n">
        <f aca="false">YEAR(A2214)*100+MONTH(A2214)</f>
        <v>202606</v>
      </c>
    </row>
    <row r="2215" customFormat="false" ht="15" hidden="false" customHeight="false" outlineLevel="0" collapsed="false">
      <c r="A2215" s="2" t="n">
        <v>46190</v>
      </c>
      <c r="B2215" s="3" t="s">
        <v>400</v>
      </c>
      <c r="C2215" s="0" t="n">
        <v>128</v>
      </c>
      <c r="D2215" s="0" t="n">
        <v>2</v>
      </c>
      <c r="E2215" s="0" t="str">
        <f aca="false">INDEX(lot!$B$2:$B$1201,MATCH(B2215,lot!$A$2:$A$1201,0))</f>
        <v>SUP-D</v>
      </c>
      <c r="F2215" s="3" t="n">
        <f aca="false">YEAR(A2215)*100+MONTH(A2215)</f>
        <v>202606</v>
      </c>
    </row>
    <row r="2216" customFormat="false" ht="15" hidden="false" customHeight="false" outlineLevel="0" collapsed="false">
      <c r="A2216" s="2" t="n">
        <v>46190</v>
      </c>
      <c r="B2216" s="3" t="s">
        <v>445</v>
      </c>
      <c r="C2216" s="0" t="n">
        <v>97</v>
      </c>
      <c r="D2216" s="0" t="n">
        <v>1</v>
      </c>
      <c r="E2216" s="0" t="str">
        <f aca="false">INDEX(lot!$B$2:$B$1201,MATCH(B2216,lot!$A$2:$A$1201,0))</f>
        <v>SUP-B</v>
      </c>
      <c r="F2216" s="3" t="n">
        <f aca="false">YEAR(A2216)*100+MONTH(A2216)</f>
        <v>202606</v>
      </c>
    </row>
    <row r="2217" customFormat="false" ht="15" hidden="false" customHeight="false" outlineLevel="0" collapsed="false">
      <c r="A2217" s="2" t="n">
        <v>46190</v>
      </c>
      <c r="B2217" s="3" t="s">
        <v>459</v>
      </c>
      <c r="C2217" s="0" t="n">
        <v>74</v>
      </c>
      <c r="D2217" s="0" t="n">
        <v>2</v>
      </c>
      <c r="E2217" s="0" t="str">
        <f aca="false">INDEX(lot!$B$2:$B$1201,MATCH(B2217,lot!$A$2:$A$1201,0))</f>
        <v>SUP-E</v>
      </c>
      <c r="F2217" s="3" t="n">
        <f aca="false">YEAR(A2217)*100+MONTH(A2217)</f>
        <v>202606</v>
      </c>
    </row>
    <row r="2218" customFormat="false" ht="15" hidden="false" customHeight="false" outlineLevel="0" collapsed="false">
      <c r="A2218" s="2" t="n">
        <v>46190</v>
      </c>
      <c r="B2218" s="3" t="s">
        <v>499</v>
      </c>
      <c r="C2218" s="0" t="n">
        <v>225</v>
      </c>
      <c r="D2218" s="0" t="n">
        <v>1</v>
      </c>
      <c r="E2218" s="0" t="str">
        <f aca="false">INDEX(lot!$B$2:$B$1201,MATCH(B2218,lot!$A$2:$A$1201,0))</f>
        <v>SUP-E</v>
      </c>
      <c r="F2218" s="3" t="n">
        <f aca="false">YEAR(A2218)*100+MONTH(A2218)</f>
        <v>202606</v>
      </c>
    </row>
    <row r="2219" customFormat="false" ht="15" hidden="false" customHeight="false" outlineLevel="0" collapsed="false">
      <c r="A2219" s="2" t="n">
        <v>46190</v>
      </c>
      <c r="B2219" s="3" t="s">
        <v>499</v>
      </c>
      <c r="C2219" s="0" t="n">
        <v>215</v>
      </c>
      <c r="D2219" s="0" t="n">
        <v>0</v>
      </c>
      <c r="E2219" s="0" t="str">
        <f aca="false">INDEX(lot!$B$2:$B$1201,MATCH(B2219,lot!$A$2:$A$1201,0))</f>
        <v>SUP-E</v>
      </c>
      <c r="F2219" s="3" t="n">
        <f aca="false">YEAR(A2219)*100+MONTH(A2219)</f>
        <v>202606</v>
      </c>
    </row>
    <row r="2220" customFormat="false" ht="15" hidden="false" customHeight="false" outlineLevel="0" collapsed="false">
      <c r="A2220" s="2" t="n">
        <v>46190</v>
      </c>
      <c r="B2220" s="3" t="s">
        <v>518</v>
      </c>
      <c r="C2220" s="0" t="n">
        <v>244</v>
      </c>
      <c r="D2220" s="0" t="n">
        <v>3</v>
      </c>
      <c r="E2220" s="0" t="str">
        <f aca="false">INDEX(lot!$B$2:$B$1201,MATCH(B2220,lot!$A$2:$A$1201,0))</f>
        <v>SUP-A</v>
      </c>
      <c r="F2220" s="3" t="n">
        <f aca="false">YEAR(A2220)*100+MONTH(A2220)</f>
        <v>202606</v>
      </c>
    </row>
    <row r="2221" customFormat="false" ht="15" hidden="false" customHeight="false" outlineLevel="0" collapsed="false">
      <c r="A2221" s="2" t="n">
        <v>46190</v>
      </c>
      <c r="B2221" s="3" t="s">
        <v>520</v>
      </c>
      <c r="C2221" s="0" t="n">
        <v>79</v>
      </c>
      <c r="D2221" s="0" t="n">
        <v>0</v>
      </c>
      <c r="E2221" s="0" t="str">
        <f aca="false">INDEX(lot!$B$2:$B$1201,MATCH(B2221,lot!$A$2:$A$1201,0))</f>
        <v>SUP-E</v>
      </c>
      <c r="F2221" s="3" t="n">
        <f aca="false">YEAR(A2221)*100+MONTH(A2221)</f>
        <v>202606</v>
      </c>
    </row>
    <row r="2222" customFormat="false" ht="15" hidden="false" customHeight="false" outlineLevel="0" collapsed="false">
      <c r="A2222" s="2" t="n">
        <v>46190</v>
      </c>
      <c r="B2222" s="3" t="s">
        <v>520</v>
      </c>
      <c r="C2222" s="0" t="n">
        <v>150</v>
      </c>
      <c r="D2222" s="0" t="n">
        <v>0</v>
      </c>
      <c r="E2222" s="0" t="str">
        <f aca="false">INDEX(lot!$B$2:$B$1201,MATCH(B2222,lot!$A$2:$A$1201,0))</f>
        <v>SUP-E</v>
      </c>
      <c r="F2222" s="3" t="n">
        <f aca="false">YEAR(A2222)*100+MONTH(A2222)</f>
        <v>202606</v>
      </c>
    </row>
    <row r="2223" customFormat="false" ht="15" hidden="false" customHeight="false" outlineLevel="0" collapsed="false">
      <c r="A2223" s="2" t="n">
        <v>46190</v>
      </c>
      <c r="B2223" s="3" t="s">
        <v>563</v>
      </c>
      <c r="C2223" s="0" t="n">
        <v>182</v>
      </c>
      <c r="D2223" s="0" t="n">
        <v>1</v>
      </c>
      <c r="E2223" s="0" t="str">
        <f aca="false">INDEX(lot!$B$2:$B$1201,MATCH(B2223,lot!$A$2:$A$1201,0))</f>
        <v>SUP-D</v>
      </c>
      <c r="F2223" s="3" t="n">
        <f aca="false">YEAR(A2223)*100+MONTH(A2223)</f>
        <v>202606</v>
      </c>
    </row>
    <row r="2224" customFormat="false" ht="15" hidden="false" customHeight="false" outlineLevel="0" collapsed="false">
      <c r="A2224" s="2" t="n">
        <v>46190</v>
      </c>
      <c r="B2224" s="3" t="s">
        <v>638</v>
      </c>
      <c r="C2224" s="0" t="n">
        <v>118</v>
      </c>
      <c r="D2224" s="0" t="n">
        <v>3</v>
      </c>
      <c r="E2224" s="0" t="str">
        <f aca="false">INDEX(lot!$B$2:$B$1201,MATCH(B2224,lot!$A$2:$A$1201,0))</f>
        <v>SUP-C</v>
      </c>
      <c r="F2224" s="3" t="n">
        <f aca="false">YEAR(A2224)*100+MONTH(A2224)</f>
        <v>202606</v>
      </c>
    </row>
    <row r="2225" customFormat="false" ht="15" hidden="false" customHeight="false" outlineLevel="0" collapsed="false">
      <c r="A2225" s="2" t="n">
        <v>46190</v>
      </c>
      <c r="B2225" s="3" t="s">
        <v>640</v>
      </c>
      <c r="C2225" s="0" t="n">
        <v>72</v>
      </c>
      <c r="D2225" s="0" t="n">
        <v>1</v>
      </c>
      <c r="E2225" s="0" t="str">
        <f aca="false">INDEX(lot!$B$2:$B$1201,MATCH(B2225,lot!$A$2:$A$1201,0))</f>
        <v>SUP-B</v>
      </c>
      <c r="F2225" s="3" t="n">
        <f aca="false">YEAR(A2225)*100+MONTH(A2225)</f>
        <v>202606</v>
      </c>
    </row>
    <row r="2226" customFormat="false" ht="15" hidden="false" customHeight="false" outlineLevel="0" collapsed="false">
      <c r="A2226" s="2" t="n">
        <v>46190</v>
      </c>
      <c r="B2226" s="3" t="s">
        <v>680</v>
      </c>
      <c r="C2226" s="0" t="n">
        <v>105</v>
      </c>
      <c r="D2226" s="0" t="n">
        <v>2</v>
      </c>
      <c r="E2226" s="0" t="str">
        <f aca="false">INDEX(lot!$B$2:$B$1201,MATCH(B2226,lot!$A$2:$A$1201,0))</f>
        <v>SUP-D</v>
      </c>
      <c r="F2226" s="3" t="n">
        <f aca="false">YEAR(A2226)*100+MONTH(A2226)</f>
        <v>202606</v>
      </c>
    </row>
    <row r="2227" customFormat="false" ht="15" hidden="false" customHeight="false" outlineLevel="0" collapsed="false">
      <c r="A2227" s="2" t="n">
        <v>46190</v>
      </c>
      <c r="B2227" s="3" t="s">
        <v>747</v>
      </c>
      <c r="C2227" s="0" t="n">
        <v>151</v>
      </c>
      <c r="D2227" s="0" t="n">
        <v>1</v>
      </c>
      <c r="E2227" s="0" t="str">
        <f aca="false">INDEX(lot!$B$2:$B$1201,MATCH(B2227,lot!$A$2:$A$1201,0))</f>
        <v>SUP-A</v>
      </c>
      <c r="F2227" s="3" t="n">
        <f aca="false">YEAR(A2227)*100+MONTH(A2227)</f>
        <v>202606</v>
      </c>
    </row>
    <row r="2228" customFormat="false" ht="15" hidden="false" customHeight="false" outlineLevel="0" collapsed="false">
      <c r="A2228" s="2" t="n">
        <v>46190</v>
      </c>
      <c r="B2228" s="3" t="s">
        <v>747</v>
      </c>
      <c r="C2228" s="0" t="n">
        <v>138</v>
      </c>
      <c r="D2228" s="0" t="n">
        <v>1</v>
      </c>
      <c r="E2228" s="0" t="str">
        <f aca="false">INDEX(lot!$B$2:$B$1201,MATCH(B2228,lot!$A$2:$A$1201,0))</f>
        <v>SUP-A</v>
      </c>
      <c r="F2228" s="3" t="n">
        <f aca="false">YEAR(A2228)*100+MONTH(A2228)</f>
        <v>202606</v>
      </c>
    </row>
    <row r="2229" customFormat="false" ht="15" hidden="false" customHeight="false" outlineLevel="0" collapsed="false">
      <c r="A2229" s="2" t="n">
        <v>46190</v>
      </c>
      <c r="B2229" s="3" t="s">
        <v>779</v>
      </c>
      <c r="C2229" s="0" t="n">
        <v>81</v>
      </c>
      <c r="D2229" s="0" t="n">
        <v>0</v>
      </c>
      <c r="E2229" s="0" t="str">
        <f aca="false">INDEX(lot!$B$2:$B$1201,MATCH(B2229,lot!$A$2:$A$1201,0))</f>
        <v>SUP-C</v>
      </c>
      <c r="F2229" s="3" t="n">
        <f aca="false">YEAR(A2229)*100+MONTH(A2229)</f>
        <v>202606</v>
      </c>
    </row>
    <row r="2230" customFormat="false" ht="15" hidden="false" customHeight="false" outlineLevel="0" collapsed="false">
      <c r="A2230" s="2" t="n">
        <v>46190</v>
      </c>
      <c r="B2230" s="3" t="s">
        <v>827</v>
      </c>
      <c r="C2230" s="0" t="n">
        <v>194</v>
      </c>
      <c r="D2230" s="0" t="n">
        <v>1</v>
      </c>
      <c r="E2230" s="0" t="str">
        <f aca="false">INDEX(lot!$B$2:$B$1201,MATCH(B2230,lot!$A$2:$A$1201,0))</f>
        <v>SUP-C</v>
      </c>
      <c r="F2230" s="3" t="n">
        <f aca="false">YEAR(A2230)*100+MONTH(A2230)</f>
        <v>202606</v>
      </c>
    </row>
    <row r="2231" customFormat="false" ht="15" hidden="false" customHeight="false" outlineLevel="0" collapsed="false">
      <c r="A2231" s="2" t="n">
        <v>46190</v>
      </c>
      <c r="B2231" s="3" t="s">
        <v>827</v>
      </c>
      <c r="C2231" s="0" t="n">
        <v>168</v>
      </c>
      <c r="D2231" s="0" t="n">
        <v>4</v>
      </c>
      <c r="E2231" s="0" t="str">
        <f aca="false">INDEX(lot!$B$2:$B$1201,MATCH(B2231,lot!$A$2:$A$1201,0))</f>
        <v>SUP-C</v>
      </c>
      <c r="F2231" s="3" t="n">
        <f aca="false">YEAR(A2231)*100+MONTH(A2231)</f>
        <v>202606</v>
      </c>
    </row>
    <row r="2232" customFormat="false" ht="15" hidden="false" customHeight="false" outlineLevel="0" collapsed="false">
      <c r="A2232" s="2" t="n">
        <v>46190</v>
      </c>
      <c r="B2232" s="3" t="s">
        <v>1123</v>
      </c>
      <c r="C2232" s="0" t="n">
        <v>200</v>
      </c>
      <c r="D2232" s="0" t="n">
        <v>2</v>
      </c>
      <c r="E2232" s="0" t="str">
        <f aca="false">INDEX(lot!$B$2:$B$1201,MATCH(B2232,lot!$A$2:$A$1201,0))</f>
        <v>SUP-E</v>
      </c>
      <c r="F2232" s="3" t="n">
        <f aca="false">YEAR(A2232)*100+MONTH(A2232)</f>
        <v>202606</v>
      </c>
    </row>
    <row r="2233" customFormat="false" ht="15" hidden="false" customHeight="false" outlineLevel="0" collapsed="false">
      <c r="A2233" s="2" t="n">
        <v>46191</v>
      </c>
      <c r="B2233" s="3" t="s">
        <v>36</v>
      </c>
      <c r="C2233" s="0" t="n">
        <v>216</v>
      </c>
      <c r="D2233" s="0" t="n">
        <v>17</v>
      </c>
      <c r="E2233" s="0" t="str">
        <f aca="false">INDEX(lot!$B$2:$B$1201,MATCH(B2233,lot!$A$2:$A$1201,0))</f>
        <v>SUP-D</v>
      </c>
      <c r="F2233" s="3" t="n">
        <f aca="false">YEAR(A2233)*100+MONTH(A2233)</f>
        <v>202606</v>
      </c>
    </row>
    <row r="2234" customFormat="false" ht="15" hidden="false" customHeight="false" outlineLevel="0" collapsed="false">
      <c r="A2234" s="2" t="n">
        <v>46191</v>
      </c>
      <c r="B2234" s="3" t="s">
        <v>46</v>
      </c>
      <c r="C2234" s="0" t="n">
        <v>145</v>
      </c>
      <c r="D2234" s="0" t="n">
        <v>3</v>
      </c>
      <c r="E2234" s="0" t="str">
        <f aca="false">INDEX(lot!$B$2:$B$1201,MATCH(B2234,lot!$A$2:$A$1201,0))</f>
        <v>SUP-C</v>
      </c>
      <c r="F2234" s="3" t="n">
        <f aca="false">YEAR(A2234)*100+MONTH(A2234)</f>
        <v>202606</v>
      </c>
    </row>
    <row r="2235" customFormat="false" ht="15" hidden="false" customHeight="false" outlineLevel="0" collapsed="false">
      <c r="A2235" s="2" t="n">
        <v>46191</v>
      </c>
      <c r="B2235" s="3" t="s">
        <v>46</v>
      </c>
      <c r="C2235" s="0" t="n">
        <v>74</v>
      </c>
      <c r="D2235" s="0" t="n">
        <v>1</v>
      </c>
      <c r="E2235" s="0" t="str">
        <f aca="false">INDEX(lot!$B$2:$B$1201,MATCH(B2235,lot!$A$2:$A$1201,0))</f>
        <v>SUP-C</v>
      </c>
      <c r="F2235" s="3" t="n">
        <f aca="false">YEAR(A2235)*100+MONTH(A2235)</f>
        <v>202606</v>
      </c>
    </row>
    <row r="2236" customFormat="false" ht="15" hidden="false" customHeight="false" outlineLevel="0" collapsed="false">
      <c r="A2236" s="2" t="n">
        <v>46191</v>
      </c>
      <c r="B2236" s="3" t="s">
        <v>67</v>
      </c>
      <c r="C2236" s="0" t="n">
        <v>66</v>
      </c>
      <c r="D2236" s="0" t="n">
        <v>1</v>
      </c>
      <c r="E2236" s="0" t="str">
        <f aca="false">INDEX(lot!$B$2:$B$1201,MATCH(B2236,lot!$A$2:$A$1201,0))</f>
        <v>SUP-C</v>
      </c>
      <c r="F2236" s="3" t="n">
        <f aca="false">YEAR(A2236)*100+MONTH(A2236)</f>
        <v>202606</v>
      </c>
    </row>
    <row r="2237" customFormat="false" ht="15" hidden="false" customHeight="false" outlineLevel="0" collapsed="false">
      <c r="A2237" s="2" t="n">
        <v>46191</v>
      </c>
      <c r="B2237" s="3" t="s">
        <v>67</v>
      </c>
      <c r="C2237" s="0" t="n">
        <v>241</v>
      </c>
      <c r="D2237" s="0" t="n">
        <v>8</v>
      </c>
      <c r="E2237" s="0" t="str">
        <f aca="false">INDEX(lot!$B$2:$B$1201,MATCH(B2237,lot!$A$2:$A$1201,0))</f>
        <v>SUP-C</v>
      </c>
      <c r="F2237" s="3" t="n">
        <f aca="false">YEAR(A2237)*100+MONTH(A2237)</f>
        <v>202606</v>
      </c>
    </row>
    <row r="2238" customFormat="false" ht="15" hidden="false" customHeight="false" outlineLevel="0" collapsed="false">
      <c r="A2238" s="2" t="n">
        <v>46191</v>
      </c>
      <c r="B2238" s="3" t="s">
        <v>124</v>
      </c>
      <c r="C2238" s="0" t="n">
        <v>14</v>
      </c>
      <c r="D2238" s="0" t="n">
        <v>0</v>
      </c>
      <c r="E2238" s="0" t="str">
        <f aca="false">INDEX(lot!$B$2:$B$1201,MATCH(B2238,lot!$A$2:$A$1201,0))</f>
        <v>SUP-A</v>
      </c>
      <c r="F2238" s="3" t="n">
        <f aca="false">YEAR(A2238)*100+MONTH(A2238)</f>
        <v>202606</v>
      </c>
    </row>
    <row r="2239" customFormat="false" ht="15" hidden="false" customHeight="false" outlineLevel="0" collapsed="false">
      <c r="A2239" s="2" t="n">
        <v>46191</v>
      </c>
      <c r="B2239" s="3" t="s">
        <v>128</v>
      </c>
      <c r="C2239" s="0" t="n">
        <v>87</v>
      </c>
      <c r="D2239" s="0" t="n">
        <v>6</v>
      </c>
      <c r="E2239" s="0" t="str">
        <f aca="false">INDEX(lot!$B$2:$B$1201,MATCH(B2239,lot!$A$2:$A$1201,0))</f>
        <v>SUP-C</v>
      </c>
      <c r="F2239" s="3" t="n">
        <f aca="false">YEAR(A2239)*100+MONTH(A2239)</f>
        <v>202606</v>
      </c>
    </row>
    <row r="2240" customFormat="false" ht="15" hidden="false" customHeight="false" outlineLevel="0" collapsed="false">
      <c r="A2240" s="2" t="n">
        <v>46191</v>
      </c>
      <c r="B2240" s="3" t="s">
        <v>138</v>
      </c>
      <c r="C2240" s="0" t="n">
        <v>108</v>
      </c>
      <c r="D2240" s="0" t="n">
        <v>1</v>
      </c>
      <c r="E2240" s="0" t="str">
        <f aca="false">INDEX(lot!$B$2:$B$1201,MATCH(B2240,lot!$A$2:$A$1201,0))</f>
        <v>SUP-E</v>
      </c>
      <c r="F2240" s="3" t="n">
        <f aca="false">YEAR(A2240)*100+MONTH(A2240)</f>
        <v>202606</v>
      </c>
    </row>
    <row r="2241" customFormat="false" ht="15" hidden="false" customHeight="false" outlineLevel="0" collapsed="false">
      <c r="A2241" s="2" t="n">
        <v>46191</v>
      </c>
      <c r="B2241" s="3" t="s">
        <v>269</v>
      </c>
      <c r="C2241" s="0" t="n">
        <v>76</v>
      </c>
      <c r="D2241" s="0" t="n">
        <v>1</v>
      </c>
      <c r="E2241" s="0" t="str">
        <f aca="false">INDEX(lot!$B$2:$B$1201,MATCH(B2241,lot!$A$2:$A$1201,0))</f>
        <v>SUP-D</v>
      </c>
      <c r="F2241" s="3" t="n">
        <f aca="false">YEAR(A2241)*100+MONTH(A2241)</f>
        <v>202606</v>
      </c>
    </row>
    <row r="2242" customFormat="false" ht="15" hidden="false" customHeight="false" outlineLevel="0" collapsed="false">
      <c r="A2242" s="2" t="n">
        <v>46191</v>
      </c>
      <c r="B2242" s="3" t="s">
        <v>269</v>
      </c>
      <c r="C2242" s="0" t="n">
        <v>154</v>
      </c>
      <c r="D2242" s="0" t="n">
        <v>3</v>
      </c>
      <c r="E2242" s="0" t="str">
        <f aca="false">INDEX(lot!$B$2:$B$1201,MATCH(B2242,lot!$A$2:$A$1201,0))</f>
        <v>SUP-D</v>
      </c>
      <c r="F2242" s="3" t="n">
        <f aca="false">YEAR(A2242)*100+MONTH(A2242)</f>
        <v>202606</v>
      </c>
    </row>
    <row r="2243" customFormat="false" ht="15" hidden="false" customHeight="false" outlineLevel="0" collapsed="false">
      <c r="A2243" s="2" t="n">
        <v>46191</v>
      </c>
      <c r="B2243" s="3" t="s">
        <v>277</v>
      </c>
      <c r="C2243" s="0" t="n">
        <v>220</v>
      </c>
      <c r="D2243" s="0" t="n">
        <v>3</v>
      </c>
      <c r="E2243" s="0" t="str">
        <f aca="false">INDEX(lot!$B$2:$B$1201,MATCH(B2243,lot!$A$2:$A$1201,0))</f>
        <v>SUP-E</v>
      </c>
      <c r="F2243" s="3" t="n">
        <f aca="false">YEAR(A2243)*100+MONTH(A2243)</f>
        <v>202606</v>
      </c>
    </row>
    <row r="2244" customFormat="false" ht="15" hidden="false" customHeight="false" outlineLevel="0" collapsed="false">
      <c r="A2244" s="2" t="n">
        <v>46191</v>
      </c>
      <c r="B2244" s="3" t="s">
        <v>300</v>
      </c>
      <c r="C2244" s="0" t="n">
        <v>98</v>
      </c>
      <c r="D2244" s="0" t="n">
        <v>0</v>
      </c>
      <c r="E2244" s="0" t="str">
        <f aca="false">INDEX(lot!$B$2:$B$1201,MATCH(B2244,lot!$A$2:$A$1201,0))</f>
        <v>SUP-A</v>
      </c>
      <c r="F2244" s="3" t="n">
        <f aca="false">YEAR(A2244)*100+MONTH(A2244)</f>
        <v>202606</v>
      </c>
    </row>
    <row r="2245" customFormat="false" ht="15" hidden="false" customHeight="false" outlineLevel="0" collapsed="false">
      <c r="A2245" s="2" t="n">
        <v>46191</v>
      </c>
      <c r="B2245" s="3" t="s">
        <v>300</v>
      </c>
      <c r="C2245" s="0" t="n">
        <v>182</v>
      </c>
      <c r="D2245" s="0" t="n">
        <v>1</v>
      </c>
      <c r="E2245" s="0" t="str">
        <f aca="false">INDEX(lot!$B$2:$B$1201,MATCH(B2245,lot!$A$2:$A$1201,0))</f>
        <v>SUP-A</v>
      </c>
      <c r="F2245" s="3" t="n">
        <f aca="false">YEAR(A2245)*100+MONTH(A2245)</f>
        <v>202606</v>
      </c>
    </row>
    <row r="2246" customFormat="false" ht="15" hidden="false" customHeight="false" outlineLevel="0" collapsed="false">
      <c r="A2246" s="2" t="n">
        <v>46191</v>
      </c>
      <c r="B2246" s="3" t="s">
        <v>351</v>
      </c>
      <c r="C2246" s="0" t="n">
        <v>242</v>
      </c>
      <c r="D2246" s="0" t="n">
        <v>0</v>
      </c>
      <c r="E2246" s="0" t="str">
        <f aca="false">INDEX(lot!$B$2:$B$1201,MATCH(B2246,lot!$A$2:$A$1201,0))</f>
        <v>SUP-D</v>
      </c>
      <c r="F2246" s="3" t="n">
        <f aca="false">YEAR(A2246)*100+MONTH(A2246)</f>
        <v>202606</v>
      </c>
    </row>
    <row r="2247" customFormat="false" ht="15" hidden="false" customHeight="false" outlineLevel="0" collapsed="false">
      <c r="A2247" s="2" t="n">
        <v>46191</v>
      </c>
      <c r="B2247" s="3" t="s">
        <v>383</v>
      </c>
      <c r="C2247" s="0" t="n">
        <v>138</v>
      </c>
      <c r="D2247" s="0" t="n">
        <v>2</v>
      </c>
      <c r="E2247" s="0" t="str">
        <f aca="false">INDEX(lot!$B$2:$B$1201,MATCH(B2247,lot!$A$2:$A$1201,0))</f>
        <v>SUP-E</v>
      </c>
      <c r="F2247" s="3" t="n">
        <f aca="false">YEAR(A2247)*100+MONTH(A2247)</f>
        <v>202606</v>
      </c>
    </row>
    <row r="2248" customFormat="false" ht="15" hidden="false" customHeight="false" outlineLevel="0" collapsed="false">
      <c r="A2248" s="2" t="n">
        <v>46191</v>
      </c>
      <c r="B2248" s="3" t="s">
        <v>383</v>
      </c>
      <c r="C2248" s="0" t="n">
        <v>101</v>
      </c>
      <c r="D2248" s="0" t="n">
        <v>1</v>
      </c>
      <c r="E2248" s="0" t="str">
        <f aca="false">INDEX(lot!$B$2:$B$1201,MATCH(B2248,lot!$A$2:$A$1201,0))</f>
        <v>SUP-E</v>
      </c>
      <c r="F2248" s="3" t="n">
        <f aca="false">YEAR(A2248)*100+MONTH(A2248)</f>
        <v>202606</v>
      </c>
    </row>
    <row r="2249" customFormat="false" ht="15" hidden="false" customHeight="false" outlineLevel="0" collapsed="false">
      <c r="A2249" s="2" t="n">
        <v>46191</v>
      </c>
      <c r="B2249" s="3" t="s">
        <v>393</v>
      </c>
      <c r="C2249" s="0" t="n">
        <v>158</v>
      </c>
      <c r="D2249" s="0" t="n">
        <v>2</v>
      </c>
      <c r="E2249" s="0" t="str">
        <f aca="false">INDEX(lot!$B$2:$B$1201,MATCH(B2249,lot!$A$2:$A$1201,0))</f>
        <v>SUP-D</v>
      </c>
      <c r="F2249" s="3" t="n">
        <f aca="false">YEAR(A2249)*100+MONTH(A2249)</f>
        <v>202606</v>
      </c>
    </row>
    <row r="2250" customFormat="false" ht="15" hidden="false" customHeight="false" outlineLevel="0" collapsed="false">
      <c r="A2250" s="2" t="n">
        <v>46191</v>
      </c>
      <c r="B2250" s="3" t="s">
        <v>393</v>
      </c>
      <c r="C2250" s="0" t="n">
        <v>182</v>
      </c>
      <c r="D2250" s="0" t="n">
        <v>1</v>
      </c>
      <c r="E2250" s="0" t="str">
        <f aca="false">INDEX(lot!$B$2:$B$1201,MATCH(B2250,lot!$A$2:$A$1201,0))</f>
        <v>SUP-D</v>
      </c>
      <c r="F2250" s="3" t="n">
        <f aca="false">YEAR(A2250)*100+MONTH(A2250)</f>
        <v>202606</v>
      </c>
    </row>
    <row r="2251" customFormat="false" ht="15" hidden="false" customHeight="false" outlineLevel="0" collapsed="false">
      <c r="A2251" s="2" t="n">
        <v>46191</v>
      </c>
      <c r="B2251" s="3" t="s">
        <v>400</v>
      </c>
      <c r="C2251" s="0" t="n">
        <v>156</v>
      </c>
      <c r="D2251" s="0" t="n">
        <v>2</v>
      </c>
      <c r="E2251" s="0" t="str">
        <f aca="false">INDEX(lot!$B$2:$B$1201,MATCH(B2251,lot!$A$2:$A$1201,0))</f>
        <v>SUP-D</v>
      </c>
      <c r="F2251" s="3" t="n">
        <f aca="false">YEAR(A2251)*100+MONTH(A2251)</f>
        <v>202606</v>
      </c>
    </row>
    <row r="2252" customFormat="false" ht="15" hidden="false" customHeight="false" outlineLevel="0" collapsed="false">
      <c r="A2252" s="2" t="n">
        <v>46191</v>
      </c>
      <c r="B2252" s="3" t="s">
        <v>400</v>
      </c>
      <c r="C2252" s="0" t="n">
        <v>87</v>
      </c>
      <c r="D2252" s="0" t="n">
        <v>0</v>
      </c>
      <c r="E2252" s="0" t="str">
        <f aca="false">INDEX(lot!$B$2:$B$1201,MATCH(B2252,lot!$A$2:$A$1201,0))</f>
        <v>SUP-D</v>
      </c>
      <c r="F2252" s="3" t="n">
        <f aca="false">YEAR(A2252)*100+MONTH(A2252)</f>
        <v>202606</v>
      </c>
    </row>
    <row r="2253" customFormat="false" ht="15" hidden="false" customHeight="false" outlineLevel="0" collapsed="false">
      <c r="A2253" s="2" t="n">
        <v>46191</v>
      </c>
      <c r="B2253" s="3" t="s">
        <v>499</v>
      </c>
      <c r="C2253" s="0" t="n">
        <v>22</v>
      </c>
      <c r="D2253" s="0" t="n">
        <v>0</v>
      </c>
      <c r="E2253" s="0" t="str">
        <f aca="false">INDEX(lot!$B$2:$B$1201,MATCH(B2253,lot!$A$2:$A$1201,0))</f>
        <v>SUP-E</v>
      </c>
      <c r="F2253" s="3" t="n">
        <f aca="false">YEAR(A2253)*100+MONTH(A2253)</f>
        <v>202606</v>
      </c>
    </row>
    <row r="2254" customFormat="false" ht="15" hidden="false" customHeight="false" outlineLevel="0" collapsed="false">
      <c r="A2254" s="2" t="n">
        <v>46191</v>
      </c>
      <c r="B2254" s="3" t="s">
        <v>563</v>
      </c>
      <c r="C2254" s="0" t="n">
        <v>180</v>
      </c>
      <c r="D2254" s="0" t="n">
        <v>1</v>
      </c>
      <c r="E2254" s="0" t="str">
        <f aca="false">INDEX(lot!$B$2:$B$1201,MATCH(B2254,lot!$A$2:$A$1201,0))</f>
        <v>SUP-D</v>
      </c>
      <c r="F2254" s="3" t="n">
        <f aca="false">YEAR(A2254)*100+MONTH(A2254)</f>
        <v>202606</v>
      </c>
    </row>
    <row r="2255" customFormat="false" ht="15" hidden="false" customHeight="false" outlineLevel="0" collapsed="false">
      <c r="A2255" s="2" t="n">
        <v>46191</v>
      </c>
      <c r="B2255" s="3" t="s">
        <v>638</v>
      </c>
      <c r="C2255" s="0" t="n">
        <v>131</v>
      </c>
      <c r="D2255" s="0" t="n">
        <v>2</v>
      </c>
      <c r="E2255" s="0" t="str">
        <f aca="false">INDEX(lot!$B$2:$B$1201,MATCH(B2255,lot!$A$2:$A$1201,0))</f>
        <v>SUP-C</v>
      </c>
      <c r="F2255" s="3" t="n">
        <f aca="false">YEAR(A2255)*100+MONTH(A2255)</f>
        <v>202606</v>
      </c>
    </row>
    <row r="2256" customFormat="false" ht="15" hidden="false" customHeight="false" outlineLevel="0" collapsed="false">
      <c r="A2256" s="2" t="n">
        <v>46191</v>
      </c>
      <c r="B2256" s="3" t="s">
        <v>638</v>
      </c>
      <c r="C2256" s="0" t="n">
        <v>85</v>
      </c>
      <c r="D2256" s="0" t="n">
        <v>2</v>
      </c>
      <c r="E2256" s="0" t="str">
        <f aca="false">INDEX(lot!$B$2:$B$1201,MATCH(B2256,lot!$A$2:$A$1201,0))</f>
        <v>SUP-C</v>
      </c>
      <c r="F2256" s="3" t="n">
        <f aca="false">YEAR(A2256)*100+MONTH(A2256)</f>
        <v>202606</v>
      </c>
    </row>
    <row r="2257" customFormat="false" ht="15" hidden="false" customHeight="false" outlineLevel="0" collapsed="false">
      <c r="A2257" s="2" t="n">
        <v>46191</v>
      </c>
      <c r="B2257" s="3" t="s">
        <v>640</v>
      </c>
      <c r="C2257" s="0" t="n">
        <v>137</v>
      </c>
      <c r="D2257" s="0" t="n">
        <v>2</v>
      </c>
      <c r="E2257" s="0" t="str">
        <f aca="false">INDEX(lot!$B$2:$B$1201,MATCH(B2257,lot!$A$2:$A$1201,0))</f>
        <v>SUP-B</v>
      </c>
      <c r="F2257" s="3" t="n">
        <f aca="false">YEAR(A2257)*100+MONTH(A2257)</f>
        <v>202606</v>
      </c>
    </row>
    <row r="2258" customFormat="false" ht="15" hidden="false" customHeight="false" outlineLevel="0" collapsed="false">
      <c r="A2258" s="2" t="n">
        <v>46191</v>
      </c>
      <c r="B2258" s="3" t="s">
        <v>690</v>
      </c>
      <c r="C2258" s="0" t="n">
        <v>245</v>
      </c>
      <c r="D2258" s="0" t="n">
        <v>13</v>
      </c>
      <c r="E2258" s="0" t="str">
        <f aca="false">INDEX(lot!$B$2:$B$1201,MATCH(B2258,lot!$A$2:$A$1201,0))</f>
        <v>SUP-A</v>
      </c>
      <c r="F2258" s="3" t="n">
        <f aca="false">YEAR(A2258)*100+MONTH(A2258)</f>
        <v>202606</v>
      </c>
    </row>
    <row r="2259" customFormat="false" ht="15" hidden="false" customHeight="false" outlineLevel="0" collapsed="false">
      <c r="A2259" s="2" t="n">
        <v>46191</v>
      </c>
      <c r="B2259" s="3" t="s">
        <v>747</v>
      </c>
      <c r="C2259" s="0" t="n">
        <v>75</v>
      </c>
      <c r="D2259" s="0" t="n">
        <v>1</v>
      </c>
      <c r="E2259" s="0" t="str">
        <f aca="false">INDEX(lot!$B$2:$B$1201,MATCH(B2259,lot!$A$2:$A$1201,0))</f>
        <v>SUP-A</v>
      </c>
      <c r="F2259" s="3" t="n">
        <f aca="false">YEAR(A2259)*100+MONTH(A2259)</f>
        <v>202606</v>
      </c>
    </row>
    <row r="2260" customFormat="false" ht="15" hidden="false" customHeight="false" outlineLevel="0" collapsed="false">
      <c r="A2260" s="2" t="n">
        <v>46191</v>
      </c>
      <c r="B2260" s="3" t="s">
        <v>747</v>
      </c>
      <c r="C2260" s="0" t="n">
        <v>166</v>
      </c>
      <c r="D2260" s="0" t="n">
        <v>1</v>
      </c>
      <c r="E2260" s="0" t="str">
        <f aca="false">INDEX(lot!$B$2:$B$1201,MATCH(B2260,lot!$A$2:$A$1201,0))</f>
        <v>SUP-A</v>
      </c>
      <c r="F2260" s="3" t="n">
        <f aca="false">YEAR(A2260)*100+MONTH(A2260)</f>
        <v>202606</v>
      </c>
    </row>
    <row r="2261" customFormat="false" ht="15" hidden="false" customHeight="false" outlineLevel="0" collapsed="false">
      <c r="A2261" s="2" t="n">
        <v>46191</v>
      </c>
      <c r="B2261" s="3" t="s">
        <v>811</v>
      </c>
      <c r="C2261" s="0" t="n">
        <v>228</v>
      </c>
      <c r="D2261" s="0" t="n">
        <v>2</v>
      </c>
      <c r="E2261" s="0" t="str">
        <f aca="false">INDEX(lot!$B$2:$B$1201,MATCH(B2261,lot!$A$2:$A$1201,0))</f>
        <v>SUP-E</v>
      </c>
      <c r="F2261" s="3" t="n">
        <f aca="false">YEAR(A2261)*100+MONTH(A2261)</f>
        <v>202606</v>
      </c>
    </row>
    <row r="2262" customFormat="false" ht="15" hidden="false" customHeight="false" outlineLevel="0" collapsed="false">
      <c r="A2262" s="2" t="n">
        <v>46191</v>
      </c>
      <c r="B2262" s="3" t="s">
        <v>870</v>
      </c>
      <c r="C2262" s="0" t="n">
        <v>178</v>
      </c>
      <c r="D2262" s="0" t="n">
        <v>1</v>
      </c>
      <c r="E2262" s="0" t="str">
        <f aca="false">INDEX(lot!$B$2:$B$1201,MATCH(B2262,lot!$A$2:$A$1201,0))</f>
        <v>SUP-A</v>
      </c>
      <c r="F2262" s="3" t="n">
        <f aca="false">YEAR(A2262)*100+MONTH(A2262)</f>
        <v>202606</v>
      </c>
    </row>
    <row r="2263" customFormat="false" ht="15" hidden="false" customHeight="false" outlineLevel="0" collapsed="false">
      <c r="A2263" s="2" t="n">
        <v>46191</v>
      </c>
      <c r="B2263" s="3" t="s">
        <v>870</v>
      </c>
      <c r="C2263" s="0" t="n">
        <v>160</v>
      </c>
      <c r="D2263" s="0" t="n">
        <v>2</v>
      </c>
      <c r="E2263" s="0" t="str">
        <f aca="false">INDEX(lot!$B$2:$B$1201,MATCH(B2263,lot!$A$2:$A$1201,0))</f>
        <v>SUP-A</v>
      </c>
      <c r="F2263" s="3" t="n">
        <f aca="false">YEAR(A2263)*100+MONTH(A2263)</f>
        <v>202606</v>
      </c>
    </row>
    <row r="2264" customFormat="false" ht="15" hidden="false" customHeight="false" outlineLevel="0" collapsed="false">
      <c r="A2264" s="2" t="n">
        <v>46191</v>
      </c>
      <c r="B2264" s="3" t="s">
        <v>1049</v>
      </c>
      <c r="C2264" s="0" t="n">
        <v>157</v>
      </c>
      <c r="D2264" s="0" t="n">
        <v>2</v>
      </c>
      <c r="E2264" s="0" t="str">
        <f aca="false">INDEX(lot!$B$2:$B$1201,MATCH(B2264,lot!$A$2:$A$1201,0))</f>
        <v>SUP-D</v>
      </c>
      <c r="F2264" s="3" t="n">
        <f aca="false">YEAR(A2264)*100+MONTH(A2264)</f>
        <v>202606</v>
      </c>
    </row>
    <row r="2265" customFormat="false" ht="15" hidden="false" customHeight="false" outlineLevel="0" collapsed="false">
      <c r="A2265" s="2" t="n">
        <v>46191</v>
      </c>
      <c r="B2265" s="3" t="s">
        <v>1123</v>
      </c>
      <c r="C2265" s="0" t="n">
        <v>192</v>
      </c>
      <c r="D2265" s="0" t="n">
        <v>2</v>
      </c>
      <c r="E2265" s="0" t="str">
        <f aca="false">INDEX(lot!$B$2:$B$1201,MATCH(B2265,lot!$A$2:$A$1201,0))</f>
        <v>SUP-E</v>
      </c>
      <c r="F2265" s="3" t="n">
        <f aca="false">YEAR(A2265)*100+MONTH(A2265)</f>
        <v>202606</v>
      </c>
    </row>
    <row r="2266" customFormat="false" ht="15" hidden="false" customHeight="false" outlineLevel="0" collapsed="false">
      <c r="A2266" s="2" t="n">
        <v>46192</v>
      </c>
      <c r="B2266" s="3" t="s">
        <v>21</v>
      </c>
      <c r="C2266" s="0" t="n">
        <v>165</v>
      </c>
      <c r="D2266" s="0" t="n">
        <v>2</v>
      </c>
      <c r="E2266" s="0" t="str">
        <f aca="false">INDEX(lot!$B$2:$B$1201,MATCH(B2266,lot!$A$2:$A$1201,0))</f>
        <v>SUP-E</v>
      </c>
      <c r="F2266" s="3" t="n">
        <f aca="false">YEAR(A2266)*100+MONTH(A2266)</f>
        <v>202606</v>
      </c>
    </row>
    <row r="2267" customFormat="false" ht="15" hidden="false" customHeight="false" outlineLevel="0" collapsed="false">
      <c r="A2267" s="2" t="n">
        <v>46192</v>
      </c>
      <c r="B2267" s="3" t="s">
        <v>21</v>
      </c>
      <c r="C2267" s="0" t="n">
        <v>82</v>
      </c>
      <c r="D2267" s="0" t="n">
        <v>1</v>
      </c>
      <c r="E2267" s="0" t="str">
        <f aca="false">INDEX(lot!$B$2:$B$1201,MATCH(B2267,lot!$A$2:$A$1201,0))</f>
        <v>SUP-E</v>
      </c>
      <c r="F2267" s="3" t="n">
        <f aca="false">YEAR(A2267)*100+MONTH(A2267)</f>
        <v>202606</v>
      </c>
    </row>
    <row r="2268" customFormat="false" ht="15" hidden="false" customHeight="false" outlineLevel="0" collapsed="false">
      <c r="A2268" s="2" t="n">
        <v>46192</v>
      </c>
      <c r="B2268" s="3" t="s">
        <v>24</v>
      </c>
      <c r="C2268" s="0" t="n">
        <v>216</v>
      </c>
      <c r="D2268" s="0" t="n">
        <v>4</v>
      </c>
      <c r="E2268" s="0" t="str">
        <f aca="false">INDEX(lot!$B$2:$B$1201,MATCH(B2268,lot!$A$2:$A$1201,0))</f>
        <v>SUP-C</v>
      </c>
      <c r="F2268" s="3" t="n">
        <f aca="false">YEAR(A2268)*100+MONTH(A2268)</f>
        <v>202606</v>
      </c>
    </row>
    <row r="2269" customFormat="false" ht="15" hidden="false" customHeight="false" outlineLevel="0" collapsed="false">
      <c r="A2269" s="2" t="n">
        <v>46192</v>
      </c>
      <c r="B2269" s="3" t="s">
        <v>24</v>
      </c>
      <c r="C2269" s="0" t="n">
        <v>79</v>
      </c>
      <c r="D2269" s="0" t="n">
        <v>1</v>
      </c>
      <c r="E2269" s="0" t="str">
        <f aca="false">INDEX(lot!$B$2:$B$1201,MATCH(B2269,lot!$A$2:$A$1201,0))</f>
        <v>SUP-C</v>
      </c>
      <c r="F2269" s="3" t="n">
        <f aca="false">YEAR(A2269)*100+MONTH(A2269)</f>
        <v>202606</v>
      </c>
    </row>
    <row r="2270" customFormat="false" ht="15" hidden="false" customHeight="false" outlineLevel="0" collapsed="false">
      <c r="A2270" s="2" t="n">
        <v>46192</v>
      </c>
      <c r="B2270" s="3" t="s">
        <v>36</v>
      </c>
      <c r="C2270" s="0" t="n">
        <v>188</v>
      </c>
      <c r="D2270" s="0" t="n">
        <v>10</v>
      </c>
      <c r="E2270" s="0" t="str">
        <f aca="false">INDEX(lot!$B$2:$B$1201,MATCH(B2270,lot!$A$2:$A$1201,0))</f>
        <v>SUP-D</v>
      </c>
      <c r="F2270" s="3" t="n">
        <f aca="false">YEAR(A2270)*100+MONTH(A2270)</f>
        <v>202606</v>
      </c>
    </row>
    <row r="2271" customFormat="false" ht="15" hidden="false" customHeight="false" outlineLevel="0" collapsed="false">
      <c r="A2271" s="2" t="n">
        <v>46192</v>
      </c>
      <c r="B2271" s="3" t="s">
        <v>46</v>
      </c>
      <c r="C2271" s="0" t="n">
        <v>230</v>
      </c>
      <c r="D2271" s="0" t="n">
        <v>5</v>
      </c>
      <c r="E2271" s="0" t="str">
        <f aca="false">INDEX(lot!$B$2:$B$1201,MATCH(B2271,lot!$A$2:$A$1201,0))</f>
        <v>SUP-C</v>
      </c>
      <c r="F2271" s="3" t="n">
        <f aca="false">YEAR(A2271)*100+MONTH(A2271)</f>
        <v>202606</v>
      </c>
    </row>
    <row r="2272" customFormat="false" ht="15" hidden="false" customHeight="false" outlineLevel="0" collapsed="false">
      <c r="A2272" s="2" t="n">
        <v>46192</v>
      </c>
      <c r="B2272" s="3" t="s">
        <v>128</v>
      </c>
      <c r="C2272" s="0" t="n">
        <v>210</v>
      </c>
      <c r="D2272" s="0" t="n">
        <v>5</v>
      </c>
      <c r="E2272" s="0" t="str">
        <f aca="false">INDEX(lot!$B$2:$B$1201,MATCH(B2272,lot!$A$2:$A$1201,0))</f>
        <v>SUP-C</v>
      </c>
      <c r="F2272" s="3" t="n">
        <f aca="false">YEAR(A2272)*100+MONTH(A2272)</f>
        <v>202606</v>
      </c>
    </row>
    <row r="2273" customFormat="false" ht="15" hidden="false" customHeight="false" outlineLevel="0" collapsed="false">
      <c r="A2273" s="2" t="n">
        <v>46192</v>
      </c>
      <c r="B2273" s="3" t="s">
        <v>128</v>
      </c>
      <c r="C2273" s="0" t="n">
        <v>108</v>
      </c>
      <c r="D2273" s="0" t="n">
        <v>4</v>
      </c>
      <c r="E2273" s="0" t="str">
        <f aca="false">INDEX(lot!$B$2:$B$1201,MATCH(B2273,lot!$A$2:$A$1201,0))</f>
        <v>SUP-C</v>
      </c>
      <c r="F2273" s="3" t="n">
        <f aca="false">YEAR(A2273)*100+MONTH(A2273)</f>
        <v>202606</v>
      </c>
    </row>
    <row r="2274" customFormat="false" ht="15" hidden="false" customHeight="false" outlineLevel="0" collapsed="false">
      <c r="A2274" s="2" t="n">
        <v>46192</v>
      </c>
      <c r="B2274" s="3" t="s">
        <v>138</v>
      </c>
      <c r="C2274" s="0" t="n">
        <v>120</v>
      </c>
      <c r="D2274" s="0" t="n">
        <v>1</v>
      </c>
      <c r="E2274" s="0" t="str">
        <f aca="false">INDEX(lot!$B$2:$B$1201,MATCH(B2274,lot!$A$2:$A$1201,0))</f>
        <v>SUP-E</v>
      </c>
      <c r="F2274" s="3" t="n">
        <f aca="false">YEAR(A2274)*100+MONTH(A2274)</f>
        <v>202606</v>
      </c>
    </row>
    <row r="2275" customFormat="false" ht="15" hidden="false" customHeight="false" outlineLevel="0" collapsed="false">
      <c r="A2275" s="2" t="n">
        <v>46192</v>
      </c>
      <c r="B2275" s="3" t="s">
        <v>168</v>
      </c>
      <c r="C2275" s="0" t="n">
        <v>113</v>
      </c>
      <c r="D2275" s="0" t="n">
        <v>1</v>
      </c>
      <c r="E2275" s="0" t="str">
        <f aca="false">INDEX(lot!$B$2:$B$1201,MATCH(B2275,lot!$A$2:$A$1201,0))</f>
        <v>SUP-C</v>
      </c>
      <c r="F2275" s="3" t="n">
        <f aca="false">YEAR(A2275)*100+MONTH(A2275)</f>
        <v>202606</v>
      </c>
    </row>
    <row r="2276" customFormat="false" ht="15" hidden="false" customHeight="false" outlineLevel="0" collapsed="false">
      <c r="A2276" s="2" t="n">
        <v>46192</v>
      </c>
      <c r="B2276" s="3" t="s">
        <v>168</v>
      </c>
      <c r="C2276" s="0" t="n">
        <v>213</v>
      </c>
      <c r="D2276" s="0" t="n">
        <v>4</v>
      </c>
      <c r="E2276" s="0" t="str">
        <f aca="false">INDEX(lot!$B$2:$B$1201,MATCH(B2276,lot!$A$2:$A$1201,0))</f>
        <v>SUP-C</v>
      </c>
      <c r="F2276" s="3" t="n">
        <f aca="false">YEAR(A2276)*100+MONTH(A2276)</f>
        <v>202606</v>
      </c>
    </row>
    <row r="2277" customFormat="false" ht="15" hidden="false" customHeight="false" outlineLevel="0" collapsed="false">
      <c r="A2277" s="2" t="n">
        <v>46192</v>
      </c>
      <c r="B2277" s="3" t="s">
        <v>199</v>
      </c>
      <c r="C2277" s="0" t="n">
        <v>87</v>
      </c>
      <c r="D2277" s="0" t="n">
        <v>0</v>
      </c>
      <c r="E2277" s="0" t="str">
        <f aca="false">INDEX(lot!$B$2:$B$1201,MATCH(B2277,lot!$A$2:$A$1201,0))</f>
        <v>SUP-D</v>
      </c>
      <c r="F2277" s="3" t="n">
        <f aca="false">YEAR(A2277)*100+MONTH(A2277)</f>
        <v>202606</v>
      </c>
    </row>
    <row r="2278" customFormat="false" ht="15" hidden="false" customHeight="false" outlineLevel="0" collapsed="false">
      <c r="A2278" s="2" t="n">
        <v>46192</v>
      </c>
      <c r="B2278" s="3" t="s">
        <v>199</v>
      </c>
      <c r="C2278" s="0" t="n">
        <v>133</v>
      </c>
      <c r="D2278" s="0" t="n">
        <v>2</v>
      </c>
      <c r="E2278" s="0" t="str">
        <f aca="false">INDEX(lot!$B$2:$B$1201,MATCH(B2278,lot!$A$2:$A$1201,0))</f>
        <v>SUP-D</v>
      </c>
      <c r="F2278" s="3" t="n">
        <f aca="false">YEAR(A2278)*100+MONTH(A2278)</f>
        <v>202606</v>
      </c>
    </row>
    <row r="2279" customFormat="false" ht="15" hidden="false" customHeight="false" outlineLevel="0" collapsed="false">
      <c r="A2279" s="2" t="n">
        <v>46192</v>
      </c>
      <c r="B2279" s="3" t="s">
        <v>277</v>
      </c>
      <c r="C2279" s="0" t="n">
        <v>92</v>
      </c>
      <c r="D2279" s="0" t="n">
        <v>0</v>
      </c>
      <c r="E2279" s="0" t="str">
        <f aca="false">INDEX(lot!$B$2:$B$1201,MATCH(B2279,lot!$A$2:$A$1201,0))</f>
        <v>SUP-E</v>
      </c>
      <c r="F2279" s="3" t="n">
        <f aca="false">YEAR(A2279)*100+MONTH(A2279)</f>
        <v>202606</v>
      </c>
    </row>
    <row r="2280" customFormat="false" ht="15" hidden="false" customHeight="false" outlineLevel="0" collapsed="false">
      <c r="A2280" s="2" t="n">
        <v>46192</v>
      </c>
      <c r="B2280" s="3" t="s">
        <v>304</v>
      </c>
      <c r="C2280" s="0" t="n">
        <v>240</v>
      </c>
      <c r="D2280" s="0" t="n">
        <v>3</v>
      </c>
      <c r="E2280" s="0" t="str">
        <f aca="false">INDEX(lot!$B$2:$B$1201,MATCH(B2280,lot!$A$2:$A$1201,0))</f>
        <v>SUP-A</v>
      </c>
      <c r="F2280" s="3" t="n">
        <f aca="false">YEAR(A2280)*100+MONTH(A2280)</f>
        <v>202606</v>
      </c>
    </row>
    <row r="2281" customFormat="false" ht="15" hidden="false" customHeight="false" outlineLevel="0" collapsed="false">
      <c r="A2281" s="2" t="n">
        <v>46192</v>
      </c>
      <c r="B2281" s="3" t="s">
        <v>304</v>
      </c>
      <c r="C2281" s="0" t="n">
        <v>147</v>
      </c>
      <c r="D2281" s="0" t="n">
        <v>1</v>
      </c>
      <c r="E2281" s="0" t="str">
        <f aca="false">INDEX(lot!$B$2:$B$1201,MATCH(B2281,lot!$A$2:$A$1201,0))</f>
        <v>SUP-A</v>
      </c>
      <c r="F2281" s="3" t="n">
        <f aca="false">YEAR(A2281)*100+MONTH(A2281)</f>
        <v>202606</v>
      </c>
    </row>
    <row r="2282" customFormat="false" ht="15" hidden="false" customHeight="false" outlineLevel="0" collapsed="false">
      <c r="A2282" s="2" t="n">
        <v>46192</v>
      </c>
      <c r="B2282" s="3" t="s">
        <v>365</v>
      </c>
      <c r="C2282" s="0" t="n">
        <v>96</v>
      </c>
      <c r="D2282" s="0" t="n">
        <v>1</v>
      </c>
      <c r="E2282" s="0" t="str">
        <f aca="false">INDEX(lot!$B$2:$B$1201,MATCH(B2282,lot!$A$2:$A$1201,0))</f>
        <v>SUP-D</v>
      </c>
      <c r="F2282" s="3" t="n">
        <f aca="false">YEAR(A2282)*100+MONTH(A2282)</f>
        <v>202606</v>
      </c>
    </row>
    <row r="2283" customFormat="false" ht="15" hidden="false" customHeight="false" outlineLevel="0" collapsed="false">
      <c r="A2283" s="2" t="n">
        <v>46192</v>
      </c>
      <c r="B2283" s="3" t="s">
        <v>383</v>
      </c>
      <c r="C2283" s="0" t="n">
        <v>240</v>
      </c>
      <c r="D2283" s="0" t="n">
        <v>2</v>
      </c>
      <c r="E2283" s="0" t="str">
        <f aca="false">INDEX(lot!$B$2:$B$1201,MATCH(B2283,lot!$A$2:$A$1201,0))</f>
        <v>SUP-E</v>
      </c>
      <c r="F2283" s="3" t="n">
        <f aca="false">YEAR(A2283)*100+MONTH(A2283)</f>
        <v>202606</v>
      </c>
    </row>
    <row r="2284" customFormat="false" ht="15" hidden="false" customHeight="false" outlineLevel="0" collapsed="false">
      <c r="A2284" s="2" t="n">
        <v>46192</v>
      </c>
      <c r="B2284" s="3" t="s">
        <v>400</v>
      </c>
      <c r="C2284" s="0" t="n">
        <v>147</v>
      </c>
      <c r="D2284" s="0" t="n">
        <v>3</v>
      </c>
      <c r="E2284" s="0" t="str">
        <f aca="false">INDEX(lot!$B$2:$B$1201,MATCH(B2284,lot!$A$2:$A$1201,0))</f>
        <v>SUP-D</v>
      </c>
      <c r="F2284" s="3" t="n">
        <f aca="false">YEAR(A2284)*100+MONTH(A2284)</f>
        <v>202606</v>
      </c>
    </row>
    <row r="2285" customFormat="false" ht="15" hidden="false" customHeight="false" outlineLevel="0" collapsed="false">
      <c r="A2285" s="2" t="n">
        <v>46192</v>
      </c>
      <c r="B2285" s="3" t="s">
        <v>400</v>
      </c>
      <c r="C2285" s="0" t="n">
        <v>98</v>
      </c>
      <c r="D2285" s="0" t="n">
        <v>1</v>
      </c>
      <c r="E2285" s="0" t="str">
        <f aca="false">INDEX(lot!$B$2:$B$1201,MATCH(B2285,lot!$A$2:$A$1201,0))</f>
        <v>SUP-D</v>
      </c>
      <c r="F2285" s="3" t="n">
        <f aca="false">YEAR(A2285)*100+MONTH(A2285)</f>
        <v>202606</v>
      </c>
    </row>
    <row r="2286" customFormat="false" ht="15" hidden="false" customHeight="false" outlineLevel="0" collapsed="false">
      <c r="A2286" s="2" t="n">
        <v>46192</v>
      </c>
      <c r="B2286" s="3" t="s">
        <v>402</v>
      </c>
      <c r="C2286" s="0" t="n">
        <v>248</v>
      </c>
      <c r="D2286" s="0" t="n">
        <v>3</v>
      </c>
      <c r="E2286" s="0" t="str">
        <f aca="false">INDEX(lot!$B$2:$B$1201,MATCH(B2286,lot!$A$2:$A$1201,0))</f>
        <v>SUP-E</v>
      </c>
      <c r="F2286" s="3" t="n">
        <f aca="false">YEAR(A2286)*100+MONTH(A2286)</f>
        <v>202606</v>
      </c>
    </row>
    <row r="2287" customFormat="false" ht="15" hidden="false" customHeight="false" outlineLevel="0" collapsed="false">
      <c r="A2287" s="2" t="n">
        <v>46192</v>
      </c>
      <c r="B2287" s="3" t="s">
        <v>402</v>
      </c>
      <c r="C2287" s="0" t="n">
        <v>92</v>
      </c>
      <c r="D2287" s="0" t="n">
        <v>0</v>
      </c>
      <c r="E2287" s="0" t="str">
        <f aca="false">INDEX(lot!$B$2:$B$1201,MATCH(B2287,lot!$A$2:$A$1201,0))</f>
        <v>SUP-E</v>
      </c>
      <c r="F2287" s="3" t="n">
        <f aca="false">YEAR(A2287)*100+MONTH(A2287)</f>
        <v>202606</v>
      </c>
    </row>
    <row r="2288" customFormat="false" ht="15" hidden="false" customHeight="false" outlineLevel="0" collapsed="false">
      <c r="A2288" s="2" t="n">
        <v>46192</v>
      </c>
      <c r="B2288" s="3" t="s">
        <v>638</v>
      </c>
      <c r="C2288" s="0" t="n">
        <v>123</v>
      </c>
      <c r="D2288" s="0" t="n">
        <v>7</v>
      </c>
      <c r="E2288" s="0" t="str">
        <f aca="false">INDEX(lot!$B$2:$B$1201,MATCH(B2288,lot!$A$2:$A$1201,0))</f>
        <v>SUP-C</v>
      </c>
      <c r="F2288" s="3" t="n">
        <f aca="false">YEAR(A2288)*100+MONTH(A2288)</f>
        <v>202606</v>
      </c>
    </row>
    <row r="2289" customFormat="false" ht="15" hidden="false" customHeight="false" outlineLevel="0" collapsed="false">
      <c r="A2289" s="2" t="n">
        <v>46192</v>
      </c>
      <c r="B2289" s="3" t="s">
        <v>640</v>
      </c>
      <c r="C2289" s="0" t="n">
        <v>121</v>
      </c>
      <c r="D2289" s="0" t="n">
        <v>1</v>
      </c>
      <c r="E2289" s="0" t="str">
        <f aca="false">INDEX(lot!$B$2:$B$1201,MATCH(B2289,lot!$A$2:$A$1201,0))</f>
        <v>SUP-B</v>
      </c>
      <c r="F2289" s="3" t="n">
        <f aca="false">YEAR(A2289)*100+MONTH(A2289)</f>
        <v>202606</v>
      </c>
    </row>
    <row r="2290" customFormat="false" ht="15" hidden="false" customHeight="false" outlineLevel="0" collapsed="false">
      <c r="A2290" s="2" t="n">
        <v>46192</v>
      </c>
      <c r="B2290" s="3" t="s">
        <v>640</v>
      </c>
      <c r="C2290" s="0" t="n">
        <v>245</v>
      </c>
      <c r="D2290" s="0" t="n">
        <v>2</v>
      </c>
      <c r="E2290" s="0" t="str">
        <f aca="false">INDEX(lot!$B$2:$B$1201,MATCH(B2290,lot!$A$2:$A$1201,0))</f>
        <v>SUP-B</v>
      </c>
      <c r="F2290" s="3" t="n">
        <f aca="false">YEAR(A2290)*100+MONTH(A2290)</f>
        <v>202606</v>
      </c>
    </row>
    <row r="2291" customFormat="false" ht="15" hidden="false" customHeight="false" outlineLevel="0" collapsed="false">
      <c r="A2291" s="2" t="n">
        <v>46192</v>
      </c>
      <c r="B2291" s="3" t="s">
        <v>713</v>
      </c>
      <c r="C2291" s="0" t="n">
        <v>110</v>
      </c>
      <c r="D2291" s="0" t="n">
        <v>1</v>
      </c>
      <c r="E2291" s="0" t="str">
        <f aca="false">INDEX(lot!$B$2:$B$1201,MATCH(B2291,lot!$A$2:$A$1201,0))</f>
        <v>SUP-D</v>
      </c>
      <c r="F2291" s="3" t="n">
        <f aca="false">YEAR(A2291)*100+MONTH(A2291)</f>
        <v>202606</v>
      </c>
    </row>
    <row r="2292" customFormat="false" ht="15" hidden="false" customHeight="false" outlineLevel="0" collapsed="false">
      <c r="A2292" s="2" t="n">
        <v>46192</v>
      </c>
      <c r="B2292" s="3" t="s">
        <v>747</v>
      </c>
      <c r="C2292" s="0" t="n">
        <v>158</v>
      </c>
      <c r="D2292" s="0" t="n">
        <v>1</v>
      </c>
      <c r="E2292" s="0" t="str">
        <f aca="false">INDEX(lot!$B$2:$B$1201,MATCH(B2292,lot!$A$2:$A$1201,0))</f>
        <v>SUP-A</v>
      </c>
      <c r="F2292" s="3" t="n">
        <f aca="false">YEAR(A2292)*100+MONTH(A2292)</f>
        <v>202606</v>
      </c>
    </row>
    <row r="2293" customFormat="false" ht="15" hidden="false" customHeight="false" outlineLevel="0" collapsed="false">
      <c r="A2293" s="2" t="n">
        <v>46192</v>
      </c>
      <c r="B2293" s="3" t="s">
        <v>747</v>
      </c>
      <c r="C2293" s="0" t="n">
        <v>69</v>
      </c>
      <c r="D2293" s="0" t="n">
        <v>0</v>
      </c>
      <c r="E2293" s="0" t="str">
        <f aca="false">INDEX(lot!$B$2:$B$1201,MATCH(B2293,lot!$A$2:$A$1201,0))</f>
        <v>SUP-A</v>
      </c>
      <c r="F2293" s="3" t="n">
        <f aca="false">YEAR(A2293)*100+MONTH(A2293)</f>
        <v>202606</v>
      </c>
    </row>
    <row r="2294" customFormat="false" ht="15" hidden="false" customHeight="false" outlineLevel="0" collapsed="false">
      <c r="A2294" s="2" t="n">
        <v>46192</v>
      </c>
      <c r="B2294" s="3" t="s">
        <v>811</v>
      </c>
      <c r="C2294" s="0" t="n">
        <v>213</v>
      </c>
      <c r="D2294" s="0" t="n">
        <v>4</v>
      </c>
      <c r="E2294" s="0" t="str">
        <f aca="false">INDEX(lot!$B$2:$B$1201,MATCH(B2294,lot!$A$2:$A$1201,0))</f>
        <v>SUP-E</v>
      </c>
      <c r="F2294" s="3" t="n">
        <f aca="false">YEAR(A2294)*100+MONTH(A2294)</f>
        <v>202606</v>
      </c>
    </row>
    <row r="2295" customFormat="false" ht="15" hidden="false" customHeight="false" outlineLevel="0" collapsed="false">
      <c r="A2295" s="2" t="n">
        <v>46192</v>
      </c>
      <c r="B2295" s="3" t="s">
        <v>836</v>
      </c>
      <c r="C2295" s="0" t="n">
        <v>169</v>
      </c>
      <c r="D2295" s="0" t="n">
        <v>0</v>
      </c>
      <c r="E2295" s="0" t="str">
        <f aca="false">INDEX(lot!$B$2:$B$1201,MATCH(B2295,lot!$A$2:$A$1201,0))</f>
        <v>SUP-E</v>
      </c>
      <c r="F2295" s="3" t="n">
        <f aca="false">YEAR(A2295)*100+MONTH(A2295)</f>
        <v>202606</v>
      </c>
    </row>
    <row r="2296" customFormat="false" ht="15" hidden="false" customHeight="false" outlineLevel="0" collapsed="false">
      <c r="A2296" s="2" t="n">
        <v>46192</v>
      </c>
      <c r="B2296" s="3" t="s">
        <v>836</v>
      </c>
      <c r="C2296" s="0" t="n">
        <v>157</v>
      </c>
      <c r="D2296" s="0" t="n">
        <v>0</v>
      </c>
      <c r="E2296" s="0" t="str">
        <f aca="false">INDEX(lot!$B$2:$B$1201,MATCH(B2296,lot!$A$2:$A$1201,0))</f>
        <v>SUP-E</v>
      </c>
      <c r="F2296" s="3" t="n">
        <f aca="false">YEAR(A2296)*100+MONTH(A2296)</f>
        <v>202606</v>
      </c>
    </row>
    <row r="2297" customFormat="false" ht="15" hidden="false" customHeight="false" outlineLevel="0" collapsed="false">
      <c r="A2297" s="2" t="n">
        <v>46192</v>
      </c>
      <c r="B2297" s="3" t="s">
        <v>870</v>
      </c>
      <c r="C2297" s="0" t="n">
        <v>156</v>
      </c>
      <c r="D2297" s="0" t="n">
        <v>2</v>
      </c>
      <c r="E2297" s="0" t="str">
        <f aca="false">INDEX(lot!$B$2:$B$1201,MATCH(B2297,lot!$A$2:$A$1201,0))</f>
        <v>SUP-A</v>
      </c>
      <c r="F2297" s="3" t="n">
        <f aca="false">YEAR(A2297)*100+MONTH(A2297)</f>
        <v>202606</v>
      </c>
    </row>
    <row r="2298" customFormat="false" ht="15" hidden="false" customHeight="false" outlineLevel="0" collapsed="false">
      <c r="A2298" s="2" t="n">
        <v>46192</v>
      </c>
      <c r="B2298" s="3" t="s">
        <v>870</v>
      </c>
      <c r="C2298" s="0" t="n">
        <v>236</v>
      </c>
      <c r="D2298" s="0" t="n">
        <v>4</v>
      </c>
      <c r="E2298" s="0" t="str">
        <f aca="false">INDEX(lot!$B$2:$B$1201,MATCH(B2298,lot!$A$2:$A$1201,0))</f>
        <v>SUP-A</v>
      </c>
      <c r="F2298" s="3" t="n">
        <f aca="false">YEAR(A2298)*100+MONTH(A2298)</f>
        <v>202606</v>
      </c>
    </row>
    <row r="2299" customFormat="false" ht="15" hidden="false" customHeight="false" outlineLevel="0" collapsed="false">
      <c r="A2299" s="2" t="n">
        <v>46192</v>
      </c>
      <c r="B2299" s="3" t="s">
        <v>931</v>
      </c>
      <c r="C2299" s="0" t="n">
        <v>221</v>
      </c>
      <c r="D2299" s="0" t="n">
        <v>3</v>
      </c>
      <c r="E2299" s="0" t="str">
        <f aca="false">INDEX(lot!$B$2:$B$1201,MATCH(B2299,lot!$A$2:$A$1201,0))</f>
        <v>SUP-C</v>
      </c>
      <c r="F2299" s="3" t="n">
        <f aca="false">YEAR(A2299)*100+MONTH(A2299)</f>
        <v>202606</v>
      </c>
    </row>
    <row r="2300" customFormat="false" ht="15" hidden="false" customHeight="false" outlineLevel="0" collapsed="false">
      <c r="A2300" s="2" t="n">
        <v>46192</v>
      </c>
      <c r="B2300" s="3" t="s">
        <v>991</v>
      </c>
      <c r="C2300" s="0" t="n">
        <v>226</v>
      </c>
      <c r="D2300" s="0" t="n">
        <v>6</v>
      </c>
      <c r="E2300" s="0" t="str">
        <f aca="false">INDEX(lot!$B$2:$B$1201,MATCH(B2300,lot!$A$2:$A$1201,0))</f>
        <v>SUP-C</v>
      </c>
      <c r="F2300" s="3" t="n">
        <f aca="false">YEAR(A2300)*100+MONTH(A2300)</f>
        <v>202606</v>
      </c>
    </row>
    <row r="2301" customFormat="false" ht="15" hidden="false" customHeight="false" outlineLevel="0" collapsed="false">
      <c r="A2301" s="2" t="n">
        <v>46192</v>
      </c>
      <c r="B2301" s="3" t="s">
        <v>991</v>
      </c>
      <c r="C2301" s="0" t="n">
        <v>121</v>
      </c>
      <c r="D2301" s="0" t="n">
        <v>3</v>
      </c>
      <c r="E2301" s="0" t="str">
        <f aca="false">INDEX(lot!$B$2:$B$1201,MATCH(B2301,lot!$A$2:$A$1201,0))</f>
        <v>SUP-C</v>
      </c>
      <c r="F2301" s="3" t="n">
        <f aca="false">YEAR(A2301)*100+MONTH(A2301)</f>
        <v>202606</v>
      </c>
    </row>
    <row r="2302" customFormat="false" ht="15" hidden="false" customHeight="false" outlineLevel="0" collapsed="false">
      <c r="A2302" s="2" t="n">
        <v>46192</v>
      </c>
      <c r="B2302" s="3" t="s">
        <v>1049</v>
      </c>
      <c r="C2302" s="0" t="n">
        <v>182</v>
      </c>
      <c r="D2302" s="0" t="n">
        <v>1</v>
      </c>
      <c r="E2302" s="0" t="str">
        <f aca="false">INDEX(lot!$B$2:$B$1201,MATCH(B2302,lot!$A$2:$A$1201,0))</f>
        <v>SUP-D</v>
      </c>
      <c r="F2302" s="3" t="n">
        <f aca="false">YEAR(A2302)*100+MONTH(A2302)</f>
        <v>202606</v>
      </c>
    </row>
    <row r="2303" customFormat="false" ht="15" hidden="false" customHeight="false" outlineLevel="0" collapsed="false">
      <c r="A2303" s="2" t="n">
        <v>46192</v>
      </c>
      <c r="B2303" s="3" t="s">
        <v>1082</v>
      </c>
      <c r="C2303" s="0" t="n">
        <v>134</v>
      </c>
      <c r="D2303" s="0" t="n">
        <v>1</v>
      </c>
      <c r="E2303" s="0" t="str">
        <f aca="false">INDEX(lot!$B$2:$B$1201,MATCH(B2303,lot!$A$2:$A$1201,0))</f>
        <v>SUP-D</v>
      </c>
      <c r="F2303" s="3" t="n">
        <f aca="false">YEAR(A2303)*100+MONTH(A2303)</f>
        <v>202606</v>
      </c>
    </row>
    <row r="2304" customFormat="false" ht="15" hidden="false" customHeight="false" outlineLevel="0" collapsed="false">
      <c r="A2304" s="2" t="n">
        <v>46192</v>
      </c>
      <c r="B2304" s="3" t="s">
        <v>1082</v>
      </c>
      <c r="C2304" s="0" t="n">
        <v>71</v>
      </c>
      <c r="D2304" s="0" t="n">
        <v>0</v>
      </c>
      <c r="E2304" s="0" t="str">
        <f aca="false">INDEX(lot!$B$2:$B$1201,MATCH(B2304,lot!$A$2:$A$1201,0))</f>
        <v>SUP-D</v>
      </c>
      <c r="F2304" s="3" t="n">
        <f aca="false">YEAR(A2304)*100+MONTH(A2304)</f>
        <v>202606</v>
      </c>
    </row>
    <row r="2305" customFormat="false" ht="15" hidden="false" customHeight="false" outlineLevel="0" collapsed="false">
      <c r="A2305" s="2" t="n">
        <v>46192</v>
      </c>
      <c r="B2305" s="3" t="s">
        <v>1189</v>
      </c>
      <c r="C2305" s="0" t="n">
        <v>240</v>
      </c>
      <c r="D2305" s="0" t="n">
        <v>2</v>
      </c>
      <c r="E2305" s="0" t="str">
        <f aca="false">INDEX(lot!$B$2:$B$1201,MATCH(B2305,lot!$A$2:$A$1201,0))</f>
        <v>SUP-A</v>
      </c>
      <c r="F2305" s="3" t="n">
        <f aca="false">YEAR(A2305)*100+MONTH(A2305)</f>
        <v>202606</v>
      </c>
    </row>
    <row r="2306" customFormat="false" ht="15" hidden="false" customHeight="false" outlineLevel="0" collapsed="false">
      <c r="A2306" s="2" t="n">
        <v>46195</v>
      </c>
      <c r="B2306" s="3" t="s">
        <v>21</v>
      </c>
      <c r="C2306" s="0" t="n">
        <v>127</v>
      </c>
      <c r="D2306" s="0" t="n">
        <v>1</v>
      </c>
      <c r="E2306" s="0" t="str">
        <f aca="false">INDEX(lot!$B$2:$B$1201,MATCH(B2306,lot!$A$2:$A$1201,0))</f>
        <v>SUP-E</v>
      </c>
      <c r="F2306" s="3" t="n">
        <f aca="false">YEAR(A2306)*100+MONTH(A2306)</f>
        <v>202606</v>
      </c>
    </row>
    <row r="2307" customFormat="false" ht="15" hidden="false" customHeight="false" outlineLevel="0" collapsed="false">
      <c r="A2307" s="2" t="n">
        <v>46195</v>
      </c>
      <c r="B2307" s="3" t="s">
        <v>36</v>
      </c>
      <c r="C2307" s="0" t="n">
        <v>164</v>
      </c>
      <c r="D2307" s="0" t="n">
        <v>10</v>
      </c>
      <c r="E2307" s="0" t="str">
        <f aca="false">INDEX(lot!$B$2:$B$1201,MATCH(B2307,lot!$A$2:$A$1201,0))</f>
        <v>SUP-D</v>
      </c>
      <c r="F2307" s="3" t="n">
        <f aca="false">YEAR(A2307)*100+MONTH(A2307)</f>
        <v>202606</v>
      </c>
    </row>
    <row r="2308" customFormat="false" ht="15" hidden="false" customHeight="false" outlineLevel="0" collapsed="false">
      <c r="A2308" s="2" t="n">
        <v>46195</v>
      </c>
      <c r="B2308" s="3" t="s">
        <v>100</v>
      </c>
      <c r="C2308" s="0" t="n">
        <v>122</v>
      </c>
      <c r="D2308" s="0" t="n">
        <v>1</v>
      </c>
      <c r="E2308" s="0" t="str">
        <f aca="false">INDEX(lot!$B$2:$B$1201,MATCH(B2308,lot!$A$2:$A$1201,0))</f>
        <v>SUP-A</v>
      </c>
      <c r="F2308" s="3" t="n">
        <f aca="false">YEAR(A2308)*100+MONTH(A2308)</f>
        <v>202606</v>
      </c>
    </row>
    <row r="2309" customFormat="false" ht="15" hidden="false" customHeight="false" outlineLevel="0" collapsed="false">
      <c r="A2309" s="2" t="n">
        <v>46195</v>
      </c>
      <c r="B2309" s="3" t="s">
        <v>100</v>
      </c>
      <c r="C2309" s="0" t="n">
        <v>87</v>
      </c>
      <c r="D2309" s="0" t="n">
        <v>0</v>
      </c>
      <c r="E2309" s="0" t="str">
        <f aca="false">INDEX(lot!$B$2:$B$1201,MATCH(B2309,lot!$A$2:$A$1201,0))</f>
        <v>SUP-A</v>
      </c>
      <c r="F2309" s="3" t="n">
        <f aca="false">YEAR(A2309)*100+MONTH(A2309)</f>
        <v>202606</v>
      </c>
    </row>
    <row r="2310" customFormat="false" ht="15" hidden="false" customHeight="false" outlineLevel="0" collapsed="false">
      <c r="A2310" s="2" t="n">
        <v>46195</v>
      </c>
      <c r="B2310" s="3" t="s">
        <v>128</v>
      </c>
      <c r="C2310" s="0" t="n">
        <v>224</v>
      </c>
      <c r="D2310" s="0" t="n">
        <v>3</v>
      </c>
      <c r="E2310" s="0" t="str">
        <f aca="false">INDEX(lot!$B$2:$B$1201,MATCH(B2310,lot!$A$2:$A$1201,0))</f>
        <v>SUP-C</v>
      </c>
      <c r="F2310" s="3" t="n">
        <f aca="false">YEAR(A2310)*100+MONTH(A2310)</f>
        <v>202606</v>
      </c>
    </row>
    <row r="2311" customFormat="false" ht="15" hidden="false" customHeight="false" outlineLevel="0" collapsed="false">
      <c r="A2311" s="2" t="n">
        <v>46195</v>
      </c>
      <c r="B2311" s="3" t="s">
        <v>168</v>
      </c>
      <c r="C2311" s="0" t="n">
        <v>198</v>
      </c>
      <c r="D2311" s="0" t="n">
        <v>5</v>
      </c>
      <c r="E2311" s="0" t="str">
        <f aca="false">INDEX(lot!$B$2:$B$1201,MATCH(B2311,lot!$A$2:$A$1201,0))</f>
        <v>SUP-C</v>
      </c>
      <c r="F2311" s="3" t="n">
        <f aca="false">YEAR(A2311)*100+MONTH(A2311)</f>
        <v>202606</v>
      </c>
    </row>
    <row r="2312" customFormat="false" ht="15" hidden="false" customHeight="false" outlineLevel="0" collapsed="false">
      <c r="A2312" s="2" t="n">
        <v>46195</v>
      </c>
      <c r="B2312" s="3" t="s">
        <v>196</v>
      </c>
      <c r="C2312" s="0" t="n">
        <v>78</v>
      </c>
      <c r="D2312" s="0" t="n">
        <v>1</v>
      </c>
      <c r="E2312" s="0" t="str">
        <f aca="false">INDEX(lot!$B$2:$B$1201,MATCH(B2312,lot!$A$2:$A$1201,0))</f>
        <v>SUP-C</v>
      </c>
      <c r="F2312" s="3" t="n">
        <f aca="false">YEAR(A2312)*100+MONTH(A2312)</f>
        <v>202606</v>
      </c>
    </row>
    <row r="2313" customFormat="false" ht="15" hidden="false" customHeight="false" outlineLevel="0" collapsed="false">
      <c r="A2313" s="2" t="n">
        <v>46195</v>
      </c>
      <c r="B2313" s="3" t="s">
        <v>199</v>
      </c>
      <c r="C2313" s="0" t="n">
        <v>167</v>
      </c>
      <c r="D2313" s="0" t="n">
        <v>1</v>
      </c>
      <c r="E2313" s="0" t="str">
        <f aca="false">INDEX(lot!$B$2:$B$1201,MATCH(B2313,lot!$A$2:$A$1201,0))</f>
        <v>SUP-D</v>
      </c>
      <c r="F2313" s="3" t="n">
        <f aca="false">YEAR(A2313)*100+MONTH(A2313)</f>
        <v>202606</v>
      </c>
    </row>
    <row r="2314" customFormat="false" ht="15" hidden="false" customHeight="false" outlineLevel="0" collapsed="false">
      <c r="A2314" s="2" t="n">
        <v>46195</v>
      </c>
      <c r="B2314" s="3" t="s">
        <v>199</v>
      </c>
      <c r="C2314" s="0" t="n">
        <v>179</v>
      </c>
      <c r="D2314" s="0" t="n">
        <v>2</v>
      </c>
      <c r="E2314" s="0" t="str">
        <f aca="false">INDEX(lot!$B$2:$B$1201,MATCH(B2314,lot!$A$2:$A$1201,0))</f>
        <v>SUP-D</v>
      </c>
      <c r="F2314" s="3" t="n">
        <f aca="false">YEAR(A2314)*100+MONTH(A2314)</f>
        <v>202606</v>
      </c>
    </row>
    <row r="2315" customFormat="false" ht="15" hidden="false" customHeight="false" outlineLevel="0" collapsed="false">
      <c r="A2315" s="2" t="n">
        <v>46195</v>
      </c>
      <c r="B2315" s="3" t="s">
        <v>290</v>
      </c>
      <c r="C2315" s="0" t="n">
        <v>110</v>
      </c>
      <c r="D2315" s="0" t="n">
        <v>3</v>
      </c>
      <c r="E2315" s="0" t="str">
        <f aca="false">INDEX(lot!$B$2:$B$1201,MATCH(B2315,lot!$A$2:$A$1201,0))</f>
        <v>SUP-C</v>
      </c>
      <c r="F2315" s="3" t="n">
        <f aca="false">YEAR(A2315)*100+MONTH(A2315)</f>
        <v>202606</v>
      </c>
    </row>
    <row r="2316" customFormat="false" ht="15" hidden="false" customHeight="false" outlineLevel="0" collapsed="false">
      <c r="A2316" s="2" t="n">
        <v>46195</v>
      </c>
      <c r="B2316" s="3" t="s">
        <v>290</v>
      </c>
      <c r="C2316" s="0" t="n">
        <v>224</v>
      </c>
      <c r="D2316" s="0" t="n">
        <v>10</v>
      </c>
      <c r="E2316" s="0" t="str">
        <f aca="false">INDEX(lot!$B$2:$B$1201,MATCH(B2316,lot!$A$2:$A$1201,0))</f>
        <v>SUP-C</v>
      </c>
      <c r="F2316" s="3" t="n">
        <f aca="false">YEAR(A2316)*100+MONTH(A2316)</f>
        <v>202606</v>
      </c>
    </row>
    <row r="2317" customFormat="false" ht="15" hidden="false" customHeight="false" outlineLevel="0" collapsed="false">
      <c r="A2317" s="2" t="n">
        <v>46195</v>
      </c>
      <c r="B2317" s="3" t="s">
        <v>355</v>
      </c>
      <c r="C2317" s="0" t="n">
        <v>129</v>
      </c>
      <c r="D2317" s="0" t="n">
        <v>3</v>
      </c>
      <c r="E2317" s="0" t="str">
        <f aca="false">INDEX(lot!$B$2:$B$1201,MATCH(B2317,lot!$A$2:$A$1201,0))</f>
        <v>SUP-C</v>
      </c>
      <c r="F2317" s="3" t="n">
        <f aca="false">YEAR(A2317)*100+MONTH(A2317)</f>
        <v>202606</v>
      </c>
    </row>
    <row r="2318" customFormat="false" ht="15" hidden="false" customHeight="false" outlineLevel="0" collapsed="false">
      <c r="A2318" s="2" t="n">
        <v>46195</v>
      </c>
      <c r="B2318" s="3" t="s">
        <v>355</v>
      </c>
      <c r="C2318" s="0" t="n">
        <v>87</v>
      </c>
      <c r="D2318" s="0" t="n">
        <v>0</v>
      </c>
      <c r="E2318" s="0" t="str">
        <f aca="false">INDEX(lot!$B$2:$B$1201,MATCH(B2318,lot!$A$2:$A$1201,0))</f>
        <v>SUP-C</v>
      </c>
      <c r="F2318" s="3" t="n">
        <f aca="false">YEAR(A2318)*100+MONTH(A2318)</f>
        <v>202606</v>
      </c>
    </row>
    <row r="2319" customFormat="false" ht="15" hidden="false" customHeight="false" outlineLevel="0" collapsed="false">
      <c r="A2319" s="2" t="n">
        <v>46195</v>
      </c>
      <c r="B2319" s="3" t="s">
        <v>388</v>
      </c>
      <c r="C2319" s="0" t="n">
        <v>189</v>
      </c>
      <c r="D2319" s="0" t="n">
        <v>7</v>
      </c>
      <c r="E2319" s="0" t="str">
        <f aca="false">INDEX(lot!$B$2:$B$1201,MATCH(B2319,lot!$A$2:$A$1201,0))</f>
        <v>SUP-C</v>
      </c>
      <c r="F2319" s="3" t="n">
        <f aca="false">YEAR(A2319)*100+MONTH(A2319)</f>
        <v>202606</v>
      </c>
    </row>
    <row r="2320" customFormat="false" ht="15" hidden="false" customHeight="false" outlineLevel="0" collapsed="false">
      <c r="A2320" s="2" t="n">
        <v>46195</v>
      </c>
      <c r="B2320" s="3" t="s">
        <v>431</v>
      </c>
      <c r="C2320" s="0" t="n">
        <v>206</v>
      </c>
      <c r="D2320" s="0" t="n">
        <v>19</v>
      </c>
      <c r="E2320" s="0" t="str">
        <f aca="false">INDEX(lot!$B$2:$B$1201,MATCH(B2320,lot!$A$2:$A$1201,0))</f>
        <v>SUP-C</v>
      </c>
      <c r="F2320" s="3" t="n">
        <f aca="false">YEAR(A2320)*100+MONTH(A2320)</f>
        <v>202606</v>
      </c>
    </row>
    <row r="2321" customFormat="false" ht="15" hidden="false" customHeight="false" outlineLevel="0" collapsed="false">
      <c r="A2321" s="2" t="n">
        <v>46195</v>
      </c>
      <c r="B2321" s="3" t="s">
        <v>431</v>
      </c>
      <c r="C2321" s="0" t="n">
        <v>206</v>
      </c>
      <c r="D2321" s="0" t="n">
        <v>22</v>
      </c>
      <c r="E2321" s="0" t="str">
        <f aca="false">INDEX(lot!$B$2:$B$1201,MATCH(B2321,lot!$A$2:$A$1201,0))</f>
        <v>SUP-C</v>
      </c>
      <c r="F2321" s="3" t="n">
        <f aca="false">YEAR(A2321)*100+MONTH(A2321)</f>
        <v>202606</v>
      </c>
    </row>
    <row r="2322" customFormat="false" ht="15" hidden="false" customHeight="false" outlineLevel="0" collapsed="false">
      <c r="A2322" s="2" t="n">
        <v>46195</v>
      </c>
      <c r="B2322" s="3" t="s">
        <v>713</v>
      </c>
      <c r="C2322" s="0" t="n">
        <v>190</v>
      </c>
      <c r="D2322" s="0" t="n">
        <v>1</v>
      </c>
      <c r="E2322" s="0" t="str">
        <f aca="false">INDEX(lot!$B$2:$B$1201,MATCH(B2322,lot!$A$2:$A$1201,0))</f>
        <v>SUP-D</v>
      </c>
      <c r="F2322" s="3" t="n">
        <f aca="false">YEAR(A2322)*100+MONTH(A2322)</f>
        <v>202606</v>
      </c>
    </row>
    <row r="2323" customFormat="false" ht="15" hidden="false" customHeight="false" outlineLevel="0" collapsed="false">
      <c r="A2323" s="2" t="n">
        <v>46195</v>
      </c>
      <c r="B2323" s="3" t="s">
        <v>713</v>
      </c>
      <c r="C2323" s="0" t="n">
        <v>122</v>
      </c>
      <c r="D2323" s="0" t="n">
        <v>0</v>
      </c>
      <c r="E2323" s="0" t="str">
        <f aca="false">INDEX(lot!$B$2:$B$1201,MATCH(B2323,lot!$A$2:$A$1201,0))</f>
        <v>SUP-D</v>
      </c>
      <c r="F2323" s="3" t="n">
        <f aca="false">YEAR(A2323)*100+MONTH(A2323)</f>
        <v>202606</v>
      </c>
    </row>
    <row r="2324" customFormat="false" ht="15" hidden="false" customHeight="false" outlineLevel="0" collapsed="false">
      <c r="A2324" s="2" t="n">
        <v>46195</v>
      </c>
      <c r="B2324" s="3" t="s">
        <v>729</v>
      </c>
      <c r="C2324" s="0" t="n">
        <v>165</v>
      </c>
      <c r="D2324" s="0" t="n">
        <v>2</v>
      </c>
      <c r="E2324" s="0" t="str">
        <f aca="false">INDEX(lot!$B$2:$B$1201,MATCH(B2324,lot!$A$2:$A$1201,0))</f>
        <v>SUP-B</v>
      </c>
      <c r="F2324" s="3" t="n">
        <f aca="false">YEAR(A2324)*100+MONTH(A2324)</f>
        <v>202606</v>
      </c>
    </row>
    <row r="2325" customFormat="false" ht="15" hidden="false" customHeight="false" outlineLevel="0" collapsed="false">
      <c r="A2325" s="2" t="n">
        <v>46195</v>
      </c>
      <c r="B2325" s="3" t="s">
        <v>836</v>
      </c>
      <c r="C2325" s="0" t="n">
        <v>136</v>
      </c>
      <c r="D2325" s="0" t="n">
        <v>1</v>
      </c>
      <c r="E2325" s="0" t="str">
        <f aca="false">INDEX(lot!$B$2:$B$1201,MATCH(B2325,lot!$A$2:$A$1201,0))</f>
        <v>SUP-E</v>
      </c>
      <c r="F2325" s="3" t="n">
        <f aca="false">YEAR(A2325)*100+MONTH(A2325)</f>
        <v>202606</v>
      </c>
    </row>
    <row r="2326" customFormat="false" ht="15" hidden="false" customHeight="false" outlineLevel="0" collapsed="false">
      <c r="A2326" s="2" t="n">
        <v>46195</v>
      </c>
      <c r="B2326" s="3" t="s">
        <v>836</v>
      </c>
      <c r="C2326" s="0" t="n">
        <v>158</v>
      </c>
      <c r="D2326" s="0" t="n">
        <v>5</v>
      </c>
      <c r="E2326" s="0" t="str">
        <f aca="false">INDEX(lot!$B$2:$B$1201,MATCH(B2326,lot!$A$2:$A$1201,0))</f>
        <v>SUP-E</v>
      </c>
      <c r="F2326" s="3" t="n">
        <f aca="false">YEAR(A2326)*100+MONTH(A2326)</f>
        <v>202606</v>
      </c>
    </row>
    <row r="2327" customFormat="false" ht="15" hidden="false" customHeight="false" outlineLevel="0" collapsed="false">
      <c r="A2327" s="2" t="n">
        <v>46195</v>
      </c>
      <c r="B2327" s="3" t="s">
        <v>870</v>
      </c>
      <c r="C2327" s="0" t="n">
        <v>91</v>
      </c>
      <c r="D2327" s="0" t="n">
        <v>1</v>
      </c>
      <c r="E2327" s="0" t="str">
        <f aca="false">INDEX(lot!$B$2:$B$1201,MATCH(B2327,lot!$A$2:$A$1201,0))</f>
        <v>SUP-A</v>
      </c>
      <c r="F2327" s="3" t="n">
        <f aca="false">YEAR(A2327)*100+MONTH(A2327)</f>
        <v>202606</v>
      </c>
    </row>
    <row r="2328" customFormat="false" ht="15" hidden="false" customHeight="false" outlineLevel="0" collapsed="false">
      <c r="A2328" s="2" t="n">
        <v>46195</v>
      </c>
      <c r="B2328" s="3" t="s">
        <v>870</v>
      </c>
      <c r="C2328" s="0" t="n">
        <v>80</v>
      </c>
      <c r="D2328" s="0" t="n">
        <v>0</v>
      </c>
      <c r="E2328" s="0" t="str">
        <f aca="false">INDEX(lot!$B$2:$B$1201,MATCH(B2328,lot!$A$2:$A$1201,0))</f>
        <v>SUP-A</v>
      </c>
      <c r="F2328" s="3" t="n">
        <f aca="false">YEAR(A2328)*100+MONTH(A2328)</f>
        <v>202606</v>
      </c>
    </row>
    <row r="2329" customFormat="false" ht="15" hidden="false" customHeight="false" outlineLevel="0" collapsed="false">
      <c r="A2329" s="2" t="n">
        <v>46195</v>
      </c>
      <c r="B2329" s="3" t="s">
        <v>960</v>
      </c>
      <c r="C2329" s="0" t="n">
        <v>137</v>
      </c>
      <c r="D2329" s="0" t="n">
        <v>1</v>
      </c>
      <c r="E2329" s="0" t="str">
        <f aca="false">INDEX(lot!$B$2:$B$1201,MATCH(B2329,lot!$A$2:$A$1201,0))</f>
        <v>SUP-E</v>
      </c>
      <c r="F2329" s="3" t="n">
        <f aca="false">YEAR(A2329)*100+MONTH(A2329)</f>
        <v>202606</v>
      </c>
    </row>
    <row r="2330" customFormat="false" ht="15" hidden="false" customHeight="false" outlineLevel="0" collapsed="false">
      <c r="A2330" s="2" t="n">
        <v>46195</v>
      </c>
      <c r="B2330" s="3" t="s">
        <v>974</v>
      </c>
      <c r="C2330" s="0" t="n">
        <v>120</v>
      </c>
      <c r="D2330" s="0" t="n">
        <v>1</v>
      </c>
      <c r="E2330" s="0" t="str">
        <f aca="false">INDEX(lot!$B$2:$B$1201,MATCH(B2330,lot!$A$2:$A$1201,0))</f>
        <v>SUP-E</v>
      </c>
      <c r="F2330" s="3" t="n">
        <f aca="false">YEAR(A2330)*100+MONTH(A2330)</f>
        <v>202606</v>
      </c>
    </row>
    <row r="2331" customFormat="false" ht="15" hidden="false" customHeight="false" outlineLevel="0" collapsed="false">
      <c r="A2331" s="2" t="n">
        <v>46195</v>
      </c>
      <c r="B2331" s="3" t="s">
        <v>974</v>
      </c>
      <c r="C2331" s="0" t="n">
        <v>157</v>
      </c>
      <c r="D2331" s="0" t="n">
        <v>0</v>
      </c>
      <c r="E2331" s="0" t="str">
        <f aca="false">INDEX(lot!$B$2:$B$1201,MATCH(B2331,lot!$A$2:$A$1201,0))</f>
        <v>SUP-E</v>
      </c>
      <c r="F2331" s="3" t="n">
        <f aca="false">YEAR(A2331)*100+MONTH(A2331)</f>
        <v>202606</v>
      </c>
    </row>
    <row r="2332" customFormat="false" ht="15" hidden="false" customHeight="false" outlineLevel="0" collapsed="false">
      <c r="A2332" s="2" t="n">
        <v>46195</v>
      </c>
      <c r="B2332" s="3" t="s">
        <v>976</v>
      </c>
      <c r="C2332" s="0" t="n">
        <v>240</v>
      </c>
      <c r="D2332" s="0" t="n">
        <v>2</v>
      </c>
      <c r="E2332" s="0" t="str">
        <f aca="false">INDEX(lot!$B$2:$B$1201,MATCH(B2332,lot!$A$2:$A$1201,0))</f>
        <v>SUP-D</v>
      </c>
      <c r="F2332" s="3" t="n">
        <f aca="false">YEAR(A2332)*100+MONTH(A2332)</f>
        <v>202606</v>
      </c>
    </row>
    <row r="2333" customFormat="false" ht="15" hidden="false" customHeight="false" outlineLevel="0" collapsed="false">
      <c r="A2333" s="2" t="n">
        <v>46195</v>
      </c>
      <c r="B2333" s="3" t="s">
        <v>1049</v>
      </c>
      <c r="C2333" s="0" t="n">
        <v>84</v>
      </c>
      <c r="D2333" s="0" t="n">
        <v>1</v>
      </c>
      <c r="E2333" s="0" t="str">
        <f aca="false">INDEX(lot!$B$2:$B$1201,MATCH(B2333,lot!$A$2:$A$1201,0))</f>
        <v>SUP-D</v>
      </c>
      <c r="F2333" s="3" t="n">
        <f aca="false">YEAR(A2333)*100+MONTH(A2333)</f>
        <v>202606</v>
      </c>
    </row>
    <row r="2334" customFormat="false" ht="15" hidden="false" customHeight="false" outlineLevel="0" collapsed="false">
      <c r="A2334" s="2" t="n">
        <v>46195</v>
      </c>
      <c r="B2334" s="3" t="s">
        <v>1049</v>
      </c>
      <c r="C2334" s="0" t="n">
        <v>130</v>
      </c>
      <c r="D2334" s="0" t="n">
        <v>0</v>
      </c>
      <c r="E2334" s="0" t="str">
        <f aca="false">INDEX(lot!$B$2:$B$1201,MATCH(B2334,lot!$A$2:$A$1201,0))</f>
        <v>SUP-D</v>
      </c>
      <c r="F2334" s="3" t="n">
        <f aca="false">YEAR(A2334)*100+MONTH(A2334)</f>
        <v>202606</v>
      </c>
    </row>
    <row r="2335" customFormat="false" ht="15" hidden="false" customHeight="false" outlineLevel="0" collapsed="false">
      <c r="A2335" s="2" t="n">
        <v>46195</v>
      </c>
      <c r="B2335" s="3" t="s">
        <v>1082</v>
      </c>
      <c r="C2335" s="0" t="n">
        <v>196</v>
      </c>
      <c r="D2335" s="0" t="n">
        <v>1</v>
      </c>
      <c r="E2335" s="0" t="str">
        <f aca="false">INDEX(lot!$B$2:$B$1201,MATCH(B2335,lot!$A$2:$A$1201,0))</f>
        <v>SUP-D</v>
      </c>
      <c r="F2335" s="3" t="n">
        <f aca="false">YEAR(A2335)*100+MONTH(A2335)</f>
        <v>202606</v>
      </c>
    </row>
    <row r="2336" customFormat="false" ht="15" hidden="false" customHeight="false" outlineLevel="0" collapsed="false">
      <c r="A2336" s="2" t="n">
        <v>46195</v>
      </c>
      <c r="B2336" s="3" t="s">
        <v>1148</v>
      </c>
      <c r="C2336" s="0" t="n">
        <v>235</v>
      </c>
      <c r="D2336" s="0" t="n">
        <v>1</v>
      </c>
      <c r="E2336" s="0" t="str">
        <f aca="false">INDEX(lot!$B$2:$B$1201,MATCH(B2336,lot!$A$2:$A$1201,0))</f>
        <v>SUP-A</v>
      </c>
      <c r="F2336" s="3" t="n">
        <f aca="false">YEAR(A2336)*100+MONTH(A2336)</f>
        <v>202606</v>
      </c>
    </row>
    <row r="2337" customFormat="false" ht="15" hidden="false" customHeight="false" outlineLevel="0" collapsed="false">
      <c r="A2337" s="2" t="n">
        <v>46195</v>
      </c>
      <c r="B2337" s="3" t="s">
        <v>1148</v>
      </c>
      <c r="C2337" s="0" t="n">
        <v>71</v>
      </c>
      <c r="D2337" s="0" t="n">
        <v>1</v>
      </c>
      <c r="E2337" s="0" t="str">
        <f aca="false">INDEX(lot!$B$2:$B$1201,MATCH(B2337,lot!$A$2:$A$1201,0))</f>
        <v>SUP-A</v>
      </c>
      <c r="F2337" s="3" t="n">
        <f aca="false">YEAR(A2337)*100+MONTH(A2337)</f>
        <v>202606</v>
      </c>
    </row>
    <row r="2338" customFormat="false" ht="15" hidden="false" customHeight="false" outlineLevel="0" collapsed="false">
      <c r="A2338" s="2" t="n">
        <v>46195</v>
      </c>
      <c r="B2338" s="3" t="s">
        <v>1189</v>
      </c>
      <c r="C2338" s="0" t="n">
        <v>157</v>
      </c>
      <c r="D2338" s="0" t="n">
        <v>1</v>
      </c>
      <c r="E2338" s="0" t="str">
        <f aca="false">INDEX(lot!$B$2:$B$1201,MATCH(B2338,lot!$A$2:$A$1201,0))</f>
        <v>SUP-A</v>
      </c>
      <c r="F2338" s="3" t="n">
        <f aca="false">YEAR(A2338)*100+MONTH(A2338)</f>
        <v>202606</v>
      </c>
    </row>
    <row r="2339" customFormat="false" ht="15" hidden="false" customHeight="false" outlineLevel="0" collapsed="false">
      <c r="A2339" s="2" t="n">
        <v>46195</v>
      </c>
      <c r="B2339" s="3" t="s">
        <v>1189</v>
      </c>
      <c r="C2339" s="0" t="n">
        <v>89</v>
      </c>
      <c r="D2339" s="0" t="n">
        <v>1</v>
      </c>
      <c r="E2339" s="0" t="str">
        <f aca="false">INDEX(lot!$B$2:$B$1201,MATCH(B2339,lot!$A$2:$A$1201,0))</f>
        <v>SUP-A</v>
      </c>
      <c r="F2339" s="3" t="n">
        <f aca="false">YEAR(A2339)*100+MONTH(A2339)</f>
        <v>202606</v>
      </c>
    </row>
    <row r="2340" customFormat="false" ht="15" hidden="false" customHeight="false" outlineLevel="0" collapsed="false">
      <c r="A2340" s="2" t="n">
        <v>46196</v>
      </c>
      <c r="B2340" s="3" t="s">
        <v>21</v>
      </c>
      <c r="C2340" s="0" t="n">
        <v>205</v>
      </c>
      <c r="D2340" s="0" t="n">
        <v>2</v>
      </c>
      <c r="E2340" s="0" t="str">
        <f aca="false">INDEX(lot!$B$2:$B$1201,MATCH(B2340,lot!$A$2:$A$1201,0))</f>
        <v>SUP-E</v>
      </c>
      <c r="F2340" s="3" t="n">
        <f aca="false">YEAR(A2340)*100+MONTH(A2340)</f>
        <v>202606</v>
      </c>
    </row>
    <row r="2341" customFormat="false" ht="15" hidden="false" customHeight="false" outlineLevel="0" collapsed="false">
      <c r="A2341" s="2" t="n">
        <v>46196</v>
      </c>
      <c r="B2341" s="3" t="s">
        <v>21</v>
      </c>
      <c r="C2341" s="0" t="n">
        <v>80</v>
      </c>
      <c r="D2341" s="0" t="n">
        <v>0</v>
      </c>
      <c r="E2341" s="0" t="str">
        <f aca="false">INDEX(lot!$B$2:$B$1201,MATCH(B2341,lot!$A$2:$A$1201,0))</f>
        <v>SUP-E</v>
      </c>
      <c r="F2341" s="3" t="n">
        <f aca="false">YEAR(A2341)*100+MONTH(A2341)</f>
        <v>202606</v>
      </c>
    </row>
    <row r="2342" customFormat="false" ht="15" hidden="false" customHeight="false" outlineLevel="0" collapsed="false">
      <c r="A2342" s="2" t="n">
        <v>46196</v>
      </c>
      <c r="B2342" s="3" t="s">
        <v>53</v>
      </c>
      <c r="C2342" s="0" t="n">
        <v>131</v>
      </c>
      <c r="D2342" s="0" t="n">
        <v>2</v>
      </c>
      <c r="E2342" s="0" t="str">
        <f aca="false">INDEX(lot!$B$2:$B$1201,MATCH(B2342,lot!$A$2:$A$1201,0))</f>
        <v>SUP-B</v>
      </c>
      <c r="F2342" s="3" t="n">
        <f aca="false">YEAR(A2342)*100+MONTH(A2342)</f>
        <v>202606</v>
      </c>
    </row>
    <row r="2343" customFormat="false" ht="15" hidden="false" customHeight="false" outlineLevel="0" collapsed="false">
      <c r="A2343" s="2" t="n">
        <v>46196</v>
      </c>
      <c r="B2343" s="3" t="s">
        <v>53</v>
      </c>
      <c r="C2343" s="0" t="n">
        <v>115</v>
      </c>
      <c r="D2343" s="0" t="n">
        <v>2</v>
      </c>
      <c r="E2343" s="0" t="str">
        <f aca="false">INDEX(lot!$B$2:$B$1201,MATCH(B2343,lot!$A$2:$A$1201,0))</f>
        <v>SUP-B</v>
      </c>
      <c r="F2343" s="3" t="n">
        <f aca="false">YEAR(A2343)*100+MONTH(A2343)</f>
        <v>202606</v>
      </c>
    </row>
    <row r="2344" customFormat="false" ht="15" hidden="false" customHeight="false" outlineLevel="0" collapsed="false">
      <c r="A2344" s="2" t="n">
        <v>46196</v>
      </c>
      <c r="B2344" s="3" t="s">
        <v>100</v>
      </c>
      <c r="C2344" s="0" t="n">
        <v>90</v>
      </c>
      <c r="D2344" s="0" t="n">
        <v>0</v>
      </c>
      <c r="E2344" s="0" t="str">
        <f aca="false">INDEX(lot!$B$2:$B$1201,MATCH(B2344,lot!$A$2:$A$1201,0))</f>
        <v>SUP-A</v>
      </c>
      <c r="F2344" s="3" t="n">
        <f aca="false">YEAR(A2344)*100+MONTH(A2344)</f>
        <v>202606</v>
      </c>
    </row>
    <row r="2345" customFormat="false" ht="15" hidden="false" customHeight="false" outlineLevel="0" collapsed="false">
      <c r="A2345" s="2" t="n">
        <v>46196</v>
      </c>
      <c r="B2345" s="3" t="s">
        <v>100</v>
      </c>
      <c r="C2345" s="0" t="n">
        <v>99</v>
      </c>
      <c r="D2345" s="0" t="n">
        <v>0</v>
      </c>
      <c r="E2345" s="0" t="str">
        <f aca="false">INDEX(lot!$B$2:$B$1201,MATCH(B2345,lot!$A$2:$A$1201,0))</f>
        <v>SUP-A</v>
      </c>
      <c r="F2345" s="3" t="n">
        <f aca="false">YEAR(A2345)*100+MONTH(A2345)</f>
        <v>202606</v>
      </c>
    </row>
    <row r="2346" customFormat="false" ht="15" hidden="false" customHeight="false" outlineLevel="0" collapsed="false">
      <c r="A2346" s="2" t="n">
        <v>46196</v>
      </c>
      <c r="B2346" s="3" t="s">
        <v>158</v>
      </c>
      <c r="C2346" s="0" t="n">
        <v>242</v>
      </c>
      <c r="D2346" s="0" t="n">
        <v>37</v>
      </c>
      <c r="E2346" s="0" t="str">
        <f aca="false">INDEX(lot!$B$2:$B$1201,MATCH(B2346,lot!$A$2:$A$1201,0))</f>
        <v>SUP-C</v>
      </c>
      <c r="F2346" s="3" t="n">
        <f aca="false">YEAR(A2346)*100+MONTH(A2346)</f>
        <v>202606</v>
      </c>
    </row>
    <row r="2347" customFormat="false" ht="15" hidden="false" customHeight="false" outlineLevel="0" collapsed="false">
      <c r="A2347" s="2" t="n">
        <v>46196</v>
      </c>
      <c r="B2347" s="3" t="s">
        <v>168</v>
      </c>
      <c r="C2347" s="0" t="n">
        <v>64</v>
      </c>
      <c r="D2347" s="0" t="n">
        <v>1</v>
      </c>
      <c r="E2347" s="0" t="str">
        <f aca="false">INDEX(lot!$B$2:$B$1201,MATCH(B2347,lot!$A$2:$A$1201,0))</f>
        <v>SUP-C</v>
      </c>
      <c r="F2347" s="3" t="n">
        <f aca="false">YEAR(A2347)*100+MONTH(A2347)</f>
        <v>202606</v>
      </c>
    </row>
    <row r="2348" customFormat="false" ht="15" hidden="false" customHeight="false" outlineLevel="0" collapsed="false">
      <c r="A2348" s="2" t="n">
        <v>46196</v>
      </c>
      <c r="B2348" s="3" t="s">
        <v>355</v>
      </c>
      <c r="C2348" s="0" t="n">
        <v>186</v>
      </c>
      <c r="D2348" s="0" t="n">
        <v>5</v>
      </c>
      <c r="E2348" s="0" t="str">
        <f aca="false">INDEX(lot!$B$2:$B$1201,MATCH(B2348,lot!$A$2:$A$1201,0))</f>
        <v>SUP-C</v>
      </c>
      <c r="F2348" s="3" t="n">
        <f aca="false">YEAR(A2348)*100+MONTH(A2348)</f>
        <v>202606</v>
      </c>
    </row>
    <row r="2349" customFormat="false" ht="15" hidden="false" customHeight="false" outlineLevel="0" collapsed="false">
      <c r="A2349" s="2" t="n">
        <v>46196</v>
      </c>
      <c r="B2349" s="3" t="s">
        <v>380</v>
      </c>
      <c r="C2349" s="0" t="n">
        <v>122</v>
      </c>
      <c r="D2349" s="0" t="n">
        <v>1</v>
      </c>
      <c r="E2349" s="0" t="str">
        <f aca="false">INDEX(lot!$B$2:$B$1201,MATCH(B2349,lot!$A$2:$A$1201,0))</f>
        <v>SUP-D</v>
      </c>
      <c r="F2349" s="3" t="n">
        <f aca="false">YEAR(A2349)*100+MONTH(A2349)</f>
        <v>202606</v>
      </c>
    </row>
    <row r="2350" customFormat="false" ht="15" hidden="false" customHeight="false" outlineLevel="0" collapsed="false">
      <c r="A2350" s="2" t="n">
        <v>46196</v>
      </c>
      <c r="B2350" s="3" t="s">
        <v>427</v>
      </c>
      <c r="C2350" s="0" t="n">
        <v>66</v>
      </c>
      <c r="D2350" s="0" t="n">
        <v>0</v>
      </c>
      <c r="E2350" s="0" t="str">
        <f aca="false">INDEX(lot!$B$2:$B$1201,MATCH(B2350,lot!$A$2:$A$1201,0))</f>
        <v>SUP-E</v>
      </c>
      <c r="F2350" s="3" t="n">
        <f aca="false">YEAR(A2350)*100+MONTH(A2350)</f>
        <v>202606</v>
      </c>
    </row>
    <row r="2351" customFormat="false" ht="15" hidden="false" customHeight="false" outlineLevel="0" collapsed="false">
      <c r="A2351" s="2" t="n">
        <v>46196</v>
      </c>
      <c r="B2351" s="3" t="s">
        <v>427</v>
      </c>
      <c r="C2351" s="0" t="n">
        <v>193</v>
      </c>
      <c r="D2351" s="0" t="n">
        <v>3</v>
      </c>
      <c r="E2351" s="0" t="str">
        <f aca="false">INDEX(lot!$B$2:$B$1201,MATCH(B2351,lot!$A$2:$A$1201,0))</f>
        <v>SUP-E</v>
      </c>
      <c r="F2351" s="3" t="n">
        <f aca="false">YEAR(A2351)*100+MONTH(A2351)</f>
        <v>202606</v>
      </c>
    </row>
    <row r="2352" customFormat="false" ht="15" hidden="false" customHeight="false" outlineLevel="0" collapsed="false">
      <c r="A2352" s="2" t="n">
        <v>46196</v>
      </c>
      <c r="B2352" s="3" t="s">
        <v>431</v>
      </c>
      <c r="C2352" s="0" t="n">
        <v>148</v>
      </c>
      <c r="D2352" s="0" t="n">
        <v>22</v>
      </c>
      <c r="E2352" s="0" t="str">
        <f aca="false">INDEX(lot!$B$2:$B$1201,MATCH(B2352,lot!$A$2:$A$1201,0))</f>
        <v>SUP-C</v>
      </c>
      <c r="F2352" s="3" t="n">
        <f aca="false">YEAR(A2352)*100+MONTH(A2352)</f>
        <v>202606</v>
      </c>
    </row>
    <row r="2353" customFormat="false" ht="15" hidden="false" customHeight="false" outlineLevel="0" collapsed="false">
      <c r="A2353" s="2" t="n">
        <v>46196</v>
      </c>
      <c r="B2353" s="3" t="s">
        <v>431</v>
      </c>
      <c r="C2353" s="0" t="n">
        <v>105</v>
      </c>
      <c r="D2353" s="0" t="n">
        <v>17</v>
      </c>
      <c r="E2353" s="0" t="str">
        <f aca="false">INDEX(lot!$B$2:$B$1201,MATCH(B2353,lot!$A$2:$A$1201,0))</f>
        <v>SUP-C</v>
      </c>
      <c r="F2353" s="3" t="n">
        <f aca="false">YEAR(A2353)*100+MONTH(A2353)</f>
        <v>202606</v>
      </c>
    </row>
    <row r="2354" customFormat="false" ht="15" hidden="false" customHeight="false" outlineLevel="0" collapsed="false">
      <c r="A2354" s="2" t="n">
        <v>46196</v>
      </c>
      <c r="B2354" s="3" t="s">
        <v>497</v>
      </c>
      <c r="C2354" s="0" t="n">
        <v>95</v>
      </c>
      <c r="D2354" s="0" t="n">
        <v>1</v>
      </c>
      <c r="E2354" s="0" t="str">
        <f aca="false">INDEX(lot!$B$2:$B$1201,MATCH(B2354,lot!$A$2:$A$1201,0))</f>
        <v>SUP-A</v>
      </c>
      <c r="F2354" s="3" t="n">
        <f aca="false">YEAR(A2354)*100+MONTH(A2354)</f>
        <v>202606</v>
      </c>
    </row>
    <row r="2355" customFormat="false" ht="15" hidden="false" customHeight="false" outlineLevel="0" collapsed="false">
      <c r="A2355" s="2" t="n">
        <v>46196</v>
      </c>
      <c r="B2355" s="3" t="s">
        <v>497</v>
      </c>
      <c r="C2355" s="0" t="n">
        <v>239</v>
      </c>
      <c r="D2355" s="0" t="n">
        <v>1</v>
      </c>
      <c r="E2355" s="0" t="str">
        <f aca="false">INDEX(lot!$B$2:$B$1201,MATCH(B2355,lot!$A$2:$A$1201,0))</f>
        <v>SUP-A</v>
      </c>
      <c r="F2355" s="3" t="n">
        <f aca="false">YEAR(A2355)*100+MONTH(A2355)</f>
        <v>202606</v>
      </c>
    </row>
    <row r="2356" customFormat="false" ht="15" hidden="false" customHeight="false" outlineLevel="0" collapsed="false">
      <c r="A2356" s="2" t="n">
        <v>46196</v>
      </c>
      <c r="B2356" s="3" t="s">
        <v>729</v>
      </c>
      <c r="C2356" s="0" t="n">
        <v>200</v>
      </c>
      <c r="D2356" s="0" t="n">
        <v>1</v>
      </c>
      <c r="E2356" s="0" t="str">
        <f aca="false">INDEX(lot!$B$2:$B$1201,MATCH(B2356,lot!$A$2:$A$1201,0))</f>
        <v>SUP-B</v>
      </c>
      <c r="F2356" s="3" t="n">
        <f aca="false">YEAR(A2356)*100+MONTH(A2356)</f>
        <v>202606</v>
      </c>
    </row>
    <row r="2357" customFormat="false" ht="15" hidden="false" customHeight="false" outlineLevel="0" collapsed="false">
      <c r="A2357" s="2" t="n">
        <v>46196</v>
      </c>
      <c r="B2357" s="3" t="s">
        <v>729</v>
      </c>
      <c r="C2357" s="0" t="n">
        <v>177</v>
      </c>
      <c r="D2357" s="0" t="n">
        <v>0</v>
      </c>
      <c r="E2357" s="0" t="str">
        <f aca="false">INDEX(lot!$B$2:$B$1201,MATCH(B2357,lot!$A$2:$A$1201,0))</f>
        <v>SUP-B</v>
      </c>
      <c r="F2357" s="3" t="n">
        <f aca="false">YEAR(A2357)*100+MONTH(A2357)</f>
        <v>202606</v>
      </c>
    </row>
    <row r="2358" customFormat="false" ht="15" hidden="false" customHeight="false" outlineLevel="0" collapsed="false">
      <c r="A2358" s="2" t="n">
        <v>46196</v>
      </c>
      <c r="B2358" s="3" t="s">
        <v>796</v>
      </c>
      <c r="C2358" s="0" t="n">
        <v>186</v>
      </c>
      <c r="D2358" s="0" t="n">
        <v>3</v>
      </c>
      <c r="E2358" s="0" t="str">
        <f aca="false">INDEX(lot!$B$2:$B$1201,MATCH(B2358,lot!$A$2:$A$1201,0))</f>
        <v>SUP-D</v>
      </c>
      <c r="F2358" s="3" t="n">
        <f aca="false">YEAR(A2358)*100+MONTH(A2358)</f>
        <v>202606</v>
      </c>
    </row>
    <row r="2359" customFormat="false" ht="15" hidden="false" customHeight="false" outlineLevel="0" collapsed="false">
      <c r="A2359" s="2" t="n">
        <v>46196</v>
      </c>
      <c r="B2359" s="3" t="s">
        <v>796</v>
      </c>
      <c r="C2359" s="0" t="n">
        <v>190</v>
      </c>
      <c r="D2359" s="0" t="n">
        <v>2</v>
      </c>
      <c r="E2359" s="0" t="str">
        <f aca="false">INDEX(lot!$B$2:$B$1201,MATCH(B2359,lot!$A$2:$A$1201,0))</f>
        <v>SUP-D</v>
      </c>
      <c r="F2359" s="3" t="n">
        <f aca="false">YEAR(A2359)*100+MONTH(A2359)</f>
        <v>202606</v>
      </c>
    </row>
    <row r="2360" customFormat="false" ht="15" hidden="false" customHeight="false" outlineLevel="0" collapsed="false">
      <c r="A2360" s="2" t="n">
        <v>46196</v>
      </c>
      <c r="B2360" s="3" t="s">
        <v>836</v>
      </c>
      <c r="C2360" s="0" t="n">
        <v>73</v>
      </c>
      <c r="D2360" s="0" t="n">
        <v>0</v>
      </c>
      <c r="E2360" s="0" t="str">
        <f aca="false">INDEX(lot!$B$2:$B$1201,MATCH(B2360,lot!$A$2:$A$1201,0))</f>
        <v>SUP-E</v>
      </c>
      <c r="F2360" s="3" t="n">
        <f aca="false">YEAR(A2360)*100+MONTH(A2360)</f>
        <v>202606</v>
      </c>
    </row>
    <row r="2361" customFormat="false" ht="15" hidden="false" customHeight="false" outlineLevel="0" collapsed="false">
      <c r="A2361" s="2" t="n">
        <v>46196</v>
      </c>
      <c r="B2361" s="3" t="s">
        <v>960</v>
      </c>
      <c r="C2361" s="0" t="n">
        <v>121</v>
      </c>
      <c r="D2361" s="0" t="n">
        <v>1</v>
      </c>
      <c r="E2361" s="0" t="str">
        <f aca="false">INDEX(lot!$B$2:$B$1201,MATCH(B2361,lot!$A$2:$A$1201,0))</f>
        <v>SUP-E</v>
      </c>
      <c r="F2361" s="3" t="n">
        <f aca="false">YEAR(A2361)*100+MONTH(A2361)</f>
        <v>202606</v>
      </c>
    </row>
    <row r="2362" customFormat="false" ht="15" hidden="false" customHeight="false" outlineLevel="0" collapsed="false">
      <c r="A2362" s="2" t="n">
        <v>46196</v>
      </c>
      <c r="B2362" s="3" t="s">
        <v>960</v>
      </c>
      <c r="C2362" s="0" t="n">
        <v>143</v>
      </c>
      <c r="D2362" s="0" t="n">
        <v>0</v>
      </c>
      <c r="E2362" s="0" t="str">
        <f aca="false">INDEX(lot!$B$2:$B$1201,MATCH(B2362,lot!$A$2:$A$1201,0))</f>
        <v>SUP-E</v>
      </c>
      <c r="F2362" s="3" t="n">
        <f aca="false">YEAR(A2362)*100+MONTH(A2362)</f>
        <v>202606</v>
      </c>
    </row>
    <row r="2363" customFormat="false" ht="15" hidden="false" customHeight="false" outlineLevel="0" collapsed="false">
      <c r="A2363" s="2" t="n">
        <v>46196</v>
      </c>
      <c r="B2363" s="3" t="s">
        <v>974</v>
      </c>
      <c r="C2363" s="0" t="n">
        <v>59</v>
      </c>
      <c r="D2363" s="0" t="n">
        <v>0</v>
      </c>
      <c r="E2363" s="0" t="str">
        <f aca="false">INDEX(lot!$B$2:$B$1201,MATCH(B2363,lot!$A$2:$A$1201,0))</f>
        <v>SUP-E</v>
      </c>
      <c r="F2363" s="3" t="n">
        <f aca="false">YEAR(A2363)*100+MONTH(A2363)</f>
        <v>202606</v>
      </c>
    </row>
    <row r="2364" customFormat="false" ht="15" hidden="false" customHeight="false" outlineLevel="0" collapsed="false">
      <c r="A2364" s="2" t="n">
        <v>46196</v>
      </c>
      <c r="B2364" s="3" t="s">
        <v>976</v>
      </c>
      <c r="C2364" s="0" t="n">
        <v>114</v>
      </c>
      <c r="D2364" s="0" t="n">
        <v>1</v>
      </c>
      <c r="E2364" s="0" t="str">
        <f aca="false">INDEX(lot!$B$2:$B$1201,MATCH(B2364,lot!$A$2:$A$1201,0))</f>
        <v>SUP-D</v>
      </c>
      <c r="F2364" s="3" t="n">
        <f aca="false">YEAR(A2364)*100+MONTH(A2364)</f>
        <v>202606</v>
      </c>
    </row>
    <row r="2365" customFormat="false" ht="15" hidden="false" customHeight="false" outlineLevel="0" collapsed="false">
      <c r="A2365" s="2" t="n">
        <v>46196</v>
      </c>
      <c r="B2365" s="3" t="s">
        <v>1126</v>
      </c>
      <c r="C2365" s="0" t="n">
        <v>167</v>
      </c>
      <c r="D2365" s="0" t="n">
        <v>2</v>
      </c>
      <c r="E2365" s="0" t="str">
        <f aca="false">INDEX(lot!$B$2:$B$1201,MATCH(B2365,lot!$A$2:$A$1201,0))</f>
        <v>SUP-E</v>
      </c>
      <c r="F2365" s="3" t="n">
        <f aca="false">YEAR(A2365)*100+MONTH(A2365)</f>
        <v>202606</v>
      </c>
    </row>
    <row r="2366" customFormat="false" ht="15" hidden="false" customHeight="false" outlineLevel="0" collapsed="false">
      <c r="A2366" s="2" t="n">
        <v>46196</v>
      </c>
      <c r="B2366" s="3" t="s">
        <v>1126</v>
      </c>
      <c r="C2366" s="0" t="n">
        <v>246</v>
      </c>
      <c r="D2366" s="0" t="n">
        <v>3</v>
      </c>
      <c r="E2366" s="0" t="str">
        <f aca="false">INDEX(lot!$B$2:$B$1201,MATCH(B2366,lot!$A$2:$A$1201,0))</f>
        <v>SUP-E</v>
      </c>
      <c r="F2366" s="3" t="n">
        <f aca="false">YEAR(A2366)*100+MONTH(A2366)</f>
        <v>202606</v>
      </c>
    </row>
    <row r="2367" customFormat="false" ht="15" hidden="false" customHeight="false" outlineLevel="0" collapsed="false">
      <c r="A2367" s="2" t="n">
        <v>46196</v>
      </c>
      <c r="B2367" s="3" t="s">
        <v>1148</v>
      </c>
      <c r="C2367" s="0" t="n">
        <v>99</v>
      </c>
      <c r="D2367" s="0" t="n">
        <v>2</v>
      </c>
      <c r="E2367" s="0" t="str">
        <f aca="false">INDEX(lot!$B$2:$B$1201,MATCH(B2367,lot!$A$2:$A$1201,0))</f>
        <v>SUP-A</v>
      </c>
      <c r="F2367" s="3" t="n">
        <f aca="false">YEAR(A2367)*100+MONTH(A2367)</f>
        <v>202606</v>
      </c>
    </row>
    <row r="2368" customFormat="false" ht="15" hidden="false" customHeight="false" outlineLevel="0" collapsed="false">
      <c r="A2368" s="2" t="n">
        <v>46196</v>
      </c>
      <c r="B2368" s="3" t="s">
        <v>1189</v>
      </c>
      <c r="C2368" s="0" t="n">
        <v>158</v>
      </c>
      <c r="D2368" s="0" t="n">
        <v>1</v>
      </c>
      <c r="E2368" s="0" t="str">
        <f aca="false">INDEX(lot!$B$2:$B$1201,MATCH(B2368,lot!$A$2:$A$1201,0))</f>
        <v>SUP-A</v>
      </c>
      <c r="F2368" s="3" t="n">
        <f aca="false">YEAR(A2368)*100+MONTH(A2368)</f>
        <v>202606</v>
      </c>
    </row>
    <row r="2369" customFormat="false" ht="15" hidden="false" customHeight="false" outlineLevel="0" collapsed="false">
      <c r="A2369" s="2" t="n">
        <v>46196</v>
      </c>
      <c r="B2369" s="3" t="s">
        <v>1189</v>
      </c>
      <c r="C2369" s="0" t="n">
        <v>95</v>
      </c>
      <c r="D2369" s="0" t="n">
        <v>0</v>
      </c>
      <c r="E2369" s="0" t="str">
        <f aca="false">INDEX(lot!$B$2:$B$1201,MATCH(B2369,lot!$A$2:$A$1201,0))</f>
        <v>SUP-A</v>
      </c>
      <c r="F2369" s="3" t="n">
        <f aca="false">YEAR(A2369)*100+MONTH(A2369)</f>
        <v>202606</v>
      </c>
    </row>
    <row r="2370" customFormat="false" ht="15" hidden="false" customHeight="false" outlineLevel="0" collapsed="false">
      <c r="A2370" s="2" t="n">
        <v>46196</v>
      </c>
      <c r="B2370" s="3" t="s">
        <v>1201</v>
      </c>
      <c r="C2370" s="0" t="n">
        <v>111</v>
      </c>
      <c r="D2370" s="0" t="n">
        <v>2</v>
      </c>
      <c r="E2370" s="0" t="str">
        <f aca="false">INDEX(lot!$B$2:$B$1201,MATCH(B2370,lot!$A$2:$A$1201,0))</f>
        <v>SUP-A</v>
      </c>
      <c r="F2370" s="3" t="n">
        <f aca="false">YEAR(A2370)*100+MONTH(A2370)</f>
        <v>202606</v>
      </c>
    </row>
    <row r="2371" customFormat="false" ht="15" hidden="false" customHeight="false" outlineLevel="0" collapsed="false">
      <c r="A2371" s="2" t="n">
        <v>46197</v>
      </c>
      <c r="B2371" s="3" t="s">
        <v>53</v>
      </c>
      <c r="C2371" s="0" t="n">
        <v>206</v>
      </c>
      <c r="D2371" s="0" t="n">
        <v>2</v>
      </c>
      <c r="E2371" s="0" t="str">
        <f aca="false">INDEX(lot!$B$2:$B$1201,MATCH(B2371,lot!$A$2:$A$1201,0))</f>
        <v>SUP-B</v>
      </c>
      <c r="F2371" s="3" t="n">
        <f aca="false">YEAR(A2371)*100+MONTH(A2371)</f>
        <v>202606</v>
      </c>
    </row>
    <row r="2372" customFormat="false" ht="15" hidden="false" customHeight="false" outlineLevel="0" collapsed="false">
      <c r="A2372" s="2" t="n">
        <v>46197</v>
      </c>
      <c r="B2372" s="3" t="s">
        <v>102</v>
      </c>
      <c r="C2372" s="0" t="n">
        <v>247</v>
      </c>
      <c r="D2372" s="0" t="n">
        <v>8</v>
      </c>
      <c r="E2372" s="0" t="str">
        <f aca="false">INDEX(lot!$B$2:$B$1201,MATCH(B2372,lot!$A$2:$A$1201,0))</f>
        <v>SUP-C</v>
      </c>
      <c r="F2372" s="3" t="n">
        <f aca="false">YEAR(A2372)*100+MONTH(A2372)</f>
        <v>202606</v>
      </c>
    </row>
    <row r="2373" customFormat="false" ht="15" hidden="false" customHeight="false" outlineLevel="0" collapsed="false">
      <c r="A2373" s="2" t="n">
        <v>46197</v>
      </c>
      <c r="B2373" s="3" t="s">
        <v>158</v>
      </c>
      <c r="C2373" s="0" t="n">
        <v>100</v>
      </c>
      <c r="D2373" s="0" t="n">
        <v>14</v>
      </c>
      <c r="E2373" s="0" t="str">
        <f aca="false">INDEX(lot!$B$2:$B$1201,MATCH(B2373,lot!$A$2:$A$1201,0))</f>
        <v>SUP-C</v>
      </c>
      <c r="F2373" s="3" t="n">
        <f aca="false">YEAR(A2373)*100+MONTH(A2373)</f>
        <v>202606</v>
      </c>
    </row>
    <row r="2374" customFormat="false" ht="15" hidden="false" customHeight="false" outlineLevel="0" collapsed="false">
      <c r="A2374" s="2" t="n">
        <v>46197</v>
      </c>
      <c r="B2374" s="3" t="s">
        <v>158</v>
      </c>
      <c r="C2374" s="0" t="n">
        <v>219</v>
      </c>
      <c r="D2374" s="0" t="n">
        <v>32</v>
      </c>
      <c r="E2374" s="0" t="str">
        <f aca="false">INDEX(lot!$B$2:$B$1201,MATCH(B2374,lot!$A$2:$A$1201,0))</f>
        <v>SUP-C</v>
      </c>
      <c r="F2374" s="3" t="n">
        <f aca="false">YEAR(A2374)*100+MONTH(A2374)</f>
        <v>202606</v>
      </c>
    </row>
    <row r="2375" customFormat="false" ht="15" hidden="false" customHeight="false" outlineLevel="0" collapsed="false">
      <c r="A2375" s="2" t="n">
        <v>46197</v>
      </c>
      <c r="B2375" s="3" t="s">
        <v>486</v>
      </c>
      <c r="C2375" s="0" t="n">
        <v>237</v>
      </c>
      <c r="D2375" s="0" t="n">
        <v>1</v>
      </c>
      <c r="E2375" s="0" t="str">
        <f aca="false">INDEX(lot!$B$2:$B$1201,MATCH(B2375,lot!$A$2:$A$1201,0))</f>
        <v>SUP-E</v>
      </c>
      <c r="F2375" s="3" t="n">
        <f aca="false">YEAR(A2375)*100+MONTH(A2375)</f>
        <v>202606</v>
      </c>
    </row>
    <row r="2376" customFormat="false" ht="15" hidden="false" customHeight="false" outlineLevel="0" collapsed="false">
      <c r="A2376" s="2" t="n">
        <v>46197</v>
      </c>
      <c r="B2376" s="3" t="s">
        <v>486</v>
      </c>
      <c r="C2376" s="0" t="n">
        <v>135</v>
      </c>
      <c r="D2376" s="0" t="n">
        <v>0</v>
      </c>
      <c r="E2376" s="0" t="str">
        <f aca="false">INDEX(lot!$B$2:$B$1201,MATCH(B2376,lot!$A$2:$A$1201,0))</f>
        <v>SUP-E</v>
      </c>
      <c r="F2376" s="3" t="n">
        <f aca="false">YEAR(A2376)*100+MONTH(A2376)</f>
        <v>202606</v>
      </c>
    </row>
    <row r="2377" customFormat="false" ht="15" hidden="false" customHeight="false" outlineLevel="0" collapsed="false">
      <c r="A2377" s="2" t="n">
        <v>46197</v>
      </c>
      <c r="B2377" s="3" t="s">
        <v>497</v>
      </c>
      <c r="C2377" s="0" t="n">
        <v>190</v>
      </c>
      <c r="D2377" s="0" t="n">
        <v>3</v>
      </c>
      <c r="E2377" s="0" t="str">
        <f aca="false">INDEX(lot!$B$2:$B$1201,MATCH(B2377,lot!$A$2:$A$1201,0))</f>
        <v>SUP-A</v>
      </c>
      <c r="F2377" s="3" t="n">
        <f aca="false">YEAR(A2377)*100+MONTH(A2377)</f>
        <v>202606</v>
      </c>
    </row>
    <row r="2378" customFormat="false" ht="15" hidden="false" customHeight="false" outlineLevel="0" collapsed="false">
      <c r="A2378" s="2" t="n">
        <v>46197</v>
      </c>
      <c r="B2378" s="3" t="s">
        <v>584</v>
      </c>
      <c r="C2378" s="0" t="n">
        <v>116</v>
      </c>
      <c r="D2378" s="0" t="n">
        <v>0</v>
      </c>
      <c r="E2378" s="0" t="str">
        <f aca="false">INDEX(lot!$B$2:$B$1201,MATCH(B2378,lot!$A$2:$A$1201,0))</f>
        <v>SUP-E</v>
      </c>
      <c r="F2378" s="3" t="n">
        <f aca="false">YEAR(A2378)*100+MONTH(A2378)</f>
        <v>202606</v>
      </c>
    </row>
    <row r="2379" customFormat="false" ht="15" hidden="false" customHeight="false" outlineLevel="0" collapsed="false">
      <c r="A2379" s="2" t="n">
        <v>46197</v>
      </c>
      <c r="B2379" s="3" t="s">
        <v>584</v>
      </c>
      <c r="C2379" s="0" t="n">
        <v>166</v>
      </c>
      <c r="D2379" s="0" t="n">
        <v>3</v>
      </c>
      <c r="E2379" s="0" t="str">
        <f aca="false">INDEX(lot!$B$2:$B$1201,MATCH(B2379,lot!$A$2:$A$1201,0))</f>
        <v>SUP-E</v>
      </c>
      <c r="F2379" s="3" t="n">
        <f aca="false">YEAR(A2379)*100+MONTH(A2379)</f>
        <v>202606</v>
      </c>
    </row>
    <row r="2380" customFormat="false" ht="15" hidden="false" customHeight="false" outlineLevel="0" collapsed="false">
      <c r="A2380" s="2" t="n">
        <v>46197</v>
      </c>
      <c r="B2380" s="3" t="s">
        <v>600</v>
      </c>
      <c r="C2380" s="0" t="n">
        <v>185</v>
      </c>
      <c r="D2380" s="0" t="n">
        <v>40</v>
      </c>
      <c r="E2380" s="0" t="str">
        <f aca="false">INDEX(lot!$B$2:$B$1201,MATCH(B2380,lot!$A$2:$A$1201,0))</f>
        <v>SUP-C</v>
      </c>
      <c r="F2380" s="3" t="n">
        <f aca="false">YEAR(A2380)*100+MONTH(A2380)</f>
        <v>202606</v>
      </c>
    </row>
    <row r="2381" customFormat="false" ht="15" hidden="false" customHeight="false" outlineLevel="0" collapsed="false">
      <c r="A2381" s="2" t="n">
        <v>46197</v>
      </c>
      <c r="B2381" s="3" t="s">
        <v>604</v>
      </c>
      <c r="C2381" s="0" t="n">
        <v>105</v>
      </c>
      <c r="D2381" s="0" t="n">
        <v>3</v>
      </c>
      <c r="E2381" s="0" t="str">
        <f aca="false">INDEX(lot!$B$2:$B$1201,MATCH(B2381,lot!$A$2:$A$1201,0))</f>
        <v>SUP-C</v>
      </c>
      <c r="F2381" s="3" t="n">
        <f aca="false">YEAR(A2381)*100+MONTH(A2381)</f>
        <v>202606</v>
      </c>
    </row>
    <row r="2382" customFormat="false" ht="15" hidden="false" customHeight="false" outlineLevel="0" collapsed="false">
      <c r="A2382" s="2" t="n">
        <v>46197</v>
      </c>
      <c r="B2382" s="3" t="s">
        <v>604</v>
      </c>
      <c r="C2382" s="0" t="n">
        <v>76</v>
      </c>
      <c r="D2382" s="0" t="n">
        <v>1</v>
      </c>
      <c r="E2382" s="0" t="str">
        <f aca="false">INDEX(lot!$B$2:$B$1201,MATCH(B2382,lot!$A$2:$A$1201,0))</f>
        <v>SUP-C</v>
      </c>
      <c r="F2382" s="3" t="n">
        <f aca="false">YEAR(A2382)*100+MONTH(A2382)</f>
        <v>202606</v>
      </c>
    </row>
    <row r="2383" customFormat="false" ht="15" hidden="false" customHeight="false" outlineLevel="0" collapsed="false">
      <c r="A2383" s="2" t="n">
        <v>46197</v>
      </c>
      <c r="B2383" s="3" t="s">
        <v>646</v>
      </c>
      <c r="C2383" s="0" t="n">
        <v>109</v>
      </c>
      <c r="D2383" s="0" t="n">
        <v>0</v>
      </c>
      <c r="E2383" s="0" t="str">
        <f aca="false">INDEX(lot!$B$2:$B$1201,MATCH(B2383,lot!$A$2:$A$1201,0))</f>
        <v>SUP-A</v>
      </c>
      <c r="F2383" s="3" t="n">
        <f aca="false">YEAR(A2383)*100+MONTH(A2383)</f>
        <v>202606</v>
      </c>
    </row>
    <row r="2384" customFormat="false" ht="15" hidden="false" customHeight="false" outlineLevel="0" collapsed="false">
      <c r="A2384" s="2" t="n">
        <v>46197</v>
      </c>
      <c r="B2384" s="3" t="s">
        <v>695</v>
      </c>
      <c r="C2384" s="0" t="n">
        <v>223</v>
      </c>
      <c r="D2384" s="0" t="n">
        <v>0</v>
      </c>
      <c r="E2384" s="0" t="str">
        <f aca="false">INDEX(lot!$B$2:$B$1201,MATCH(B2384,lot!$A$2:$A$1201,0))</f>
        <v>SUP-E</v>
      </c>
      <c r="F2384" s="3" t="n">
        <f aca="false">YEAR(A2384)*100+MONTH(A2384)</f>
        <v>202606</v>
      </c>
    </row>
    <row r="2385" customFormat="false" ht="15" hidden="false" customHeight="false" outlineLevel="0" collapsed="false">
      <c r="A2385" s="2" t="n">
        <v>46197</v>
      </c>
      <c r="B2385" s="3" t="s">
        <v>695</v>
      </c>
      <c r="C2385" s="0" t="n">
        <v>127</v>
      </c>
      <c r="D2385" s="0" t="n">
        <v>2</v>
      </c>
      <c r="E2385" s="0" t="str">
        <f aca="false">INDEX(lot!$B$2:$B$1201,MATCH(B2385,lot!$A$2:$A$1201,0))</f>
        <v>SUP-E</v>
      </c>
      <c r="F2385" s="3" t="n">
        <f aca="false">YEAR(A2385)*100+MONTH(A2385)</f>
        <v>202606</v>
      </c>
    </row>
    <row r="2386" customFormat="false" ht="15" hidden="false" customHeight="false" outlineLevel="0" collapsed="false">
      <c r="A2386" s="2" t="n">
        <v>46197</v>
      </c>
      <c r="B2386" s="3" t="s">
        <v>703</v>
      </c>
      <c r="C2386" s="0" t="n">
        <v>143</v>
      </c>
      <c r="D2386" s="0" t="n">
        <v>1</v>
      </c>
      <c r="E2386" s="0" t="str">
        <f aca="false">INDEX(lot!$B$2:$B$1201,MATCH(B2386,lot!$A$2:$A$1201,0))</f>
        <v>SUP-C</v>
      </c>
      <c r="F2386" s="3" t="n">
        <f aca="false">YEAR(A2386)*100+MONTH(A2386)</f>
        <v>202606</v>
      </c>
    </row>
    <row r="2387" customFormat="false" ht="15" hidden="false" customHeight="false" outlineLevel="0" collapsed="false">
      <c r="A2387" s="2" t="n">
        <v>46197</v>
      </c>
      <c r="B2387" s="3" t="s">
        <v>746</v>
      </c>
      <c r="C2387" s="0" t="n">
        <v>87</v>
      </c>
      <c r="D2387" s="0" t="n">
        <v>2</v>
      </c>
      <c r="E2387" s="0" t="str">
        <f aca="false">INDEX(lot!$B$2:$B$1201,MATCH(B2387,lot!$A$2:$A$1201,0))</f>
        <v>SUP-C</v>
      </c>
      <c r="F2387" s="3" t="n">
        <f aca="false">YEAR(A2387)*100+MONTH(A2387)</f>
        <v>202606</v>
      </c>
    </row>
    <row r="2388" customFormat="false" ht="15" hidden="false" customHeight="false" outlineLevel="0" collapsed="false">
      <c r="A2388" s="2" t="n">
        <v>46197</v>
      </c>
      <c r="B2388" s="3" t="s">
        <v>746</v>
      </c>
      <c r="C2388" s="0" t="n">
        <v>188</v>
      </c>
      <c r="D2388" s="0" t="n">
        <v>5</v>
      </c>
      <c r="E2388" s="0" t="str">
        <f aca="false">INDEX(lot!$B$2:$B$1201,MATCH(B2388,lot!$A$2:$A$1201,0))</f>
        <v>SUP-C</v>
      </c>
      <c r="F2388" s="3" t="n">
        <f aca="false">YEAR(A2388)*100+MONTH(A2388)</f>
        <v>202606</v>
      </c>
    </row>
    <row r="2389" customFormat="false" ht="15" hidden="false" customHeight="false" outlineLevel="0" collapsed="false">
      <c r="A2389" s="2" t="n">
        <v>46197</v>
      </c>
      <c r="B2389" s="3" t="s">
        <v>865</v>
      </c>
      <c r="C2389" s="0" t="n">
        <v>121</v>
      </c>
      <c r="D2389" s="0" t="n">
        <v>2</v>
      </c>
      <c r="E2389" s="0" t="str">
        <f aca="false">INDEX(lot!$B$2:$B$1201,MATCH(B2389,lot!$A$2:$A$1201,0))</f>
        <v>SUP-E</v>
      </c>
      <c r="F2389" s="3" t="n">
        <f aca="false">YEAR(A2389)*100+MONTH(A2389)</f>
        <v>202606</v>
      </c>
    </row>
    <row r="2390" customFormat="false" ht="15" hidden="false" customHeight="false" outlineLevel="0" collapsed="false">
      <c r="A2390" s="2" t="n">
        <v>46197</v>
      </c>
      <c r="B2390" s="3" t="s">
        <v>921</v>
      </c>
      <c r="C2390" s="0" t="n">
        <v>171</v>
      </c>
      <c r="D2390" s="0" t="n">
        <v>1</v>
      </c>
      <c r="E2390" s="0" t="str">
        <f aca="false">INDEX(lot!$B$2:$B$1201,MATCH(B2390,lot!$A$2:$A$1201,0))</f>
        <v>SUP-E</v>
      </c>
      <c r="F2390" s="3" t="n">
        <f aca="false">YEAR(A2390)*100+MONTH(A2390)</f>
        <v>202606</v>
      </c>
    </row>
    <row r="2391" customFormat="false" ht="15" hidden="false" customHeight="false" outlineLevel="0" collapsed="false">
      <c r="A2391" s="2" t="n">
        <v>46197</v>
      </c>
      <c r="B2391" s="3" t="s">
        <v>921</v>
      </c>
      <c r="C2391" s="0" t="n">
        <v>241</v>
      </c>
      <c r="D2391" s="0" t="n">
        <v>1</v>
      </c>
      <c r="E2391" s="0" t="str">
        <f aca="false">INDEX(lot!$B$2:$B$1201,MATCH(B2391,lot!$A$2:$A$1201,0))</f>
        <v>SUP-E</v>
      </c>
      <c r="F2391" s="3" t="n">
        <f aca="false">YEAR(A2391)*100+MONTH(A2391)</f>
        <v>202606</v>
      </c>
    </row>
    <row r="2392" customFormat="false" ht="15" hidden="false" customHeight="false" outlineLevel="0" collapsed="false">
      <c r="A2392" s="2" t="n">
        <v>46197</v>
      </c>
      <c r="B2392" s="3" t="s">
        <v>960</v>
      </c>
      <c r="C2392" s="0" t="n">
        <v>110</v>
      </c>
      <c r="D2392" s="0" t="n">
        <v>2</v>
      </c>
      <c r="E2392" s="0" t="str">
        <f aca="false">INDEX(lot!$B$2:$B$1201,MATCH(B2392,lot!$A$2:$A$1201,0))</f>
        <v>SUP-E</v>
      </c>
      <c r="F2392" s="3" t="n">
        <f aca="false">YEAR(A2392)*100+MONTH(A2392)</f>
        <v>202606</v>
      </c>
    </row>
    <row r="2393" customFormat="false" ht="15" hidden="false" customHeight="false" outlineLevel="0" collapsed="false">
      <c r="A2393" s="2" t="n">
        <v>46197</v>
      </c>
      <c r="B2393" s="3" t="s">
        <v>960</v>
      </c>
      <c r="C2393" s="0" t="n">
        <v>236</v>
      </c>
      <c r="D2393" s="0" t="n">
        <v>2</v>
      </c>
      <c r="E2393" s="0" t="str">
        <f aca="false">INDEX(lot!$B$2:$B$1201,MATCH(B2393,lot!$A$2:$A$1201,0))</f>
        <v>SUP-E</v>
      </c>
      <c r="F2393" s="3" t="n">
        <f aca="false">YEAR(A2393)*100+MONTH(A2393)</f>
        <v>202606</v>
      </c>
    </row>
    <row r="2394" customFormat="false" ht="15" hidden="false" customHeight="false" outlineLevel="0" collapsed="false">
      <c r="A2394" s="2" t="n">
        <v>46197</v>
      </c>
      <c r="B2394" s="3" t="s">
        <v>1007</v>
      </c>
      <c r="C2394" s="0" t="n">
        <v>190</v>
      </c>
      <c r="D2394" s="0" t="n">
        <v>1</v>
      </c>
      <c r="E2394" s="0" t="str">
        <f aca="false">INDEX(lot!$B$2:$B$1201,MATCH(B2394,lot!$A$2:$A$1201,0))</f>
        <v>SUP-D</v>
      </c>
      <c r="F2394" s="3" t="n">
        <f aca="false">YEAR(A2394)*100+MONTH(A2394)</f>
        <v>202606</v>
      </c>
    </row>
    <row r="2395" customFormat="false" ht="15" hidden="false" customHeight="false" outlineLevel="0" collapsed="false">
      <c r="A2395" s="2" t="n">
        <v>46197</v>
      </c>
      <c r="B2395" s="3" t="s">
        <v>1007</v>
      </c>
      <c r="C2395" s="0" t="n">
        <v>85</v>
      </c>
      <c r="D2395" s="0" t="n">
        <v>1</v>
      </c>
      <c r="E2395" s="0" t="str">
        <f aca="false">INDEX(lot!$B$2:$B$1201,MATCH(B2395,lot!$A$2:$A$1201,0))</f>
        <v>SUP-D</v>
      </c>
      <c r="F2395" s="3" t="n">
        <f aca="false">YEAR(A2395)*100+MONTH(A2395)</f>
        <v>202606</v>
      </c>
    </row>
    <row r="2396" customFormat="false" ht="15" hidden="false" customHeight="false" outlineLevel="0" collapsed="false">
      <c r="A2396" s="2" t="n">
        <v>46197</v>
      </c>
      <c r="B2396" s="3" t="s">
        <v>1126</v>
      </c>
      <c r="C2396" s="0" t="n">
        <v>66</v>
      </c>
      <c r="D2396" s="0" t="n">
        <v>0</v>
      </c>
      <c r="E2396" s="0" t="str">
        <f aca="false">INDEX(lot!$B$2:$B$1201,MATCH(B2396,lot!$A$2:$A$1201,0))</f>
        <v>SUP-E</v>
      </c>
      <c r="F2396" s="3" t="n">
        <f aca="false">YEAR(A2396)*100+MONTH(A2396)</f>
        <v>202606</v>
      </c>
    </row>
    <row r="2397" customFormat="false" ht="15" hidden="false" customHeight="false" outlineLevel="0" collapsed="false">
      <c r="A2397" s="2" t="n">
        <v>46197</v>
      </c>
      <c r="B2397" s="3" t="s">
        <v>1142</v>
      </c>
      <c r="C2397" s="0" t="n">
        <v>113</v>
      </c>
      <c r="D2397" s="0" t="n">
        <v>1</v>
      </c>
      <c r="E2397" s="0" t="str">
        <f aca="false">INDEX(lot!$B$2:$B$1201,MATCH(B2397,lot!$A$2:$A$1201,0))</f>
        <v>SUP-D</v>
      </c>
      <c r="F2397" s="3" t="n">
        <f aca="false">YEAR(A2397)*100+MONTH(A2397)</f>
        <v>202606</v>
      </c>
    </row>
    <row r="2398" customFormat="false" ht="15" hidden="false" customHeight="false" outlineLevel="0" collapsed="false">
      <c r="A2398" s="2" t="n">
        <v>46198</v>
      </c>
      <c r="B2398" s="3" t="s">
        <v>34</v>
      </c>
      <c r="C2398" s="0" t="n">
        <v>229</v>
      </c>
      <c r="D2398" s="0" t="n">
        <v>3</v>
      </c>
      <c r="E2398" s="0" t="str">
        <f aca="false">INDEX(lot!$B$2:$B$1201,MATCH(B2398,lot!$A$2:$A$1201,0))</f>
        <v>SUP-D</v>
      </c>
      <c r="F2398" s="3" t="n">
        <f aca="false">YEAR(A2398)*100+MONTH(A2398)</f>
        <v>202606</v>
      </c>
    </row>
    <row r="2399" customFormat="false" ht="15" hidden="false" customHeight="false" outlineLevel="0" collapsed="false">
      <c r="A2399" s="2" t="n">
        <v>46198</v>
      </c>
      <c r="B2399" s="3" t="s">
        <v>39</v>
      </c>
      <c r="C2399" s="0" t="n">
        <v>213</v>
      </c>
      <c r="D2399" s="0" t="n">
        <v>2</v>
      </c>
      <c r="E2399" s="0" t="str">
        <f aca="false">INDEX(lot!$B$2:$B$1201,MATCH(B2399,lot!$A$2:$A$1201,0))</f>
        <v>SUP-D</v>
      </c>
      <c r="F2399" s="3" t="n">
        <f aca="false">YEAR(A2399)*100+MONTH(A2399)</f>
        <v>202606</v>
      </c>
    </row>
    <row r="2400" customFormat="false" ht="15" hidden="false" customHeight="false" outlineLevel="0" collapsed="false">
      <c r="A2400" s="2" t="n">
        <v>46198</v>
      </c>
      <c r="B2400" s="3" t="s">
        <v>53</v>
      </c>
      <c r="C2400" s="0" t="n">
        <v>247</v>
      </c>
      <c r="D2400" s="0" t="n">
        <v>6</v>
      </c>
      <c r="E2400" s="0" t="str">
        <f aca="false">INDEX(lot!$B$2:$B$1201,MATCH(B2400,lot!$A$2:$A$1201,0))</f>
        <v>SUP-B</v>
      </c>
      <c r="F2400" s="3" t="n">
        <f aca="false">YEAR(A2400)*100+MONTH(A2400)</f>
        <v>202606</v>
      </c>
    </row>
    <row r="2401" customFormat="false" ht="15" hidden="false" customHeight="false" outlineLevel="0" collapsed="false">
      <c r="A2401" s="2" t="n">
        <v>46198</v>
      </c>
      <c r="B2401" s="3" t="s">
        <v>53</v>
      </c>
      <c r="C2401" s="0" t="n">
        <v>15</v>
      </c>
      <c r="D2401" s="0" t="n">
        <v>0</v>
      </c>
      <c r="E2401" s="0" t="str">
        <f aca="false">INDEX(lot!$B$2:$B$1201,MATCH(B2401,lot!$A$2:$A$1201,0))</f>
        <v>SUP-B</v>
      </c>
      <c r="F2401" s="3" t="n">
        <f aca="false">YEAR(A2401)*100+MONTH(A2401)</f>
        <v>202606</v>
      </c>
    </row>
    <row r="2402" customFormat="false" ht="15" hidden="false" customHeight="false" outlineLevel="0" collapsed="false">
      <c r="A2402" s="2" t="n">
        <v>46198</v>
      </c>
      <c r="B2402" s="3" t="s">
        <v>102</v>
      </c>
      <c r="C2402" s="0" t="n">
        <v>73</v>
      </c>
      <c r="D2402" s="0" t="n">
        <v>1</v>
      </c>
      <c r="E2402" s="0" t="str">
        <f aca="false">INDEX(lot!$B$2:$B$1201,MATCH(B2402,lot!$A$2:$A$1201,0))</f>
        <v>SUP-C</v>
      </c>
      <c r="F2402" s="3" t="n">
        <f aca="false">YEAR(A2402)*100+MONTH(A2402)</f>
        <v>202606</v>
      </c>
    </row>
    <row r="2403" customFormat="false" ht="15" hidden="false" customHeight="false" outlineLevel="0" collapsed="false">
      <c r="A2403" s="2" t="n">
        <v>46198</v>
      </c>
      <c r="B2403" s="3" t="s">
        <v>102</v>
      </c>
      <c r="C2403" s="0" t="n">
        <v>213</v>
      </c>
      <c r="D2403" s="0" t="n">
        <v>5</v>
      </c>
      <c r="E2403" s="0" t="str">
        <f aca="false">INDEX(lot!$B$2:$B$1201,MATCH(B2403,lot!$A$2:$A$1201,0))</f>
        <v>SUP-C</v>
      </c>
      <c r="F2403" s="3" t="n">
        <f aca="false">YEAR(A2403)*100+MONTH(A2403)</f>
        <v>202606</v>
      </c>
    </row>
    <row r="2404" customFormat="false" ht="15" hidden="false" customHeight="false" outlineLevel="0" collapsed="false">
      <c r="A2404" s="2" t="n">
        <v>46198</v>
      </c>
      <c r="B2404" s="3" t="s">
        <v>158</v>
      </c>
      <c r="C2404" s="0" t="n">
        <v>30</v>
      </c>
      <c r="D2404" s="0" t="n">
        <v>5</v>
      </c>
      <c r="E2404" s="0" t="str">
        <f aca="false">INDEX(lot!$B$2:$B$1201,MATCH(B2404,lot!$A$2:$A$1201,0))</f>
        <v>SUP-C</v>
      </c>
      <c r="F2404" s="3" t="n">
        <f aca="false">YEAR(A2404)*100+MONTH(A2404)</f>
        <v>202606</v>
      </c>
    </row>
    <row r="2405" customFormat="false" ht="15" hidden="false" customHeight="false" outlineLevel="0" collapsed="false">
      <c r="A2405" s="2" t="n">
        <v>46198</v>
      </c>
      <c r="B2405" s="3" t="s">
        <v>158</v>
      </c>
      <c r="C2405" s="0" t="n">
        <v>123</v>
      </c>
      <c r="D2405" s="0" t="n">
        <v>27</v>
      </c>
      <c r="E2405" s="0" t="str">
        <f aca="false">INDEX(lot!$B$2:$B$1201,MATCH(B2405,lot!$A$2:$A$1201,0))</f>
        <v>SUP-C</v>
      </c>
      <c r="F2405" s="3" t="n">
        <f aca="false">YEAR(A2405)*100+MONTH(A2405)</f>
        <v>202606</v>
      </c>
    </row>
    <row r="2406" customFormat="false" ht="15" hidden="false" customHeight="false" outlineLevel="0" collapsed="false">
      <c r="A2406" s="2" t="n">
        <v>46198</v>
      </c>
      <c r="B2406" s="3" t="s">
        <v>187</v>
      </c>
      <c r="C2406" s="0" t="n">
        <v>232</v>
      </c>
      <c r="D2406" s="0" t="n">
        <v>1</v>
      </c>
      <c r="E2406" s="0" t="str">
        <f aca="false">INDEX(lot!$B$2:$B$1201,MATCH(B2406,lot!$A$2:$A$1201,0))</f>
        <v>SUP-A</v>
      </c>
      <c r="F2406" s="3" t="n">
        <f aca="false">YEAR(A2406)*100+MONTH(A2406)</f>
        <v>202606</v>
      </c>
    </row>
    <row r="2407" customFormat="false" ht="15" hidden="false" customHeight="false" outlineLevel="0" collapsed="false">
      <c r="A2407" s="2" t="n">
        <v>46198</v>
      </c>
      <c r="B2407" s="3" t="s">
        <v>187</v>
      </c>
      <c r="C2407" s="0" t="n">
        <v>204</v>
      </c>
      <c r="D2407" s="0" t="n">
        <v>2</v>
      </c>
      <c r="E2407" s="0" t="str">
        <f aca="false">INDEX(lot!$B$2:$B$1201,MATCH(B2407,lot!$A$2:$A$1201,0))</f>
        <v>SUP-A</v>
      </c>
      <c r="F2407" s="3" t="n">
        <f aca="false">YEAR(A2407)*100+MONTH(A2407)</f>
        <v>202606</v>
      </c>
    </row>
    <row r="2408" customFormat="false" ht="15" hidden="false" customHeight="false" outlineLevel="0" collapsed="false">
      <c r="A2408" s="2" t="n">
        <v>46198</v>
      </c>
      <c r="B2408" s="3" t="s">
        <v>241</v>
      </c>
      <c r="C2408" s="0" t="n">
        <v>168</v>
      </c>
      <c r="D2408" s="0" t="n">
        <v>2</v>
      </c>
      <c r="E2408" s="0" t="str">
        <f aca="false">INDEX(lot!$B$2:$B$1201,MATCH(B2408,lot!$A$2:$A$1201,0))</f>
        <v>SUP-E</v>
      </c>
      <c r="F2408" s="3" t="n">
        <f aca="false">YEAR(A2408)*100+MONTH(A2408)</f>
        <v>202606</v>
      </c>
    </row>
    <row r="2409" customFormat="false" ht="15" hidden="false" customHeight="false" outlineLevel="0" collapsed="false">
      <c r="A2409" s="2" t="n">
        <v>46198</v>
      </c>
      <c r="B2409" s="3" t="s">
        <v>241</v>
      </c>
      <c r="C2409" s="0" t="n">
        <v>237</v>
      </c>
      <c r="D2409" s="0" t="n">
        <v>2</v>
      </c>
      <c r="E2409" s="0" t="str">
        <f aca="false">INDEX(lot!$B$2:$B$1201,MATCH(B2409,lot!$A$2:$A$1201,0))</f>
        <v>SUP-E</v>
      </c>
      <c r="F2409" s="3" t="n">
        <f aca="false">YEAR(A2409)*100+MONTH(A2409)</f>
        <v>202606</v>
      </c>
    </row>
    <row r="2410" customFormat="false" ht="15" hidden="false" customHeight="false" outlineLevel="0" collapsed="false">
      <c r="A2410" s="2" t="n">
        <v>46198</v>
      </c>
      <c r="B2410" s="3" t="s">
        <v>281</v>
      </c>
      <c r="C2410" s="0" t="n">
        <v>217</v>
      </c>
      <c r="D2410" s="0" t="n">
        <v>4</v>
      </c>
      <c r="E2410" s="0" t="str">
        <f aca="false">INDEX(lot!$B$2:$B$1201,MATCH(B2410,lot!$A$2:$A$1201,0))</f>
        <v>SUP-C</v>
      </c>
      <c r="F2410" s="3" t="n">
        <f aca="false">YEAR(A2410)*100+MONTH(A2410)</f>
        <v>202606</v>
      </c>
    </row>
    <row r="2411" customFormat="false" ht="15" hidden="false" customHeight="false" outlineLevel="0" collapsed="false">
      <c r="A2411" s="2" t="n">
        <v>46198</v>
      </c>
      <c r="B2411" s="3" t="s">
        <v>281</v>
      </c>
      <c r="C2411" s="0" t="n">
        <v>173</v>
      </c>
      <c r="D2411" s="0" t="n">
        <v>8</v>
      </c>
      <c r="E2411" s="0" t="str">
        <f aca="false">INDEX(lot!$B$2:$B$1201,MATCH(B2411,lot!$A$2:$A$1201,0))</f>
        <v>SUP-C</v>
      </c>
      <c r="F2411" s="3" t="n">
        <f aca="false">YEAR(A2411)*100+MONTH(A2411)</f>
        <v>202606</v>
      </c>
    </row>
    <row r="2412" customFormat="false" ht="15" hidden="false" customHeight="false" outlineLevel="0" collapsed="false">
      <c r="A2412" s="2" t="n">
        <v>46198</v>
      </c>
      <c r="B2412" s="3" t="s">
        <v>486</v>
      </c>
      <c r="C2412" s="0" t="n">
        <v>119</v>
      </c>
      <c r="D2412" s="0" t="n">
        <v>0</v>
      </c>
      <c r="E2412" s="0" t="str">
        <f aca="false">INDEX(lot!$B$2:$B$1201,MATCH(B2412,lot!$A$2:$A$1201,0))</f>
        <v>SUP-E</v>
      </c>
      <c r="F2412" s="3" t="n">
        <f aca="false">YEAR(A2412)*100+MONTH(A2412)</f>
        <v>202606</v>
      </c>
    </row>
    <row r="2413" customFormat="false" ht="15" hidden="false" customHeight="false" outlineLevel="0" collapsed="false">
      <c r="A2413" s="2" t="n">
        <v>46198</v>
      </c>
      <c r="B2413" s="3" t="s">
        <v>497</v>
      </c>
      <c r="C2413" s="0" t="n">
        <v>134</v>
      </c>
      <c r="D2413" s="0" t="n">
        <v>2</v>
      </c>
      <c r="E2413" s="0" t="str">
        <f aca="false">INDEX(lot!$B$2:$B$1201,MATCH(B2413,lot!$A$2:$A$1201,0))</f>
        <v>SUP-A</v>
      </c>
      <c r="F2413" s="3" t="n">
        <f aca="false">YEAR(A2413)*100+MONTH(A2413)</f>
        <v>202606</v>
      </c>
    </row>
    <row r="2414" customFormat="false" ht="15" hidden="false" customHeight="false" outlineLevel="0" collapsed="false">
      <c r="A2414" s="2" t="n">
        <v>46198</v>
      </c>
      <c r="B2414" s="3" t="s">
        <v>497</v>
      </c>
      <c r="C2414" s="0" t="n">
        <v>94</v>
      </c>
      <c r="D2414" s="0" t="n">
        <v>0</v>
      </c>
      <c r="E2414" s="0" t="str">
        <f aca="false">INDEX(lot!$B$2:$B$1201,MATCH(B2414,lot!$A$2:$A$1201,0))</f>
        <v>SUP-A</v>
      </c>
      <c r="F2414" s="3" t="n">
        <f aca="false">YEAR(A2414)*100+MONTH(A2414)</f>
        <v>202606</v>
      </c>
    </row>
    <row r="2415" customFormat="false" ht="15" hidden="false" customHeight="false" outlineLevel="0" collapsed="false">
      <c r="A2415" s="2" t="n">
        <v>46198</v>
      </c>
      <c r="B2415" s="3" t="s">
        <v>584</v>
      </c>
      <c r="C2415" s="0" t="n">
        <v>134</v>
      </c>
      <c r="D2415" s="0" t="n">
        <v>2</v>
      </c>
      <c r="E2415" s="0" t="str">
        <f aca="false">INDEX(lot!$B$2:$B$1201,MATCH(B2415,lot!$A$2:$A$1201,0))</f>
        <v>SUP-E</v>
      </c>
      <c r="F2415" s="3" t="n">
        <f aca="false">YEAR(A2415)*100+MONTH(A2415)</f>
        <v>202606</v>
      </c>
    </row>
    <row r="2416" customFormat="false" ht="15" hidden="false" customHeight="false" outlineLevel="0" collapsed="false">
      <c r="A2416" s="2" t="n">
        <v>46198</v>
      </c>
      <c r="B2416" s="3" t="s">
        <v>584</v>
      </c>
      <c r="C2416" s="0" t="n">
        <v>191</v>
      </c>
      <c r="D2416" s="0" t="n">
        <v>2</v>
      </c>
      <c r="E2416" s="0" t="str">
        <f aca="false">INDEX(lot!$B$2:$B$1201,MATCH(B2416,lot!$A$2:$A$1201,0))</f>
        <v>SUP-E</v>
      </c>
      <c r="F2416" s="3" t="n">
        <f aca="false">YEAR(A2416)*100+MONTH(A2416)</f>
        <v>202606</v>
      </c>
    </row>
    <row r="2417" customFormat="false" ht="15" hidden="false" customHeight="false" outlineLevel="0" collapsed="false">
      <c r="A2417" s="2" t="n">
        <v>46198</v>
      </c>
      <c r="B2417" s="3" t="s">
        <v>600</v>
      </c>
      <c r="C2417" s="0" t="n">
        <v>101</v>
      </c>
      <c r="D2417" s="0" t="n">
        <v>19</v>
      </c>
      <c r="E2417" s="0" t="str">
        <f aca="false">INDEX(lot!$B$2:$B$1201,MATCH(B2417,lot!$A$2:$A$1201,0))</f>
        <v>SUP-C</v>
      </c>
      <c r="F2417" s="3" t="n">
        <f aca="false">YEAR(A2417)*100+MONTH(A2417)</f>
        <v>202606</v>
      </c>
    </row>
    <row r="2418" customFormat="false" ht="15" hidden="false" customHeight="false" outlineLevel="0" collapsed="false">
      <c r="A2418" s="2" t="n">
        <v>46198</v>
      </c>
      <c r="B2418" s="3" t="s">
        <v>600</v>
      </c>
      <c r="C2418" s="0" t="n">
        <v>123</v>
      </c>
      <c r="D2418" s="0" t="n">
        <v>23</v>
      </c>
      <c r="E2418" s="0" t="str">
        <f aca="false">INDEX(lot!$B$2:$B$1201,MATCH(B2418,lot!$A$2:$A$1201,0))</f>
        <v>SUP-C</v>
      </c>
      <c r="F2418" s="3" t="n">
        <f aca="false">YEAR(A2418)*100+MONTH(A2418)</f>
        <v>202606</v>
      </c>
    </row>
    <row r="2419" customFormat="false" ht="15" hidden="false" customHeight="false" outlineLevel="0" collapsed="false">
      <c r="A2419" s="2" t="n">
        <v>46198</v>
      </c>
      <c r="B2419" s="3" t="s">
        <v>604</v>
      </c>
      <c r="C2419" s="0" t="n">
        <v>155</v>
      </c>
      <c r="D2419" s="0" t="n">
        <v>3</v>
      </c>
      <c r="E2419" s="0" t="str">
        <f aca="false">INDEX(lot!$B$2:$B$1201,MATCH(B2419,lot!$A$2:$A$1201,0))</f>
        <v>SUP-C</v>
      </c>
      <c r="F2419" s="3" t="n">
        <f aca="false">YEAR(A2419)*100+MONTH(A2419)</f>
        <v>202606</v>
      </c>
    </row>
    <row r="2420" customFormat="false" ht="15" hidden="false" customHeight="false" outlineLevel="0" collapsed="false">
      <c r="A2420" s="2" t="n">
        <v>46198</v>
      </c>
      <c r="B2420" s="3" t="s">
        <v>604</v>
      </c>
      <c r="C2420" s="0" t="n">
        <v>163</v>
      </c>
      <c r="D2420" s="0" t="n">
        <v>2</v>
      </c>
      <c r="E2420" s="0" t="str">
        <f aca="false">INDEX(lot!$B$2:$B$1201,MATCH(B2420,lot!$A$2:$A$1201,0))</f>
        <v>SUP-C</v>
      </c>
      <c r="F2420" s="3" t="n">
        <f aca="false">YEAR(A2420)*100+MONTH(A2420)</f>
        <v>202606</v>
      </c>
    </row>
    <row r="2421" customFormat="false" ht="15" hidden="false" customHeight="false" outlineLevel="0" collapsed="false">
      <c r="A2421" s="2" t="n">
        <v>46198</v>
      </c>
      <c r="B2421" s="3" t="s">
        <v>618</v>
      </c>
      <c r="C2421" s="0" t="n">
        <v>106</v>
      </c>
      <c r="D2421" s="0" t="n">
        <v>1</v>
      </c>
      <c r="E2421" s="0" t="str">
        <f aca="false">INDEX(lot!$B$2:$B$1201,MATCH(B2421,lot!$A$2:$A$1201,0))</f>
        <v>SUP-C</v>
      </c>
      <c r="F2421" s="3" t="n">
        <f aca="false">YEAR(A2421)*100+MONTH(A2421)</f>
        <v>202606</v>
      </c>
    </row>
    <row r="2422" customFormat="false" ht="15" hidden="false" customHeight="false" outlineLevel="0" collapsed="false">
      <c r="A2422" s="2" t="n">
        <v>46198</v>
      </c>
      <c r="B2422" s="3" t="s">
        <v>618</v>
      </c>
      <c r="C2422" s="0" t="n">
        <v>77</v>
      </c>
      <c r="D2422" s="0" t="n">
        <v>2</v>
      </c>
      <c r="E2422" s="0" t="str">
        <f aca="false">INDEX(lot!$B$2:$B$1201,MATCH(B2422,lot!$A$2:$A$1201,0))</f>
        <v>SUP-C</v>
      </c>
      <c r="F2422" s="3" t="n">
        <f aca="false">YEAR(A2422)*100+MONTH(A2422)</f>
        <v>202606</v>
      </c>
    </row>
    <row r="2423" customFormat="false" ht="15" hidden="false" customHeight="false" outlineLevel="0" collapsed="false">
      <c r="A2423" s="2" t="n">
        <v>46198</v>
      </c>
      <c r="B2423" s="3" t="s">
        <v>646</v>
      </c>
      <c r="C2423" s="0" t="n">
        <v>238</v>
      </c>
      <c r="D2423" s="0" t="n">
        <v>6</v>
      </c>
      <c r="E2423" s="0" t="str">
        <f aca="false">INDEX(lot!$B$2:$B$1201,MATCH(B2423,lot!$A$2:$A$1201,0))</f>
        <v>SUP-A</v>
      </c>
      <c r="F2423" s="3" t="n">
        <f aca="false">YEAR(A2423)*100+MONTH(A2423)</f>
        <v>202606</v>
      </c>
    </row>
    <row r="2424" customFormat="false" ht="15" hidden="false" customHeight="false" outlineLevel="0" collapsed="false">
      <c r="A2424" s="2" t="n">
        <v>46198</v>
      </c>
      <c r="B2424" s="3" t="s">
        <v>646</v>
      </c>
      <c r="C2424" s="0" t="n">
        <v>87</v>
      </c>
      <c r="D2424" s="0" t="n">
        <v>2</v>
      </c>
      <c r="E2424" s="0" t="str">
        <f aca="false">INDEX(lot!$B$2:$B$1201,MATCH(B2424,lot!$A$2:$A$1201,0))</f>
        <v>SUP-A</v>
      </c>
      <c r="F2424" s="3" t="n">
        <f aca="false">YEAR(A2424)*100+MONTH(A2424)</f>
        <v>202606</v>
      </c>
    </row>
    <row r="2425" customFormat="false" ht="15" hidden="false" customHeight="false" outlineLevel="0" collapsed="false">
      <c r="A2425" s="2" t="n">
        <v>46198</v>
      </c>
      <c r="B2425" s="3" t="s">
        <v>695</v>
      </c>
      <c r="C2425" s="0" t="n">
        <v>105</v>
      </c>
      <c r="D2425" s="0" t="n">
        <v>1</v>
      </c>
      <c r="E2425" s="0" t="str">
        <f aca="false">INDEX(lot!$B$2:$B$1201,MATCH(B2425,lot!$A$2:$A$1201,0))</f>
        <v>SUP-E</v>
      </c>
      <c r="F2425" s="3" t="n">
        <f aca="false">YEAR(A2425)*100+MONTH(A2425)</f>
        <v>202606</v>
      </c>
    </row>
    <row r="2426" customFormat="false" ht="15" hidden="false" customHeight="false" outlineLevel="0" collapsed="false">
      <c r="A2426" s="2" t="n">
        <v>46198</v>
      </c>
      <c r="B2426" s="3" t="s">
        <v>695</v>
      </c>
      <c r="C2426" s="0" t="n">
        <v>178</v>
      </c>
      <c r="D2426" s="0" t="n">
        <v>2</v>
      </c>
      <c r="E2426" s="0" t="str">
        <f aca="false">INDEX(lot!$B$2:$B$1201,MATCH(B2426,lot!$A$2:$A$1201,0))</f>
        <v>SUP-E</v>
      </c>
      <c r="F2426" s="3" t="n">
        <f aca="false">YEAR(A2426)*100+MONTH(A2426)</f>
        <v>202606</v>
      </c>
    </row>
    <row r="2427" customFormat="false" ht="15" hidden="false" customHeight="false" outlineLevel="0" collapsed="false">
      <c r="A2427" s="2" t="n">
        <v>46198</v>
      </c>
      <c r="B2427" s="3" t="s">
        <v>701</v>
      </c>
      <c r="C2427" s="0" t="n">
        <v>76</v>
      </c>
      <c r="D2427" s="0" t="n">
        <v>0</v>
      </c>
      <c r="E2427" s="0" t="str">
        <f aca="false">INDEX(lot!$B$2:$B$1201,MATCH(B2427,lot!$A$2:$A$1201,0))</f>
        <v>SUP-D</v>
      </c>
      <c r="F2427" s="3" t="n">
        <f aca="false">YEAR(A2427)*100+MONTH(A2427)</f>
        <v>202606</v>
      </c>
    </row>
    <row r="2428" customFormat="false" ht="15" hidden="false" customHeight="false" outlineLevel="0" collapsed="false">
      <c r="A2428" s="2" t="n">
        <v>46198</v>
      </c>
      <c r="B2428" s="3" t="s">
        <v>703</v>
      </c>
      <c r="C2428" s="0" t="n">
        <v>247</v>
      </c>
      <c r="D2428" s="0" t="n">
        <v>9</v>
      </c>
      <c r="E2428" s="0" t="str">
        <f aca="false">INDEX(lot!$B$2:$B$1201,MATCH(B2428,lot!$A$2:$A$1201,0))</f>
        <v>SUP-C</v>
      </c>
      <c r="F2428" s="3" t="n">
        <f aca="false">YEAR(A2428)*100+MONTH(A2428)</f>
        <v>202606</v>
      </c>
    </row>
    <row r="2429" customFormat="false" ht="15" hidden="false" customHeight="false" outlineLevel="0" collapsed="false">
      <c r="A2429" s="2" t="n">
        <v>46198</v>
      </c>
      <c r="B2429" s="3" t="s">
        <v>746</v>
      </c>
      <c r="C2429" s="0" t="n">
        <v>213</v>
      </c>
      <c r="D2429" s="0" t="n">
        <v>1</v>
      </c>
      <c r="E2429" s="0" t="str">
        <f aca="false">INDEX(lot!$B$2:$B$1201,MATCH(B2429,lot!$A$2:$A$1201,0))</f>
        <v>SUP-C</v>
      </c>
      <c r="F2429" s="3" t="n">
        <f aca="false">YEAR(A2429)*100+MONTH(A2429)</f>
        <v>202606</v>
      </c>
    </row>
    <row r="2430" customFormat="false" ht="15" hidden="false" customHeight="false" outlineLevel="0" collapsed="false">
      <c r="A2430" s="2" t="n">
        <v>46198</v>
      </c>
      <c r="B2430" s="3" t="s">
        <v>746</v>
      </c>
      <c r="C2430" s="0" t="n">
        <v>89</v>
      </c>
      <c r="D2430" s="0" t="n">
        <v>1</v>
      </c>
      <c r="E2430" s="0" t="str">
        <f aca="false">INDEX(lot!$B$2:$B$1201,MATCH(B2430,lot!$A$2:$A$1201,0))</f>
        <v>SUP-C</v>
      </c>
      <c r="F2430" s="3" t="n">
        <f aca="false">YEAR(A2430)*100+MONTH(A2430)</f>
        <v>202606</v>
      </c>
    </row>
    <row r="2431" customFormat="false" ht="15" hidden="false" customHeight="false" outlineLevel="0" collapsed="false">
      <c r="A2431" s="2" t="n">
        <v>46198</v>
      </c>
      <c r="B2431" s="3" t="s">
        <v>921</v>
      </c>
      <c r="C2431" s="0" t="n">
        <v>99</v>
      </c>
      <c r="D2431" s="0" t="n">
        <v>1</v>
      </c>
      <c r="E2431" s="0" t="str">
        <f aca="false">INDEX(lot!$B$2:$B$1201,MATCH(B2431,lot!$A$2:$A$1201,0))</f>
        <v>SUP-E</v>
      </c>
      <c r="F2431" s="3" t="n">
        <f aca="false">YEAR(A2431)*100+MONTH(A2431)</f>
        <v>202606</v>
      </c>
    </row>
    <row r="2432" customFormat="false" ht="15" hidden="false" customHeight="false" outlineLevel="0" collapsed="false">
      <c r="A2432" s="2" t="n">
        <v>46198</v>
      </c>
      <c r="B2432" s="3" t="s">
        <v>921</v>
      </c>
      <c r="C2432" s="0" t="n">
        <v>132</v>
      </c>
      <c r="D2432" s="0" t="n">
        <v>1</v>
      </c>
      <c r="E2432" s="0" t="str">
        <f aca="false">INDEX(lot!$B$2:$B$1201,MATCH(B2432,lot!$A$2:$A$1201,0))</f>
        <v>SUP-E</v>
      </c>
      <c r="F2432" s="3" t="n">
        <f aca="false">YEAR(A2432)*100+MONTH(A2432)</f>
        <v>202606</v>
      </c>
    </row>
    <row r="2433" customFormat="false" ht="15" hidden="false" customHeight="false" outlineLevel="0" collapsed="false">
      <c r="A2433" s="2" t="n">
        <v>46198</v>
      </c>
      <c r="B2433" s="3" t="s">
        <v>1047</v>
      </c>
      <c r="C2433" s="0" t="n">
        <v>116</v>
      </c>
      <c r="D2433" s="0" t="n">
        <v>5</v>
      </c>
      <c r="E2433" s="0" t="str">
        <f aca="false">INDEX(lot!$B$2:$B$1201,MATCH(B2433,lot!$A$2:$A$1201,0))</f>
        <v>SUP-A</v>
      </c>
      <c r="F2433" s="3" t="n">
        <f aca="false">YEAR(A2433)*100+MONTH(A2433)</f>
        <v>202606</v>
      </c>
    </row>
    <row r="2434" customFormat="false" ht="15" hidden="false" customHeight="false" outlineLevel="0" collapsed="false">
      <c r="A2434" s="2" t="n">
        <v>46199</v>
      </c>
      <c r="B2434" s="3" t="s">
        <v>39</v>
      </c>
      <c r="C2434" s="0" t="n">
        <v>107</v>
      </c>
      <c r="D2434" s="0" t="n">
        <v>1</v>
      </c>
      <c r="E2434" s="0" t="str">
        <f aca="false">INDEX(lot!$B$2:$B$1201,MATCH(B2434,lot!$A$2:$A$1201,0))</f>
        <v>SUP-D</v>
      </c>
      <c r="F2434" s="3" t="n">
        <f aca="false">YEAR(A2434)*100+MONTH(A2434)</f>
        <v>202606</v>
      </c>
    </row>
    <row r="2435" customFormat="false" ht="15" hidden="false" customHeight="false" outlineLevel="0" collapsed="false">
      <c r="A2435" s="2" t="n">
        <v>46199</v>
      </c>
      <c r="B2435" s="3" t="s">
        <v>39</v>
      </c>
      <c r="C2435" s="0" t="n">
        <v>241</v>
      </c>
      <c r="D2435" s="0" t="n">
        <v>1</v>
      </c>
      <c r="E2435" s="0" t="str">
        <f aca="false">INDEX(lot!$B$2:$B$1201,MATCH(B2435,lot!$A$2:$A$1201,0))</f>
        <v>SUP-D</v>
      </c>
      <c r="F2435" s="3" t="n">
        <f aca="false">YEAR(A2435)*100+MONTH(A2435)</f>
        <v>202606</v>
      </c>
    </row>
    <row r="2436" customFormat="false" ht="15" hidden="false" customHeight="false" outlineLevel="0" collapsed="false">
      <c r="A2436" s="2" t="n">
        <v>46199</v>
      </c>
      <c r="B2436" s="3" t="s">
        <v>102</v>
      </c>
      <c r="C2436" s="0" t="n">
        <v>55</v>
      </c>
      <c r="D2436" s="0" t="n">
        <v>2</v>
      </c>
      <c r="E2436" s="0" t="str">
        <f aca="false">INDEX(lot!$B$2:$B$1201,MATCH(B2436,lot!$A$2:$A$1201,0))</f>
        <v>SUP-C</v>
      </c>
      <c r="F2436" s="3" t="n">
        <f aca="false">YEAR(A2436)*100+MONTH(A2436)</f>
        <v>202606</v>
      </c>
    </row>
    <row r="2437" customFormat="false" ht="15" hidden="false" customHeight="false" outlineLevel="0" collapsed="false">
      <c r="A2437" s="2" t="n">
        <v>46199</v>
      </c>
      <c r="B2437" s="3" t="s">
        <v>212</v>
      </c>
      <c r="C2437" s="0" t="n">
        <v>165</v>
      </c>
      <c r="D2437" s="0" t="n">
        <v>2</v>
      </c>
      <c r="E2437" s="0" t="str">
        <f aca="false">INDEX(lot!$B$2:$B$1201,MATCH(B2437,lot!$A$2:$A$1201,0))</f>
        <v>SUP-C</v>
      </c>
      <c r="F2437" s="3" t="n">
        <f aca="false">YEAR(A2437)*100+MONTH(A2437)</f>
        <v>202606</v>
      </c>
    </row>
    <row r="2438" customFormat="false" ht="15" hidden="false" customHeight="false" outlineLevel="0" collapsed="false">
      <c r="A2438" s="2" t="n">
        <v>46199</v>
      </c>
      <c r="B2438" s="3" t="s">
        <v>212</v>
      </c>
      <c r="C2438" s="0" t="n">
        <v>249</v>
      </c>
      <c r="D2438" s="0" t="n">
        <v>5</v>
      </c>
      <c r="E2438" s="0" t="str">
        <f aca="false">INDEX(lot!$B$2:$B$1201,MATCH(B2438,lot!$A$2:$A$1201,0))</f>
        <v>SUP-C</v>
      </c>
      <c r="F2438" s="3" t="n">
        <f aca="false">YEAR(A2438)*100+MONTH(A2438)</f>
        <v>202606</v>
      </c>
    </row>
    <row r="2439" customFormat="false" ht="15" hidden="false" customHeight="false" outlineLevel="0" collapsed="false">
      <c r="A2439" s="2" t="n">
        <v>46199</v>
      </c>
      <c r="B2439" s="3" t="s">
        <v>281</v>
      </c>
      <c r="C2439" s="0" t="n">
        <v>105</v>
      </c>
      <c r="D2439" s="0" t="n">
        <v>3</v>
      </c>
      <c r="E2439" s="0" t="str">
        <f aca="false">INDEX(lot!$B$2:$B$1201,MATCH(B2439,lot!$A$2:$A$1201,0))</f>
        <v>SUP-C</v>
      </c>
      <c r="F2439" s="3" t="n">
        <f aca="false">YEAR(A2439)*100+MONTH(A2439)</f>
        <v>202606</v>
      </c>
    </row>
    <row r="2440" customFormat="false" ht="15" hidden="false" customHeight="false" outlineLevel="0" collapsed="false">
      <c r="A2440" s="2" t="n">
        <v>46199</v>
      </c>
      <c r="B2440" s="3" t="s">
        <v>281</v>
      </c>
      <c r="C2440" s="0" t="n">
        <v>197</v>
      </c>
      <c r="D2440" s="0" t="n">
        <v>8</v>
      </c>
      <c r="E2440" s="0" t="str">
        <f aca="false">INDEX(lot!$B$2:$B$1201,MATCH(B2440,lot!$A$2:$A$1201,0))</f>
        <v>SUP-C</v>
      </c>
      <c r="F2440" s="3" t="n">
        <f aca="false">YEAR(A2440)*100+MONTH(A2440)</f>
        <v>202606</v>
      </c>
    </row>
    <row r="2441" customFormat="false" ht="15" hidden="false" customHeight="false" outlineLevel="0" collapsed="false">
      <c r="A2441" s="2" t="n">
        <v>46199</v>
      </c>
      <c r="B2441" s="3" t="s">
        <v>318</v>
      </c>
      <c r="C2441" s="0" t="n">
        <v>64</v>
      </c>
      <c r="D2441" s="0" t="n">
        <v>0</v>
      </c>
      <c r="E2441" s="0" t="str">
        <f aca="false">INDEX(lot!$B$2:$B$1201,MATCH(B2441,lot!$A$2:$A$1201,0))</f>
        <v>SUP-A</v>
      </c>
      <c r="F2441" s="3" t="n">
        <f aca="false">YEAR(A2441)*100+MONTH(A2441)</f>
        <v>202606</v>
      </c>
    </row>
    <row r="2442" customFormat="false" ht="15" hidden="false" customHeight="false" outlineLevel="0" collapsed="false">
      <c r="A2442" s="2" t="n">
        <v>46199</v>
      </c>
      <c r="B2442" s="3" t="s">
        <v>318</v>
      </c>
      <c r="C2442" s="0" t="n">
        <v>163</v>
      </c>
      <c r="D2442" s="0" t="n">
        <v>1</v>
      </c>
      <c r="E2442" s="0" t="str">
        <f aca="false">INDEX(lot!$B$2:$B$1201,MATCH(B2442,lot!$A$2:$A$1201,0))</f>
        <v>SUP-A</v>
      </c>
      <c r="F2442" s="3" t="n">
        <f aca="false">YEAR(A2442)*100+MONTH(A2442)</f>
        <v>202606</v>
      </c>
    </row>
    <row r="2443" customFormat="false" ht="15" hidden="false" customHeight="false" outlineLevel="0" collapsed="false">
      <c r="A2443" s="2" t="n">
        <v>46199</v>
      </c>
      <c r="B2443" s="3" t="s">
        <v>387</v>
      </c>
      <c r="C2443" s="0" t="n">
        <v>190</v>
      </c>
      <c r="D2443" s="0" t="n">
        <v>3</v>
      </c>
      <c r="E2443" s="0" t="str">
        <f aca="false">INDEX(lot!$B$2:$B$1201,MATCH(B2443,lot!$A$2:$A$1201,0))</f>
        <v>SUP-D</v>
      </c>
      <c r="F2443" s="3" t="n">
        <f aca="false">YEAR(A2443)*100+MONTH(A2443)</f>
        <v>202606</v>
      </c>
    </row>
    <row r="2444" customFormat="false" ht="15" hidden="false" customHeight="false" outlineLevel="0" collapsed="false">
      <c r="A2444" s="2" t="n">
        <v>46199</v>
      </c>
      <c r="B2444" s="3" t="s">
        <v>558</v>
      </c>
      <c r="C2444" s="0" t="n">
        <v>72</v>
      </c>
      <c r="D2444" s="0" t="n">
        <v>0</v>
      </c>
      <c r="E2444" s="0" t="str">
        <f aca="false">INDEX(lot!$B$2:$B$1201,MATCH(B2444,lot!$A$2:$A$1201,0))</f>
        <v>SUP-D</v>
      </c>
      <c r="F2444" s="3" t="n">
        <f aca="false">YEAR(A2444)*100+MONTH(A2444)</f>
        <v>202606</v>
      </c>
    </row>
    <row r="2445" customFormat="false" ht="15" hidden="false" customHeight="false" outlineLevel="0" collapsed="false">
      <c r="A2445" s="2" t="n">
        <v>46199</v>
      </c>
      <c r="B2445" s="3" t="s">
        <v>558</v>
      </c>
      <c r="C2445" s="0" t="n">
        <v>223</v>
      </c>
      <c r="D2445" s="0" t="n">
        <v>3</v>
      </c>
      <c r="E2445" s="0" t="str">
        <f aca="false">INDEX(lot!$B$2:$B$1201,MATCH(B2445,lot!$A$2:$A$1201,0))</f>
        <v>SUP-D</v>
      </c>
      <c r="F2445" s="3" t="n">
        <f aca="false">YEAR(A2445)*100+MONTH(A2445)</f>
        <v>202606</v>
      </c>
    </row>
    <row r="2446" customFormat="false" ht="15" hidden="false" customHeight="false" outlineLevel="0" collapsed="false">
      <c r="A2446" s="2" t="n">
        <v>46199</v>
      </c>
      <c r="B2446" s="3" t="s">
        <v>596</v>
      </c>
      <c r="C2446" s="0" t="n">
        <v>118</v>
      </c>
      <c r="D2446" s="0" t="n">
        <v>0</v>
      </c>
      <c r="E2446" s="0" t="str">
        <f aca="false">INDEX(lot!$B$2:$B$1201,MATCH(B2446,lot!$A$2:$A$1201,0))</f>
        <v>SUP-E</v>
      </c>
      <c r="F2446" s="3" t="n">
        <f aca="false">YEAR(A2446)*100+MONTH(A2446)</f>
        <v>202606</v>
      </c>
    </row>
    <row r="2447" customFormat="false" ht="15" hidden="false" customHeight="false" outlineLevel="0" collapsed="false">
      <c r="A2447" s="2" t="n">
        <v>46199</v>
      </c>
      <c r="B2447" s="3" t="s">
        <v>604</v>
      </c>
      <c r="C2447" s="0" t="n">
        <v>95</v>
      </c>
      <c r="D2447" s="0" t="n">
        <v>0</v>
      </c>
      <c r="E2447" s="0" t="str">
        <f aca="false">INDEX(lot!$B$2:$B$1201,MATCH(B2447,lot!$A$2:$A$1201,0))</f>
        <v>SUP-C</v>
      </c>
      <c r="F2447" s="3" t="n">
        <f aca="false">YEAR(A2447)*100+MONTH(A2447)</f>
        <v>202606</v>
      </c>
    </row>
    <row r="2448" customFormat="false" ht="15" hidden="false" customHeight="false" outlineLevel="0" collapsed="false">
      <c r="A2448" s="2" t="n">
        <v>46199</v>
      </c>
      <c r="B2448" s="3" t="s">
        <v>604</v>
      </c>
      <c r="C2448" s="0" t="n">
        <v>142</v>
      </c>
      <c r="D2448" s="0" t="n">
        <v>4</v>
      </c>
      <c r="E2448" s="0" t="str">
        <f aca="false">INDEX(lot!$B$2:$B$1201,MATCH(B2448,lot!$A$2:$A$1201,0))</f>
        <v>SUP-C</v>
      </c>
      <c r="F2448" s="3" t="n">
        <f aca="false">YEAR(A2448)*100+MONTH(A2448)</f>
        <v>202606</v>
      </c>
    </row>
    <row r="2449" customFormat="false" ht="15" hidden="false" customHeight="false" outlineLevel="0" collapsed="false">
      <c r="A2449" s="2" t="n">
        <v>46199</v>
      </c>
      <c r="B2449" s="3" t="s">
        <v>646</v>
      </c>
      <c r="C2449" s="0" t="n">
        <v>208</v>
      </c>
      <c r="D2449" s="0" t="n">
        <v>2</v>
      </c>
      <c r="E2449" s="0" t="str">
        <f aca="false">INDEX(lot!$B$2:$B$1201,MATCH(B2449,lot!$A$2:$A$1201,0))</f>
        <v>SUP-A</v>
      </c>
      <c r="F2449" s="3" t="n">
        <f aca="false">YEAR(A2449)*100+MONTH(A2449)</f>
        <v>202606</v>
      </c>
    </row>
    <row r="2450" customFormat="false" ht="15" hidden="false" customHeight="false" outlineLevel="0" collapsed="false">
      <c r="A2450" s="2" t="n">
        <v>46199</v>
      </c>
      <c r="B2450" s="3" t="s">
        <v>646</v>
      </c>
      <c r="C2450" s="0" t="n">
        <v>242</v>
      </c>
      <c r="D2450" s="0" t="n">
        <v>1</v>
      </c>
      <c r="E2450" s="0" t="str">
        <f aca="false">INDEX(lot!$B$2:$B$1201,MATCH(B2450,lot!$A$2:$A$1201,0))</f>
        <v>SUP-A</v>
      </c>
      <c r="F2450" s="3" t="n">
        <f aca="false">YEAR(A2450)*100+MONTH(A2450)</f>
        <v>202606</v>
      </c>
    </row>
    <row r="2451" customFormat="false" ht="15" hidden="false" customHeight="false" outlineLevel="0" collapsed="false">
      <c r="A2451" s="2" t="n">
        <v>46199</v>
      </c>
      <c r="B2451" s="3" t="s">
        <v>663</v>
      </c>
      <c r="C2451" s="0" t="n">
        <v>204</v>
      </c>
      <c r="D2451" s="0" t="n">
        <v>7</v>
      </c>
      <c r="E2451" s="0" t="str">
        <f aca="false">INDEX(lot!$B$2:$B$1201,MATCH(B2451,lot!$A$2:$A$1201,0))</f>
        <v>SUP-C</v>
      </c>
      <c r="F2451" s="3" t="n">
        <f aca="false">YEAR(A2451)*100+MONTH(A2451)</f>
        <v>202606</v>
      </c>
    </row>
    <row r="2452" customFormat="false" ht="15" hidden="false" customHeight="false" outlineLevel="0" collapsed="false">
      <c r="A2452" s="2" t="n">
        <v>46199</v>
      </c>
      <c r="B2452" s="3" t="s">
        <v>683</v>
      </c>
      <c r="C2452" s="0" t="n">
        <v>228</v>
      </c>
      <c r="D2452" s="0" t="n">
        <v>2</v>
      </c>
      <c r="E2452" s="0" t="str">
        <f aca="false">INDEX(lot!$B$2:$B$1201,MATCH(B2452,lot!$A$2:$A$1201,0))</f>
        <v>SUP-D</v>
      </c>
      <c r="F2452" s="3" t="n">
        <f aca="false">YEAR(A2452)*100+MONTH(A2452)</f>
        <v>202606</v>
      </c>
    </row>
    <row r="2453" customFormat="false" ht="15" hidden="false" customHeight="false" outlineLevel="0" collapsed="false">
      <c r="A2453" s="2" t="n">
        <v>46199</v>
      </c>
      <c r="B2453" s="3" t="s">
        <v>683</v>
      </c>
      <c r="C2453" s="0" t="n">
        <v>230</v>
      </c>
      <c r="D2453" s="0" t="n">
        <v>5</v>
      </c>
      <c r="E2453" s="0" t="str">
        <f aca="false">INDEX(lot!$B$2:$B$1201,MATCH(B2453,lot!$A$2:$A$1201,0))</f>
        <v>SUP-D</v>
      </c>
      <c r="F2453" s="3" t="n">
        <f aca="false">YEAR(A2453)*100+MONTH(A2453)</f>
        <v>202606</v>
      </c>
    </row>
    <row r="2454" customFormat="false" ht="15" hidden="false" customHeight="false" outlineLevel="0" collapsed="false">
      <c r="A2454" s="2" t="n">
        <v>46199</v>
      </c>
      <c r="B2454" s="3" t="s">
        <v>701</v>
      </c>
      <c r="C2454" s="0" t="n">
        <v>216</v>
      </c>
      <c r="D2454" s="0" t="n">
        <v>2</v>
      </c>
      <c r="E2454" s="0" t="str">
        <f aca="false">INDEX(lot!$B$2:$B$1201,MATCH(B2454,lot!$A$2:$A$1201,0))</f>
        <v>SUP-D</v>
      </c>
      <c r="F2454" s="3" t="n">
        <f aca="false">YEAR(A2454)*100+MONTH(A2454)</f>
        <v>202606</v>
      </c>
    </row>
    <row r="2455" customFormat="false" ht="15" hidden="false" customHeight="false" outlineLevel="0" collapsed="false">
      <c r="A2455" s="2" t="n">
        <v>46199</v>
      </c>
      <c r="B2455" s="3" t="s">
        <v>703</v>
      </c>
      <c r="C2455" s="0" t="n">
        <v>68</v>
      </c>
      <c r="D2455" s="0" t="n">
        <v>1</v>
      </c>
      <c r="E2455" s="0" t="str">
        <f aca="false">INDEX(lot!$B$2:$B$1201,MATCH(B2455,lot!$A$2:$A$1201,0))</f>
        <v>SUP-C</v>
      </c>
      <c r="F2455" s="3" t="n">
        <f aca="false">YEAR(A2455)*100+MONTH(A2455)</f>
        <v>202606</v>
      </c>
    </row>
    <row r="2456" customFormat="false" ht="15" hidden="false" customHeight="false" outlineLevel="0" collapsed="false">
      <c r="A2456" s="2" t="n">
        <v>46199</v>
      </c>
      <c r="B2456" s="3" t="s">
        <v>703</v>
      </c>
      <c r="C2456" s="0" t="n">
        <v>80</v>
      </c>
      <c r="D2456" s="0" t="n">
        <v>3</v>
      </c>
      <c r="E2456" s="0" t="str">
        <f aca="false">INDEX(lot!$B$2:$B$1201,MATCH(B2456,lot!$A$2:$A$1201,0))</f>
        <v>SUP-C</v>
      </c>
      <c r="F2456" s="3" t="n">
        <f aca="false">YEAR(A2456)*100+MONTH(A2456)</f>
        <v>202606</v>
      </c>
    </row>
    <row r="2457" customFormat="false" ht="15" hidden="false" customHeight="false" outlineLevel="0" collapsed="false">
      <c r="A2457" s="2" t="n">
        <v>46199</v>
      </c>
      <c r="B2457" s="3" t="s">
        <v>921</v>
      </c>
      <c r="C2457" s="0" t="n">
        <v>71</v>
      </c>
      <c r="D2457" s="0" t="n">
        <v>0</v>
      </c>
      <c r="E2457" s="0" t="str">
        <f aca="false">INDEX(lot!$B$2:$B$1201,MATCH(B2457,lot!$A$2:$A$1201,0))</f>
        <v>SUP-E</v>
      </c>
      <c r="F2457" s="3" t="n">
        <f aca="false">YEAR(A2457)*100+MONTH(A2457)</f>
        <v>202606</v>
      </c>
    </row>
    <row r="2458" customFormat="false" ht="15" hidden="false" customHeight="false" outlineLevel="0" collapsed="false">
      <c r="A2458" s="2" t="n">
        <v>46199</v>
      </c>
      <c r="B2458" s="3" t="s">
        <v>978</v>
      </c>
      <c r="C2458" s="0" t="n">
        <v>95</v>
      </c>
      <c r="D2458" s="0" t="n">
        <v>1</v>
      </c>
      <c r="E2458" s="0" t="str">
        <f aca="false">INDEX(lot!$B$2:$B$1201,MATCH(B2458,lot!$A$2:$A$1201,0))</f>
        <v>SUP-A</v>
      </c>
      <c r="F2458" s="3" t="n">
        <f aca="false">YEAR(A2458)*100+MONTH(A2458)</f>
        <v>202606</v>
      </c>
    </row>
    <row r="2459" customFormat="false" ht="15" hidden="false" customHeight="false" outlineLevel="0" collapsed="false">
      <c r="A2459" s="2" t="n">
        <v>46199</v>
      </c>
      <c r="B2459" s="3" t="s">
        <v>1024</v>
      </c>
      <c r="C2459" s="0" t="n">
        <v>87</v>
      </c>
      <c r="D2459" s="0" t="n">
        <v>1</v>
      </c>
      <c r="E2459" s="0" t="str">
        <f aca="false">INDEX(lot!$B$2:$B$1201,MATCH(B2459,lot!$A$2:$A$1201,0))</f>
        <v>SUP-E</v>
      </c>
      <c r="F2459" s="3" t="n">
        <f aca="false">YEAR(A2459)*100+MONTH(A2459)</f>
        <v>202606</v>
      </c>
    </row>
    <row r="2460" customFormat="false" ht="15" hidden="false" customHeight="false" outlineLevel="0" collapsed="false">
      <c r="A2460" s="2" t="n">
        <v>46199</v>
      </c>
      <c r="B2460" s="3" t="s">
        <v>1024</v>
      </c>
      <c r="C2460" s="0" t="n">
        <v>151</v>
      </c>
      <c r="D2460" s="0" t="n">
        <v>1</v>
      </c>
      <c r="E2460" s="0" t="str">
        <f aca="false">INDEX(lot!$B$2:$B$1201,MATCH(B2460,lot!$A$2:$A$1201,0))</f>
        <v>SUP-E</v>
      </c>
      <c r="F2460" s="3" t="n">
        <f aca="false">YEAR(A2460)*100+MONTH(A2460)</f>
        <v>202606</v>
      </c>
    </row>
    <row r="2461" customFormat="false" ht="15" hidden="false" customHeight="false" outlineLevel="0" collapsed="false">
      <c r="A2461" s="2" t="n">
        <v>46199</v>
      </c>
      <c r="B2461" s="3" t="s">
        <v>1047</v>
      </c>
      <c r="C2461" s="0" t="n">
        <v>81</v>
      </c>
      <c r="D2461" s="0" t="n">
        <v>3</v>
      </c>
      <c r="E2461" s="0" t="str">
        <f aca="false">INDEX(lot!$B$2:$B$1201,MATCH(B2461,lot!$A$2:$A$1201,0))</f>
        <v>SUP-A</v>
      </c>
      <c r="F2461" s="3" t="n">
        <f aca="false">YEAR(A2461)*100+MONTH(A2461)</f>
        <v>202606</v>
      </c>
    </row>
    <row r="2462" customFormat="false" ht="15" hidden="false" customHeight="false" outlineLevel="0" collapsed="false">
      <c r="A2462" s="2" t="n">
        <v>46199</v>
      </c>
      <c r="B2462" s="3" t="s">
        <v>1047</v>
      </c>
      <c r="C2462" s="0" t="n">
        <v>139</v>
      </c>
      <c r="D2462" s="0" t="n">
        <v>5</v>
      </c>
      <c r="E2462" s="0" t="str">
        <f aca="false">INDEX(lot!$B$2:$B$1201,MATCH(B2462,lot!$A$2:$A$1201,0))</f>
        <v>SUP-A</v>
      </c>
      <c r="F2462" s="3" t="n">
        <f aca="false">YEAR(A2462)*100+MONTH(A2462)</f>
        <v>202606</v>
      </c>
    </row>
    <row r="2463" customFormat="false" ht="15" hidden="false" customHeight="false" outlineLevel="0" collapsed="false">
      <c r="A2463" s="2" t="n">
        <v>46202</v>
      </c>
      <c r="B2463" s="3" t="s">
        <v>43</v>
      </c>
      <c r="C2463" s="0" t="n">
        <v>240</v>
      </c>
      <c r="D2463" s="0" t="n">
        <v>4</v>
      </c>
      <c r="E2463" s="0" t="str">
        <f aca="false">INDEX(lot!$B$2:$B$1201,MATCH(B2463,lot!$A$2:$A$1201,0))</f>
        <v>SUP-E</v>
      </c>
      <c r="F2463" s="3" t="n">
        <f aca="false">YEAR(A2463)*100+MONTH(A2463)</f>
        <v>202606</v>
      </c>
    </row>
    <row r="2464" customFormat="false" ht="15" hidden="false" customHeight="false" outlineLevel="0" collapsed="false">
      <c r="A2464" s="2" t="n">
        <v>46202</v>
      </c>
      <c r="B2464" s="3" t="s">
        <v>92</v>
      </c>
      <c r="C2464" s="0" t="n">
        <v>152</v>
      </c>
      <c r="D2464" s="0" t="n">
        <v>7</v>
      </c>
      <c r="E2464" s="0" t="str">
        <f aca="false">INDEX(lot!$B$2:$B$1201,MATCH(B2464,lot!$A$2:$A$1201,0))</f>
        <v>SUP-D</v>
      </c>
      <c r="F2464" s="3" t="n">
        <f aca="false">YEAR(A2464)*100+MONTH(A2464)</f>
        <v>202606</v>
      </c>
    </row>
    <row r="2465" customFormat="false" ht="15" hidden="false" customHeight="false" outlineLevel="0" collapsed="false">
      <c r="A2465" s="2" t="n">
        <v>46202</v>
      </c>
      <c r="B2465" s="3" t="s">
        <v>92</v>
      </c>
      <c r="C2465" s="0" t="n">
        <v>63</v>
      </c>
      <c r="D2465" s="0" t="n">
        <v>2</v>
      </c>
      <c r="E2465" s="0" t="str">
        <f aca="false">INDEX(lot!$B$2:$B$1201,MATCH(B2465,lot!$A$2:$A$1201,0))</f>
        <v>SUP-D</v>
      </c>
      <c r="F2465" s="3" t="n">
        <f aca="false">YEAR(A2465)*100+MONTH(A2465)</f>
        <v>202606</v>
      </c>
    </row>
    <row r="2466" customFormat="false" ht="15" hidden="false" customHeight="false" outlineLevel="0" collapsed="false">
      <c r="A2466" s="2" t="n">
        <v>46202</v>
      </c>
      <c r="B2466" s="3" t="s">
        <v>212</v>
      </c>
      <c r="C2466" s="0" t="n">
        <v>95</v>
      </c>
      <c r="D2466" s="0" t="n">
        <v>3</v>
      </c>
      <c r="E2466" s="0" t="str">
        <f aca="false">INDEX(lot!$B$2:$B$1201,MATCH(B2466,lot!$A$2:$A$1201,0))</f>
        <v>SUP-C</v>
      </c>
      <c r="F2466" s="3" t="n">
        <f aca="false">YEAR(A2466)*100+MONTH(A2466)</f>
        <v>202606</v>
      </c>
    </row>
    <row r="2467" customFormat="false" ht="15" hidden="false" customHeight="false" outlineLevel="0" collapsed="false">
      <c r="A2467" s="2" t="n">
        <v>46202</v>
      </c>
      <c r="B2467" s="3" t="s">
        <v>212</v>
      </c>
      <c r="C2467" s="0" t="n">
        <v>107</v>
      </c>
      <c r="D2467" s="0" t="n">
        <v>4</v>
      </c>
      <c r="E2467" s="0" t="str">
        <f aca="false">INDEX(lot!$B$2:$B$1201,MATCH(B2467,lot!$A$2:$A$1201,0))</f>
        <v>SUP-C</v>
      </c>
      <c r="F2467" s="3" t="n">
        <f aca="false">YEAR(A2467)*100+MONTH(A2467)</f>
        <v>202606</v>
      </c>
    </row>
    <row r="2468" customFormat="false" ht="15" hidden="false" customHeight="false" outlineLevel="0" collapsed="false">
      <c r="A2468" s="2" t="n">
        <v>46202</v>
      </c>
      <c r="B2468" s="3" t="s">
        <v>306</v>
      </c>
      <c r="C2468" s="0" t="n">
        <v>196</v>
      </c>
      <c r="D2468" s="0" t="n">
        <v>1</v>
      </c>
      <c r="E2468" s="0" t="str">
        <f aca="false">INDEX(lot!$B$2:$B$1201,MATCH(B2468,lot!$A$2:$A$1201,0))</f>
        <v>SUP-A</v>
      </c>
      <c r="F2468" s="3" t="n">
        <f aca="false">YEAR(A2468)*100+MONTH(A2468)</f>
        <v>202606</v>
      </c>
    </row>
    <row r="2469" customFormat="false" ht="15" hidden="false" customHeight="false" outlineLevel="0" collapsed="false">
      <c r="A2469" s="2" t="n">
        <v>46202</v>
      </c>
      <c r="B2469" s="3" t="s">
        <v>318</v>
      </c>
      <c r="C2469" s="0" t="n">
        <v>113</v>
      </c>
      <c r="D2469" s="0" t="n">
        <v>0</v>
      </c>
      <c r="E2469" s="0" t="str">
        <f aca="false">INDEX(lot!$B$2:$B$1201,MATCH(B2469,lot!$A$2:$A$1201,0))</f>
        <v>SUP-A</v>
      </c>
      <c r="F2469" s="3" t="n">
        <f aca="false">YEAR(A2469)*100+MONTH(A2469)</f>
        <v>202606</v>
      </c>
    </row>
    <row r="2470" customFormat="false" ht="15" hidden="false" customHeight="false" outlineLevel="0" collapsed="false">
      <c r="A2470" s="2" t="n">
        <v>46202</v>
      </c>
      <c r="B2470" s="3" t="s">
        <v>318</v>
      </c>
      <c r="C2470" s="0" t="n">
        <v>221</v>
      </c>
      <c r="D2470" s="0" t="n">
        <v>5</v>
      </c>
      <c r="E2470" s="0" t="str">
        <f aca="false">INDEX(lot!$B$2:$B$1201,MATCH(B2470,lot!$A$2:$A$1201,0))</f>
        <v>SUP-A</v>
      </c>
      <c r="F2470" s="3" t="n">
        <f aca="false">YEAR(A2470)*100+MONTH(A2470)</f>
        <v>202606</v>
      </c>
    </row>
    <row r="2471" customFormat="false" ht="15" hidden="false" customHeight="false" outlineLevel="0" collapsed="false">
      <c r="A2471" s="2" t="n">
        <v>46202</v>
      </c>
      <c r="B2471" s="3" t="s">
        <v>558</v>
      </c>
      <c r="C2471" s="0" t="n">
        <v>216</v>
      </c>
      <c r="D2471" s="0" t="n">
        <v>1</v>
      </c>
      <c r="E2471" s="0" t="str">
        <f aca="false">INDEX(lot!$B$2:$B$1201,MATCH(B2471,lot!$A$2:$A$1201,0))</f>
        <v>SUP-D</v>
      </c>
      <c r="F2471" s="3" t="n">
        <f aca="false">YEAR(A2471)*100+MONTH(A2471)</f>
        <v>202606</v>
      </c>
    </row>
    <row r="2472" customFormat="false" ht="15" hidden="false" customHeight="false" outlineLevel="0" collapsed="false">
      <c r="A2472" s="2" t="n">
        <v>46202</v>
      </c>
      <c r="B2472" s="3" t="s">
        <v>596</v>
      </c>
      <c r="C2472" s="0" t="n">
        <v>252</v>
      </c>
      <c r="D2472" s="0" t="n">
        <v>1</v>
      </c>
      <c r="E2472" s="0" t="str">
        <f aca="false">INDEX(lot!$B$2:$B$1201,MATCH(B2472,lot!$A$2:$A$1201,0))</f>
        <v>SUP-E</v>
      </c>
      <c r="F2472" s="3" t="n">
        <f aca="false">YEAR(A2472)*100+MONTH(A2472)</f>
        <v>202606</v>
      </c>
    </row>
    <row r="2473" customFormat="false" ht="15" hidden="false" customHeight="false" outlineLevel="0" collapsed="false">
      <c r="A2473" s="2" t="n">
        <v>46202</v>
      </c>
      <c r="B2473" s="3" t="s">
        <v>596</v>
      </c>
      <c r="C2473" s="0" t="n">
        <v>215</v>
      </c>
      <c r="D2473" s="0" t="n">
        <v>1</v>
      </c>
      <c r="E2473" s="0" t="str">
        <f aca="false">INDEX(lot!$B$2:$B$1201,MATCH(B2473,lot!$A$2:$A$1201,0))</f>
        <v>SUP-E</v>
      </c>
      <c r="F2473" s="3" t="n">
        <f aca="false">YEAR(A2473)*100+MONTH(A2473)</f>
        <v>202606</v>
      </c>
    </row>
    <row r="2474" customFormat="false" ht="15" hidden="false" customHeight="false" outlineLevel="0" collapsed="false">
      <c r="A2474" s="2" t="n">
        <v>46202</v>
      </c>
      <c r="B2474" s="3" t="s">
        <v>663</v>
      </c>
      <c r="C2474" s="0" t="n">
        <v>159</v>
      </c>
      <c r="D2474" s="0" t="n">
        <v>4</v>
      </c>
      <c r="E2474" s="0" t="str">
        <f aca="false">INDEX(lot!$B$2:$B$1201,MATCH(B2474,lot!$A$2:$A$1201,0))</f>
        <v>SUP-C</v>
      </c>
      <c r="F2474" s="3" t="n">
        <f aca="false">YEAR(A2474)*100+MONTH(A2474)</f>
        <v>202606</v>
      </c>
    </row>
    <row r="2475" customFormat="false" ht="15" hidden="false" customHeight="false" outlineLevel="0" collapsed="false">
      <c r="A2475" s="2" t="n">
        <v>46202</v>
      </c>
      <c r="B2475" s="3" t="s">
        <v>663</v>
      </c>
      <c r="C2475" s="0" t="n">
        <v>241</v>
      </c>
      <c r="D2475" s="0" t="n">
        <v>5</v>
      </c>
      <c r="E2475" s="0" t="str">
        <f aca="false">INDEX(lot!$B$2:$B$1201,MATCH(B2475,lot!$A$2:$A$1201,0))</f>
        <v>SUP-C</v>
      </c>
      <c r="F2475" s="3" t="n">
        <f aca="false">YEAR(A2475)*100+MONTH(A2475)</f>
        <v>202606</v>
      </c>
    </row>
    <row r="2476" customFormat="false" ht="15" hidden="false" customHeight="false" outlineLevel="0" collapsed="false">
      <c r="A2476" s="2" t="n">
        <v>46202</v>
      </c>
      <c r="B2476" s="3" t="s">
        <v>675</v>
      </c>
      <c r="C2476" s="0" t="n">
        <v>139</v>
      </c>
      <c r="D2476" s="0" t="n">
        <v>10</v>
      </c>
      <c r="E2476" s="0" t="str">
        <f aca="false">INDEX(lot!$B$2:$B$1201,MATCH(B2476,lot!$A$2:$A$1201,0))</f>
        <v>SUP-E</v>
      </c>
      <c r="F2476" s="3" t="n">
        <f aca="false">YEAR(A2476)*100+MONTH(A2476)</f>
        <v>202606</v>
      </c>
    </row>
    <row r="2477" customFormat="false" ht="15" hidden="false" customHeight="false" outlineLevel="0" collapsed="false">
      <c r="A2477" s="2" t="n">
        <v>46202</v>
      </c>
      <c r="B2477" s="3" t="s">
        <v>683</v>
      </c>
      <c r="C2477" s="0" t="n">
        <v>77</v>
      </c>
      <c r="D2477" s="0" t="n">
        <v>1</v>
      </c>
      <c r="E2477" s="0" t="str">
        <f aca="false">INDEX(lot!$B$2:$B$1201,MATCH(B2477,lot!$A$2:$A$1201,0))</f>
        <v>SUP-D</v>
      </c>
      <c r="F2477" s="3" t="n">
        <f aca="false">YEAR(A2477)*100+MONTH(A2477)</f>
        <v>202606</v>
      </c>
    </row>
    <row r="2478" customFormat="false" ht="15" hidden="false" customHeight="false" outlineLevel="0" collapsed="false">
      <c r="A2478" s="2" t="n">
        <v>46202</v>
      </c>
      <c r="B2478" s="3" t="s">
        <v>683</v>
      </c>
      <c r="C2478" s="0" t="n">
        <v>87</v>
      </c>
      <c r="D2478" s="0" t="n">
        <v>1</v>
      </c>
      <c r="E2478" s="0" t="str">
        <f aca="false">INDEX(lot!$B$2:$B$1201,MATCH(B2478,lot!$A$2:$A$1201,0))</f>
        <v>SUP-D</v>
      </c>
      <c r="F2478" s="3" t="n">
        <f aca="false">YEAR(A2478)*100+MONTH(A2478)</f>
        <v>202606</v>
      </c>
    </row>
    <row r="2479" customFormat="false" ht="15" hidden="false" customHeight="false" outlineLevel="0" collapsed="false">
      <c r="A2479" s="2" t="n">
        <v>46202</v>
      </c>
      <c r="B2479" s="3" t="s">
        <v>701</v>
      </c>
      <c r="C2479" s="0" t="n">
        <v>98</v>
      </c>
      <c r="D2479" s="0" t="n">
        <v>0</v>
      </c>
      <c r="E2479" s="0" t="str">
        <f aca="false">INDEX(lot!$B$2:$B$1201,MATCH(B2479,lot!$A$2:$A$1201,0))</f>
        <v>SUP-D</v>
      </c>
      <c r="F2479" s="3" t="n">
        <f aca="false">YEAR(A2479)*100+MONTH(A2479)</f>
        <v>202606</v>
      </c>
    </row>
    <row r="2480" customFormat="false" ht="15" hidden="false" customHeight="false" outlineLevel="0" collapsed="false">
      <c r="A2480" s="2" t="n">
        <v>46202</v>
      </c>
      <c r="B2480" s="3" t="s">
        <v>701</v>
      </c>
      <c r="C2480" s="0" t="n">
        <v>66</v>
      </c>
      <c r="D2480" s="0" t="n">
        <v>1</v>
      </c>
      <c r="E2480" s="0" t="str">
        <f aca="false">INDEX(lot!$B$2:$B$1201,MATCH(B2480,lot!$A$2:$A$1201,0))</f>
        <v>SUP-D</v>
      </c>
      <c r="F2480" s="3" t="n">
        <f aca="false">YEAR(A2480)*100+MONTH(A2480)</f>
        <v>202606</v>
      </c>
    </row>
    <row r="2481" customFormat="false" ht="15" hidden="false" customHeight="false" outlineLevel="0" collapsed="false">
      <c r="A2481" s="2" t="n">
        <v>46202</v>
      </c>
      <c r="B2481" s="3" t="s">
        <v>780</v>
      </c>
      <c r="C2481" s="0" t="n">
        <v>101</v>
      </c>
      <c r="D2481" s="0" t="n">
        <v>3</v>
      </c>
      <c r="E2481" s="0" t="str">
        <f aca="false">INDEX(lot!$B$2:$B$1201,MATCH(B2481,lot!$A$2:$A$1201,0))</f>
        <v>SUP-D</v>
      </c>
      <c r="F2481" s="3" t="n">
        <f aca="false">YEAR(A2481)*100+MONTH(A2481)</f>
        <v>202606</v>
      </c>
    </row>
    <row r="2482" customFormat="false" ht="15" hidden="false" customHeight="false" outlineLevel="0" collapsed="false">
      <c r="A2482" s="2" t="n">
        <v>46202</v>
      </c>
      <c r="B2482" s="3" t="s">
        <v>908</v>
      </c>
      <c r="C2482" s="0" t="n">
        <v>200</v>
      </c>
      <c r="D2482" s="0" t="n">
        <v>1</v>
      </c>
      <c r="E2482" s="0" t="str">
        <f aca="false">INDEX(lot!$B$2:$B$1201,MATCH(B2482,lot!$A$2:$A$1201,0))</f>
        <v>SUP-D</v>
      </c>
      <c r="F2482" s="3" t="n">
        <f aca="false">YEAR(A2482)*100+MONTH(A2482)</f>
        <v>202606</v>
      </c>
    </row>
    <row r="2483" customFormat="false" ht="15" hidden="false" customHeight="false" outlineLevel="0" collapsed="false">
      <c r="A2483" s="2" t="n">
        <v>46202</v>
      </c>
      <c r="B2483" s="3" t="s">
        <v>1024</v>
      </c>
      <c r="C2483" s="0" t="n">
        <v>76</v>
      </c>
      <c r="D2483" s="0" t="n">
        <v>0</v>
      </c>
      <c r="E2483" s="0" t="str">
        <f aca="false">INDEX(lot!$B$2:$B$1201,MATCH(B2483,lot!$A$2:$A$1201,0))</f>
        <v>SUP-E</v>
      </c>
      <c r="F2483" s="3" t="n">
        <f aca="false">YEAR(A2483)*100+MONTH(A2483)</f>
        <v>202606</v>
      </c>
    </row>
    <row r="2484" customFormat="false" ht="15" hidden="false" customHeight="false" outlineLevel="0" collapsed="false">
      <c r="A2484" s="2" t="n">
        <v>46202</v>
      </c>
      <c r="B2484" s="3" t="s">
        <v>1024</v>
      </c>
      <c r="C2484" s="0" t="n">
        <v>148</v>
      </c>
      <c r="D2484" s="0" t="n">
        <v>2</v>
      </c>
      <c r="E2484" s="0" t="str">
        <f aca="false">INDEX(lot!$B$2:$B$1201,MATCH(B2484,lot!$A$2:$A$1201,0))</f>
        <v>SUP-E</v>
      </c>
      <c r="F2484" s="3" t="n">
        <f aca="false">YEAR(A2484)*100+MONTH(A2484)</f>
        <v>202606</v>
      </c>
    </row>
    <row r="2485" customFormat="false" ht="15" hidden="false" customHeight="false" outlineLevel="0" collapsed="false">
      <c r="A2485" s="2" t="n">
        <v>46202</v>
      </c>
      <c r="B2485" s="3" t="s">
        <v>1075</v>
      </c>
      <c r="C2485" s="0" t="n">
        <v>231</v>
      </c>
      <c r="D2485" s="0" t="n">
        <v>8</v>
      </c>
      <c r="E2485" s="0" t="str">
        <f aca="false">INDEX(lot!$B$2:$B$1201,MATCH(B2485,lot!$A$2:$A$1201,0))</f>
        <v>SUP-E</v>
      </c>
      <c r="F2485" s="3" t="n">
        <f aca="false">YEAR(A2485)*100+MONTH(A2485)</f>
        <v>202606</v>
      </c>
    </row>
    <row r="2486" customFormat="false" ht="15" hidden="false" customHeight="false" outlineLevel="0" collapsed="false">
      <c r="A2486" s="2" t="n">
        <v>46202</v>
      </c>
      <c r="B2486" s="3" t="s">
        <v>1075</v>
      </c>
      <c r="C2486" s="0" t="n">
        <v>138</v>
      </c>
      <c r="D2486" s="0" t="n">
        <v>8</v>
      </c>
      <c r="E2486" s="0" t="str">
        <f aca="false">INDEX(lot!$B$2:$B$1201,MATCH(B2486,lot!$A$2:$A$1201,0))</f>
        <v>SUP-E</v>
      </c>
      <c r="F2486" s="3" t="n">
        <f aca="false">YEAR(A2486)*100+MONTH(A2486)</f>
        <v>202606</v>
      </c>
    </row>
    <row r="2487" customFormat="false" ht="15" hidden="false" customHeight="false" outlineLevel="0" collapsed="false">
      <c r="A2487" s="2" t="n">
        <v>46202</v>
      </c>
      <c r="B2487" s="3" t="s">
        <v>1092</v>
      </c>
      <c r="C2487" s="0" t="n">
        <v>223</v>
      </c>
      <c r="D2487" s="0" t="n">
        <v>1</v>
      </c>
      <c r="E2487" s="0" t="str">
        <f aca="false">INDEX(lot!$B$2:$B$1201,MATCH(B2487,lot!$A$2:$A$1201,0))</f>
        <v>SUP-E</v>
      </c>
      <c r="F2487" s="3" t="n">
        <f aca="false">YEAR(A2487)*100+MONTH(A2487)</f>
        <v>202606</v>
      </c>
    </row>
    <row r="2488" customFormat="false" ht="15" hidden="false" customHeight="false" outlineLevel="0" collapsed="false">
      <c r="A2488" s="2" t="n">
        <v>46203</v>
      </c>
      <c r="B2488" s="3" t="s">
        <v>92</v>
      </c>
      <c r="C2488" s="0" t="n">
        <v>232</v>
      </c>
      <c r="D2488" s="0" t="n">
        <v>10</v>
      </c>
      <c r="E2488" s="0" t="str">
        <f aca="false">INDEX(lot!$B$2:$B$1201,MATCH(B2488,lot!$A$2:$A$1201,0))</f>
        <v>SUP-D</v>
      </c>
      <c r="F2488" s="3" t="n">
        <f aca="false">YEAR(A2488)*100+MONTH(A2488)</f>
        <v>202606</v>
      </c>
    </row>
    <row r="2489" customFormat="false" ht="15" hidden="false" customHeight="false" outlineLevel="0" collapsed="false">
      <c r="A2489" s="2" t="n">
        <v>46203</v>
      </c>
      <c r="B2489" s="3" t="s">
        <v>92</v>
      </c>
      <c r="C2489" s="0" t="n">
        <v>181</v>
      </c>
      <c r="D2489" s="0" t="n">
        <v>8</v>
      </c>
      <c r="E2489" s="0" t="str">
        <f aca="false">INDEX(lot!$B$2:$B$1201,MATCH(B2489,lot!$A$2:$A$1201,0))</f>
        <v>SUP-D</v>
      </c>
      <c r="F2489" s="3" t="n">
        <f aca="false">YEAR(A2489)*100+MONTH(A2489)</f>
        <v>202606</v>
      </c>
    </row>
    <row r="2490" customFormat="false" ht="15" hidden="false" customHeight="false" outlineLevel="0" collapsed="false">
      <c r="A2490" s="2" t="n">
        <v>46203</v>
      </c>
      <c r="B2490" s="3" t="s">
        <v>306</v>
      </c>
      <c r="C2490" s="0" t="n">
        <v>213</v>
      </c>
      <c r="D2490" s="0" t="n">
        <v>2</v>
      </c>
      <c r="E2490" s="0" t="str">
        <f aca="false">INDEX(lot!$B$2:$B$1201,MATCH(B2490,lot!$A$2:$A$1201,0))</f>
        <v>SUP-A</v>
      </c>
      <c r="F2490" s="3" t="n">
        <f aca="false">YEAR(A2490)*100+MONTH(A2490)</f>
        <v>202606</v>
      </c>
    </row>
    <row r="2491" customFormat="false" ht="15" hidden="false" customHeight="false" outlineLevel="0" collapsed="false">
      <c r="A2491" s="2" t="n">
        <v>46203</v>
      </c>
      <c r="B2491" s="3" t="s">
        <v>306</v>
      </c>
      <c r="C2491" s="0" t="n">
        <v>188</v>
      </c>
      <c r="D2491" s="0" t="n">
        <v>3</v>
      </c>
      <c r="E2491" s="0" t="str">
        <f aca="false">INDEX(lot!$B$2:$B$1201,MATCH(B2491,lot!$A$2:$A$1201,0))</f>
        <v>SUP-A</v>
      </c>
      <c r="F2491" s="3" t="n">
        <f aca="false">YEAR(A2491)*100+MONTH(A2491)</f>
        <v>202606</v>
      </c>
    </row>
    <row r="2492" customFormat="false" ht="15" hidden="false" customHeight="false" outlineLevel="0" collapsed="false">
      <c r="A2492" s="2" t="n">
        <v>46203</v>
      </c>
      <c r="B2492" s="3" t="s">
        <v>318</v>
      </c>
      <c r="C2492" s="0" t="n">
        <v>165</v>
      </c>
      <c r="D2492" s="0" t="n">
        <v>1</v>
      </c>
      <c r="E2492" s="0" t="str">
        <f aca="false">INDEX(lot!$B$2:$B$1201,MATCH(B2492,lot!$A$2:$A$1201,0))</f>
        <v>SUP-A</v>
      </c>
      <c r="F2492" s="3" t="n">
        <f aca="false">YEAR(A2492)*100+MONTH(A2492)</f>
        <v>202606</v>
      </c>
    </row>
    <row r="2493" customFormat="false" ht="15" hidden="false" customHeight="false" outlineLevel="0" collapsed="false">
      <c r="A2493" s="2" t="n">
        <v>46203</v>
      </c>
      <c r="B2493" s="3" t="s">
        <v>318</v>
      </c>
      <c r="C2493" s="0" t="n">
        <v>123</v>
      </c>
      <c r="D2493" s="0" t="n">
        <v>3</v>
      </c>
      <c r="E2493" s="0" t="str">
        <f aca="false">INDEX(lot!$B$2:$B$1201,MATCH(B2493,lot!$A$2:$A$1201,0))</f>
        <v>SUP-A</v>
      </c>
      <c r="F2493" s="3" t="n">
        <f aca="false">YEAR(A2493)*100+MONTH(A2493)</f>
        <v>202606</v>
      </c>
    </row>
    <row r="2494" customFormat="false" ht="15" hidden="false" customHeight="false" outlineLevel="0" collapsed="false">
      <c r="A2494" s="2" t="n">
        <v>46203</v>
      </c>
      <c r="B2494" s="3" t="s">
        <v>320</v>
      </c>
      <c r="C2494" s="0" t="n">
        <v>152</v>
      </c>
      <c r="D2494" s="0" t="n">
        <v>0</v>
      </c>
      <c r="E2494" s="0" t="str">
        <f aca="false">INDEX(lot!$B$2:$B$1201,MATCH(B2494,lot!$A$2:$A$1201,0))</f>
        <v>SUP-D</v>
      </c>
      <c r="F2494" s="3" t="n">
        <f aca="false">YEAR(A2494)*100+MONTH(A2494)</f>
        <v>202606</v>
      </c>
    </row>
    <row r="2495" customFormat="false" ht="15" hidden="false" customHeight="false" outlineLevel="0" collapsed="false">
      <c r="A2495" s="2" t="n">
        <v>46203</v>
      </c>
      <c r="B2495" s="3" t="s">
        <v>495</v>
      </c>
      <c r="C2495" s="0" t="n">
        <v>233</v>
      </c>
      <c r="D2495" s="0" t="n">
        <v>3</v>
      </c>
      <c r="E2495" s="0" t="str">
        <f aca="false">INDEX(lot!$B$2:$B$1201,MATCH(B2495,lot!$A$2:$A$1201,0))</f>
        <v>SUP-A</v>
      </c>
      <c r="F2495" s="3" t="n">
        <f aca="false">YEAR(A2495)*100+MONTH(A2495)</f>
        <v>202606</v>
      </c>
    </row>
    <row r="2496" customFormat="false" ht="15" hidden="false" customHeight="false" outlineLevel="0" collapsed="false">
      <c r="A2496" s="2" t="n">
        <v>46203</v>
      </c>
      <c r="B2496" s="3" t="s">
        <v>495</v>
      </c>
      <c r="C2496" s="0" t="n">
        <v>76</v>
      </c>
      <c r="D2496" s="0" t="n">
        <v>3</v>
      </c>
      <c r="E2496" s="0" t="str">
        <f aca="false">INDEX(lot!$B$2:$B$1201,MATCH(B2496,lot!$A$2:$A$1201,0))</f>
        <v>SUP-A</v>
      </c>
      <c r="F2496" s="3" t="n">
        <f aca="false">YEAR(A2496)*100+MONTH(A2496)</f>
        <v>202606</v>
      </c>
    </row>
    <row r="2497" customFormat="false" ht="15" hidden="false" customHeight="false" outlineLevel="0" collapsed="false">
      <c r="A2497" s="2" t="n">
        <v>46203</v>
      </c>
      <c r="B2497" s="3" t="s">
        <v>558</v>
      </c>
      <c r="C2497" s="0" t="n">
        <v>67</v>
      </c>
      <c r="D2497" s="0" t="n">
        <v>0</v>
      </c>
      <c r="E2497" s="0" t="str">
        <f aca="false">INDEX(lot!$B$2:$B$1201,MATCH(B2497,lot!$A$2:$A$1201,0))</f>
        <v>SUP-D</v>
      </c>
      <c r="F2497" s="3" t="n">
        <f aca="false">YEAR(A2497)*100+MONTH(A2497)</f>
        <v>202606</v>
      </c>
    </row>
    <row r="2498" customFormat="false" ht="15" hidden="false" customHeight="false" outlineLevel="0" collapsed="false">
      <c r="A2498" s="2" t="n">
        <v>46203</v>
      </c>
      <c r="B2498" s="3" t="s">
        <v>581</v>
      </c>
      <c r="C2498" s="0" t="n">
        <v>189</v>
      </c>
      <c r="D2498" s="0" t="n">
        <v>4</v>
      </c>
      <c r="E2498" s="0" t="str">
        <f aca="false">INDEX(lot!$B$2:$B$1201,MATCH(B2498,lot!$A$2:$A$1201,0))</f>
        <v>SUP-D</v>
      </c>
      <c r="F2498" s="3" t="n">
        <f aca="false">YEAR(A2498)*100+MONTH(A2498)</f>
        <v>202606</v>
      </c>
    </row>
    <row r="2499" customFormat="false" ht="15" hidden="false" customHeight="false" outlineLevel="0" collapsed="false">
      <c r="A2499" s="2" t="n">
        <v>46203</v>
      </c>
      <c r="B2499" s="3" t="s">
        <v>581</v>
      </c>
      <c r="C2499" s="0" t="n">
        <v>89</v>
      </c>
      <c r="D2499" s="0" t="n">
        <v>0</v>
      </c>
      <c r="E2499" s="0" t="str">
        <f aca="false">INDEX(lot!$B$2:$B$1201,MATCH(B2499,lot!$A$2:$A$1201,0))</f>
        <v>SUP-D</v>
      </c>
      <c r="F2499" s="3" t="n">
        <f aca="false">YEAR(A2499)*100+MONTH(A2499)</f>
        <v>202606</v>
      </c>
    </row>
    <row r="2500" customFormat="false" ht="15" hidden="false" customHeight="false" outlineLevel="0" collapsed="false">
      <c r="A2500" s="2" t="n">
        <v>46203</v>
      </c>
      <c r="B2500" s="3" t="s">
        <v>675</v>
      </c>
      <c r="C2500" s="0" t="n">
        <v>179</v>
      </c>
      <c r="D2500" s="0" t="n">
        <v>9</v>
      </c>
      <c r="E2500" s="0" t="str">
        <f aca="false">INDEX(lot!$B$2:$B$1201,MATCH(B2500,lot!$A$2:$A$1201,0))</f>
        <v>SUP-E</v>
      </c>
      <c r="F2500" s="3" t="n">
        <f aca="false">YEAR(A2500)*100+MONTH(A2500)</f>
        <v>202606</v>
      </c>
    </row>
    <row r="2501" customFormat="false" ht="15" hidden="false" customHeight="false" outlineLevel="0" collapsed="false">
      <c r="A2501" s="2" t="n">
        <v>46203</v>
      </c>
      <c r="B2501" s="3" t="s">
        <v>675</v>
      </c>
      <c r="C2501" s="0" t="n">
        <v>223</v>
      </c>
      <c r="D2501" s="0" t="n">
        <v>12</v>
      </c>
      <c r="E2501" s="0" t="str">
        <f aca="false">INDEX(lot!$B$2:$B$1201,MATCH(B2501,lot!$A$2:$A$1201,0))</f>
        <v>SUP-E</v>
      </c>
      <c r="F2501" s="3" t="n">
        <f aca="false">YEAR(A2501)*100+MONTH(A2501)</f>
        <v>202606</v>
      </c>
    </row>
    <row r="2502" customFormat="false" ht="15" hidden="false" customHeight="false" outlineLevel="0" collapsed="false">
      <c r="A2502" s="2" t="n">
        <v>46203</v>
      </c>
      <c r="B2502" s="3" t="s">
        <v>733</v>
      </c>
      <c r="C2502" s="0" t="n">
        <v>71</v>
      </c>
      <c r="D2502" s="0" t="n">
        <v>0</v>
      </c>
      <c r="E2502" s="0" t="str">
        <f aca="false">INDEX(lot!$B$2:$B$1201,MATCH(B2502,lot!$A$2:$A$1201,0))</f>
        <v>SUP-D</v>
      </c>
      <c r="F2502" s="3" t="n">
        <f aca="false">YEAR(A2502)*100+MONTH(A2502)</f>
        <v>202606</v>
      </c>
    </row>
    <row r="2503" customFormat="false" ht="15" hidden="false" customHeight="false" outlineLevel="0" collapsed="false">
      <c r="A2503" s="2" t="n">
        <v>46203</v>
      </c>
      <c r="B2503" s="3" t="s">
        <v>765</v>
      </c>
      <c r="C2503" s="0" t="n">
        <v>155</v>
      </c>
      <c r="D2503" s="0" t="n">
        <v>2</v>
      </c>
      <c r="E2503" s="0" t="str">
        <f aca="false">INDEX(lot!$B$2:$B$1201,MATCH(B2503,lot!$A$2:$A$1201,0))</f>
        <v>SUP-E</v>
      </c>
      <c r="F2503" s="3" t="n">
        <f aca="false">YEAR(A2503)*100+MONTH(A2503)</f>
        <v>202606</v>
      </c>
    </row>
    <row r="2504" customFormat="false" ht="15" hidden="false" customHeight="false" outlineLevel="0" collapsed="false">
      <c r="A2504" s="2" t="n">
        <v>46203</v>
      </c>
      <c r="B2504" s="3" t="s">
        <v>775</v>
      </c>
      <c r="C2504" s="0" t="n">
        <v>134</v>
      </c>
      <c r="D2504" s="0" t="n">
        <v>0</v>
      </c>
      <c r="E2504" s="0" t="str">
        <f aca="false">INDEX(lot!$B$2:$B$1201,MATCH(B2504,lot!$A$2:$A$1201,0))</f>
        <v>SUP-D</v>
      </c>
      <c r="F2504" s="3" t="n">
        <f aca="false">YEAR(A2504)*100+MONTH(A2504)</f>
        <v>202606</v>
      </c>
    </row>
    <row r="2505" customFormat="false" ht="15" hidden="false" customHeight="false" outlineLevel="0" collapsed="false">
      <c r="A2505" s="2" t="n">
        <v>46203</v>
      </c>
      <c r="B2505" s="3" t="s">
        <v>775</v>
      </c>
      <c r="C2505" s="0" t="n">
        <v>194</v>
      </c>
      <c r="D2505" s="0" t="n">
        <v>2</v>
      </c>
      <c r="E2505" s="0" t="str">
        <f aca="false">INDEX(lot!$B$2:$B$1201,MATCH(B2505,lot!$A$2:$A$1201,0))</f>
        <v>SUP-D</v>
      </c>
      <c r="F2505" s="3" t="n">
        <f aca="false">YEAR(A2505)*100+MONTH(A2505)</f>
        <v>202606</v>
      </c>
    </row>
    <row r="2506" customFormat="false" ht="15" hidden="false" customHeight="false" outlineLevel="0" collapsed="false">
      <c r="A2506" s="2" t="n">
        <v>46203</v>
      </c>
      <c r="B2506" s="3" t="s">
        <v>780</v>
      </c>
      <c r="C2506" s="0" t="n">
        <v>139</v>
      </c>
      <c r="D2506" s="0" t="n">
        <v>0</v>
      </c>
      <c r="E2506" s="0" t="str">
        <f aca="false">INDEX(lot!$B$2:$B$1201,MATCH(B2506,lot!$A$2:$A$1201,0))</f>
        <v>SUP-D</v>
      </c>
      <c r="F2506" s="3" t="n">
        <f aca="false">YEAR(A2506)*100+MONTH(A2506)</f>
        <v>202606</v>
      </c>
    </row>
    <row r="2507" customFormat="false" ht="15" hidden="false" customHeight="false" outlineLevel="0" collapsed="false">
      <c r="A2507" s="2" t="n">
        <v>46203</v>
      </c>
      <c r="B2507" s="3" t="s">
        <v>816</v>
      </c>
      <c r="C2507" s="0" t="n">
        <v>95</v>
      </c>
      <c r="D2507" s="0" t="n">
        <v>0</v>
      </c>
      <c r="E2507" s="0" t="str">
        <f aca="false">INDEX(lot!$B$2:$B$1201,MATCH(B2507,lot!$A$2:$A$1201,0))</f>
        <v>SUP-E</v>
      </c>
      <c r="F2507" s="3" t="n">
        <f aca="false">YEAR(A2507)*100+MONTH(A2507)</f>
        <v>202606</v>
      </c>
    </row>
    <row r="2508" customFormat="false" ht="15" hidden="false" customHeight="false" outlineLevel="0" collapsed="false">
      <c r="A2508" s="2" t="n">
        <v>46203</v>
      </c>
      <c r="B2508" s="3" t="s">
        <v>896</v>
      </c>
      <c r="C2508" s="0" t="n">
        <v>194</v>
      </c>
      <c r="D2508" s="0" t="n">
        <v>4</v>
      </c>
      <c r="E2508" s="0" t="str">
        <f aca="false">INDEX(lot!$B$2:$B$1201,MATCH(B2508,lot!$A$2:$A$1201,0))</f>
        <v>SUP-C</v>
      </c>
      <c r="F2508" s="3" t="n">
        <f aca="false">YEAR(A2508)*100+MONTH(A2508)</f>
        <v>202606</v>
      </c>
    </row>
    <row r="2509" customFormat="false" ht="15" hidden="false" customHeight="false" outlineLevel="0" collapsed="false">
      <c r="A2509" s="2" t="n">
        <v>46203</v>
      </c>
      <c r="B2509" s="3" t="s">
        <v>897</v>
      </c>
      <c r="C2509" s="0" t="n">
        <v>84</v>
      </c>
      <c r="D2509" s="0" t="n">
        <v>1</v>
      </c>
      <c r="E2509" s="0" t="str">
        <f aca="false">INDEX(lot!$B$2:$B$1201,MATCH(B2509,lot!$A$2:$A$1201,0))</f>
        <v>SUP-E</v>
      </c>
      <c r="F2509" s="3" t="n">
        <f aca="false">YEAR(A2509)*100+MONTH(A2509)</f>
        <v>202606</v>
      </c>
    </row>
    <row r="2510" customFormat="false" ht="15" hidden="false" customHeight="false" outlineLevel="0" collapsed="false">
      <c r="A2510" s="2" t="n">
        <v>46203</v>
      </c>
      <c r="B2510" s="3" t="s">
        <v>897</v>
      </c>
      <c r="C2510" s="0" t="n">
        <v>154</v>
      </c>
      <c r="D2510" s="0" t="n">
        <v>2</v>
      </c>
      <c r="E2510" s="0" t="str">
        <f aca="false">INDEX(lot!$B$2:$B$1201,MATCH(B2510,lot!$A$2:$A$1201,0))</f>
        <v>SUP-E</v>
      </c>
      <c r="F2510" s="3" t="n">
        <f aca="false">YEAR(A2510)*100+MONTH(A2510)</f>
        <v>202606</v>
      </c>
    </row>
    <row r="2511" customFormat="false" ht="15" hidden="false" customHeight="false" outlineLevel="0" collapsed="false">
      <c r="A2511" s="2" t="n">
        <v>46203</v>
      </c>
      <c r="B2511" s="3" t="s">
        <v>908</v>
      </c>
      <c r="C2511" s="0" t="n">
        <v>66</v>
      </c>
      <c r="D2511" s="0" t="n">
        <v>1</v>
      </c>
      <c r="E2511" s="0" t="str">
        <f aca="false">INDEX(lot!$B$2:$B$1201,MATCH(B2511,lot!$A$2:$A$1201,0))</f>
        <v>SUP-D</v>
      </c>
      <c r="F2511" s="3" t="n">
        <f aca="false">YEAR(A2511)*100+MONTH(A2511)</f>
        <v>202606</v>
      </c>
    </row>
    <row r="2512" customFormat="false" ht="15" hidden="false" customHeight="false" outlineLevel="0" collapsed="false">
      <c r="A2512" s="2" t="n">
        <v>46203</v>
      </c>
      <c r="B2512" s="3" t="s">
        <v>908</v>
      </c>
      <c r="C2512" s="0" t="n">
        <v>252</v>
      </c>
      <c r="D2512" s="0" t="n">
        <v>2</v>
      </c>
      <c r="E2512" s="0" t="str">
        <f aca="false">INDEX(lot!$B$2:$B$1201,MATCH(B2512,lot!$A$2:$A$1201,0))</f>
        <v>SUP-D</v>
      </c>
      <c r="F2512" s="3" t="n">
        <f aca="false">YEAR(A2512)*100+MONTH(A2512)</f>
        <v>202606</v>
      </c>
    </row>
    <row r="2513" customFormat="false" ht="15" hidden="false" customHeight="false" outlineLevel="0" collapsed="false">
      <c r="A2513" s="2" t="n">
        <v>46203</v>
      </c>
      <c r="B2513" s="3" t="s">
        <v>955</v>
      </c>
      <c r="C2513" s="0" t="n">
        <v>152</v>
      </c>
      <c r="D2513" s="0" t="n">
        <v>2</v>
      </c>
      <c r="E2513" s="0" t="str">
        <f aca="false">INDEX(lot!$B$2:$B$1201,MATCH(B2513,lot!$A$2:$A$1201,0))</f>
        <v>SUP-E</v>
      </c>
      <c r="F2513" s="3" t="n">
        <f aca="false">YEAR(A2513)*100+MONTH(A2513)</f>
        <v>202606</v>
      </c>
    </row>
    <row r="2514" customFormat="false" ht="15" hidden="false" customHeight="false" outlineLevel="0" collapsed="false">
      <c r="A2514" s="2" t="n">
        <v>46203</v>
      </c>
      <c r="B2514" s="3" t="s">
        <v>1061</v>
      </c>
      <c r="C2514" s="0" t="n">
        <v>215</v>
      </c>
      <c r="D2514" s="0" t="n">
        <v>2</v>
      </c>
      <c r="E2514" s="0" t="str">
        <f aca="false">INDEX(lot!$B$2:$B$1201,MATCH(B2514,lot!$A$2:$A$1201,0))</f>
        <v>SUP-D</v>
      </c>
      <c r="F2514" s="3" t="n">
        <f aca="false">YEAR(A2514)*100+MONTH(A2514)</f>
        <v>202606</v>
      </c>
    </row>
    <row r="2515" customFormat="false" ht="15" hidden="false" customHeight="false" outlineLevel="0" collapsed="false">
      <c r="A2515" s="2" t="n">
        <v>46203</v>
      </c>
      <c r="B2515" s="3" t="s">
        <v>1064</v>
      </c>
      <c r="C2515" s="0" t="n">
        <v>180</v>
      </c>
      <c r="D2515" s="0" t="n">
        <v>5</v>
      </c>
      <c r="E2515" s="0" t="str">
        <f aca="false">INDEX(lot!$B$2:$B$1201,MATCH(B2515,lot!$A$2:$A$1201,0))</f>
        <v>SUP-C</v>
      </c>
      <c r="F2515" s="3" t="n">
        <f aca="false">YEAR(A2515)*100+MONTH(A2515)</f>
        <v>202606</v>
      </c>
    </row>
    <row r="2516" customFormat="false" ht="15" hidden="false" customHeight="false" outlineLevel="0" collapsed="false">
      <c r="A2516" s="2" t="n">
        <v>46203</v>
      </c>
      <c r="B2516" s="3" t="s">
        <v>1064</v>
      </c>
      <c r="C2516" s="0" t="n">
        <v>155</v>
      </c>
      <c r="D2516" s="0" t="n">
        <v>3</v>
      </c>
      <c r="E2516" s="0" t="str">
        <f aca="false">INDEX(lot!$B$2:$B$1201,MATCH(B2516,lot!$A$2:$A$1201,0))</f>
        <v>SUP-C</v>
      </c>
      <c r="F2516" s="3" t="n">
        <f aca="false">YEAR(A2516)*100+MONTH(A2516)</f>
        <v>202606</v>
      </c>
    </row>
    <row r="2517" customFormat="false" ht="15" hidden="false" customHeight="false" outlineLevel="0" collapsed="false">
      <c r="A2517" s="2" t="n">
        <v>46203</v>
      </c>
      <c r="B2517" s="3" t="s">
        <v>1075</v>
      </c>
      <c r="C2517" s="0" t="n">
        <v>158</v>
      </c>
      <c r="D2517" s="0" t="n">
        <v>10</v>
      </c>
      <c r="E2517" s="0" t="str">
        <f aca="false">INDEX(lot!$B$2:$B$1201,MATCH(B2517,lot!$A$2:$A$1201,0))</f>
        <v>SUP-E</v>
      </c>
      <c r="F2517" s="3" t="n">
        <f aca="false">YEAR(A2517)*100+MONTH(A2517)</f>
        <v>202606</v>
      </c>
    </row>
    <row r="2518" customFormat="false" ht="15" hidden="false" customHeight="false" outlineLevel="0" collapsed="false">
      <c r="A2518" s="2" t="n">
        <v>46203</v>
      </c>
      <c r="B2518" s="3" t="s">
        <v>1075</v>
      </c>
      <c r="C2518" s="0" t="n">
        <v>142</v>
      </c>
      <c r="D2518" s="0" t="n">
        <v>9</v>
      </c>
      <c r="E2518" s="0" t="str">
        <f aca="false">INDEX(lot!$B$2:$B$1201,MATCH(B2518,lot!$A$2:$A$1201,0))</f>
        <v>SUP-E</v>
      </c>
      <c r="F2518" s="3" t="n">
        <f aca="false">YEAR(A2518)*100+MONTH(A2518)</f>
        <v>202606</v>
      </c>
    </row>
    <row r="2519" customFormat="false" ht="15" hidden="false" customHeight="false" outlineLevel="0" collapsed="false">
      <c r="A2519" s="2" t="n">
        <v>46203</v>
      </c>
      <c r="B2519" s="3" t="s">
        <v>1092</v>
      </c>
      <c r="C2519" s="0" t="n">
        <v>204</v>
      </c>
      <c r="D2519" s="0" t="n">
        <v>1</v>
      </c>
      <c r="E2519" s="0" t="str">
        <f aca="false">INDEX(lot!$B$2:$B$1201,MATCH(B2519,lot!$A$2:$A$1201,0))</f>
        <v>SUP-E</v>
      </c>
      <c r="F2519" s="3" t="n">
        <f aca="false">YEAR(A2519)*100+MONTH(A2519)</f>
        <v>202606</v>
      </c>
    </row>
    <row r="2520" customFormat="false" ht="15" hidden="false" customHeight="false" outlineLevel="0" collapsed="false">
      <c r="A2520" s="2" t="n">
        <v>46203</v>
      </c>
      <c r="B2520" s="3" t="s">
        <v>1141</v>
      </c>
      <c r="C2520" s="0" t="n">
        <v>222</v>
      </c>
      <c r="D2520" s="0" t="n">
        <v>2</v>
      </c>
      <c r="E2520" s="0" t="str">
        <f aca="false">INDEX(lot!$B$2:$B$1201,MATCH(B2520,lot!$A$2:$A$1201,0))</f>
        <v>SUP-D</v>
      </c>
      <c r="F2520" s="3" t="n">
        <f aca="false">YEAR(A2520)*100+MONTH(A2520)</f>
        <v>202606</v>
      </c>
    </row>
    <row r="2521" customFormat="false" ht="15" hidden="false" customHeight="false" outlineLevel="0" collapsed="false">
      <c r="A2521" s="2" t="n">
        <v>46203</v>
      </c>
      <c r="B2521" s="3" t="s">
        <v>1141</v>
      </c>
      <c r="C2521" s="0" t="n">
        <v>93</v>
      </c>
      <c r="D2521" s="0" t="n">
        <v>2</v>
      </c>
      <c r="E2521" s="0" t="str">
        <f aca="false">INDEX(lot!$B$2:$B$1201,MATCH(B2521,lot!$A$2:$A$1201,0))</f>
        <v>SUP-D</v>
      </c>
      <c r="F2521" s="3" t="n">
        <f aca="false">YEAR(A2521)*100+MONTH(A2521)</f>
        <v>202606</v>
      </c>
    </row>
    <row r="2522" customFormat="false" ht="15" hidden="false" customHeight="false" outlineLevel="0" collapsed="false">
      <c r="A2522" s="2" t="n">
        <v>46204</v>
      </c>
      <c r="B2522" s="3" t="s">
        <v>179</v>
      </c>
      <c r="C2522" s="0" t="n">
        <v>233</v>
      </c>
      <c r="D2522" s="0" t="n">
        <v>1</v>
      </c>
      <c r="E2522" s="0" t="str">
        <f aca="false">INDEX(lot!$B$2:$B$1201,MATCH(B2522,lot!$A$2:$A$1201,0))</f>
        <v>SUP-D</v>
      </c>
      <c r="F2522" s="3" t="n">
        <f aca="false">YEAR(A2522)*100+MONTH(A2522)</f>
        <v>202607</v>
      </c>
    </row>
    <row r="2523" customFormat="false" ht="15" hidden="false" customHeight="false" outlineLevel="0" collapsed="false">
      <c r="A2523" s="2" t="n">
        <v>46204</v>
      </c>
      <c r="B2523" s="3" t="s">
        <v>179</v>
      </c>
      <c r="C2523" s="0" t="n">
        <v>181</v>
      </c>
      <c r="D2523" s="0" t="n">
        <v>3</v>
      </c>
      <c r="E2523" s="0" t="str">
        <f aca="false">INDEX(lot!$B$2:$B$1201,MATCH(B2523,lot!$A$2:$A$1201,0))</f>
        <v>SUP-D</v>
      </c>
      <c r="F2523" s="3" t="n">
        <f aca="false">YEAR(A2523)*100+MONTH(A2523)</f>
        <v>202607</v>
      </c>
    </row>
    <row r="2524" customFormat="false" ht="15" hidden="false" customHeight="false" outlineLevel="0" collapsed="false">
      <c r="A2524" s="2" t="n">
        <v>46204</v>
      </c>
      <c r="B2524" s="3" t="s">
        <v>252</v>
      </c>
      <c r="C2524" s="0" t="n">
        <v>67</v>
      </c>
      <c r="D2524" s="0" t="n">
        <v>0</v>
      </c>
      <c r="E2524" s="0" t="str">
        <f aca="false">INDEX(lot!$B$2:$B$1201,MATCH(B2524,lot!$A$2:$A$1201,0))</f>
        <v>SUP-A</v>
      </c>
      <c r="F2524" s="3" t="n">
        <f aca="false">YEAR(A2524)*100+MONTH(A2524)</f>
        <v>202607</v>
      </c>
    </row>
    <row r="2525" customFormat="false" ht="15" hidden="false" customHeight="false" outlineLevel="0" collapsed="false">
      <c r="A2525" s="2" t="n">
        <v>46204</v>
      </c>
      <c r="B2525" s="3" t="s">
        <v>252</v>
      </c>
      <c r="C2525" s="0" t="n">
        <v>227</v>
      </c>
      <c r="D2525" s="0" t="n">
        <v>4</v>
      </c>
      <c r="E2525" s="0" t="str">
        <f aca="false">INDEX(lot!$B$2:$B$1201,MATCH(B2525,lot!$A$2:$A$1201,0))</f>
        <v>SUP-A</v>
      </c>
      <c r="F2525" s="3" t="n">
        <f aca="false">YEAR(A2525)*100+MONTH(A2525)</f>
        <v>202607</v>
      </c>
    </row>
    <row r="2526" customFormat="false" ht="15" hidden="false" customHeight="false" outlineLevel="0" collapsed="false">
      <c r="A2526" s="2" t="n">
        <v>46204</v>
      </c>
      <c r="B2526" s="3" t="s">
        <v>306</v>
      </c>
      <c r="C2526" s="0" t="n">
        <v>239</v>
      </c>
      <c r="D2526" s="0" t="n">
        <v>1</v>
      </c>
      <c r="E2526" s="0" t="str">
        <f aca="false">INDEX(lot!$B$2:$B$1201,MATCH(B2526,lot!$A$2:$A$1201,0))</f>
        <v>SUP-A</v>
      </c>
      <c r="F2526" s="3" t="n">
        <f aca="false">YEAR(A2526)*100+MONTH(A2526)</f>
        <v>202607</v>
      </c>
    </row>
    <row r="2527" customFormat="false" ht="15" hidden="false" customHeight="false" outlineLevel="0" collapsed="false">
      <c r="A2527" s="2" t="n">
        <v>46204</v>
      </c>
      <c r="B2527" s="3" t="s">
        <v>399</v>
      </c>
      <c r="C2527" s="0" t="n">
        <v>137</v>
      </c>
      <c r="D2527" s="0" t="n">
        <v>2</v>
      </c>
      <c r="E2527" s="0" t="str">
        <f aca="false">INDEX(lot!$B$2:$B$1201,MATCH(B2527,lot!$A$2:$A$1201,0))</f>
        <v>SUP-D</v>
      </c>
      <c r="F2527" s="3" t="n">
        <f aca="false">YEAR(A2527)*100+MONTH(A2527)</f>
        <v>202607</v>
      </c>
    </row>
    <row r="2528" customFormat="false" ht="15" hidden="false" customHeight="false" outlineLevel="0" collapsed="false">
      <c r="A2528" s="2" t="n">
        <v>46204</v>
      </c>
      <c r="B2528" s="3" t="s">
        <v>488</v>
      </c>
      <c r="C2528" s="0" t="n">
        <v>248</v>
      </c>
      <c r="D2528" s="0" t="n">
        <v>5</v>
      </c>
      <c r="E2528" s="0" t="str">
        <f aca="false">INDEX(lot!$B$2:$B$1201,MATCH(B2528,lot!$A$2:$A$1201,0))</f>
        <v>SUP-C</v>
      </c>
      <c r="F2528" s="3" t="n">
        <f aca="false">YEAR(A2528)*100+MONTH(A2528)</f>
        <v>202607</v>
      </c>
    </row>
    <row r="2529" customFormat="false" ht="15" hidden="false" customHeight="false" outlineLevel="0" collapsed="false">
      <c r="A2529" s="2" t="n">
        <v>46204</v>
      </c>
      <c r="B2529" s="3" t="s">
        <v>675</v>
      </c>
      <c r="C2529" s="0" t="n">
        <v>174</v>
      </c>
      <c r="D2529" s="0" t="n">
        <v>12</v>
      </c>
      <c r="E2529" s="0" t="str">
        <f aca="false">INDEX(lot!$B$2:$B$1201,MATCH(B2529,lot!$A$2:$A$1201,0))</f>
        <v>SUP-E</v>
      </c>
      <c r="F2529" s="3" t="n">
        <f aca="false">YEAR(A2529)*100+MONTH(A2529)</f>
        <v>202607</v>
      </c>
    </row>
    <row r="2530" customFormat="false" ht="15" hidden="false" customHeight="false" outlineLevel="0" collapsed="false">
      <c r="A2530" s="2" t="n">
        <v>46204</v>
      </c>
      <c r="B2530" s="3" t="s">
        <v>733</v>
      </c>
      <c r="C2530" s="0" t="n">
        <v>222</v>
      </c>
      <c r="D2530" s="0" t="n">
        <v>3</v>
      </c>
      <c r="E2530" s="0" t="str">
        <f aca="false">INDEX(lot!$B$2:$B$1201,MATCH(B2530,lot!$A$2:$A$1201,0))</f>
        <v>SUP-D</v>
      </c>
      <c r="F2530" s="3" t="n">
        <f aca="false">YEAR(A2530)*100+MONTH(A2530)</f>
        <v>202607</v>
      </c>
    </row>
    <row r="2531" customFormat="false" ht="15" hidden="false" customHeight="false" outlineLevel="0" collapsed="false">
      <c r="A2531" s="2" t="n">
        <v>46204</v>
      </c>
      <c r="B2531" s="3" t="s">
        <v>765</v>
      </c>
      <c r="C2531" s="0" t="n">
        <v>148</v>
      </c>
      <c r="D2531" s="0" t="n">
        <v>2</v>
      </c>
      <c r="E2531" s="0" t="str">
        <f aca="false">INDEX(lot!$B$2:$B$1201,MATCH(B2531,lot!$A$2:$A$1201,0))</f>
        <v>SUP-E</v>
      </c>
      <c r="F2531" s="3" t="n">
        <f aca="false">YEAR(A2531)*100+MONTH(A2531)</f>
        <v>202607</v>
      </c>
    </row>
    <row r="2532" customFormat="false" ht="15" hidden="false" customHeight="false" outlineLevel="0" collapsed="false">
      <c r="A2532" s="2" t="n">
        <v>46204</v>
      </c>
      <c r="B2532" s="3" t="s">
        <v>765</v>
      </c>
      <c r="C2532" s="0" t="n">
        <v>133</v>
      </c>
      <c r="D2532" s="0" t="n">
        <v>1</v>
      </c>
      <c r="E2532" s="0" t="str">
        <f aca="false">INDEX(lot!$B$2:$B$1201,MATCH(B2532,lot!$A$2:$A$1201,0))</f>
        <v>SUP-E</v>
      </c>
      <c r="F2532" s="3" t="n">
        <f aca="false">YEAR(A2532)*100+MONTH(A2532)</f>
        <v>202607</v>
      </c>
    </row>
    <row r="2533" customFormat="false" ht="15" hidden="false" customHeight="false" outlineLevel="0" collapsed="false">
      <c r="A2533" s="2" t="n">
        <v>46204</v>
      </c>
      <c r="B2533" s="3" t="s">
        <v>773</v>
      </c>
      <c r="C2533" s="0" t="n">
        <v>214</v>
      </c>
      <c r="D2533" s="0" t="n">
        <v>1</v>
      </c>
      <c r="E2533" s="0" t="str">
        <f aca="false">INDEX(lot!$B$2:$B$1201,MATCH(B2533,lot!$A$2:$A$1201,0))</f>
        <v>SUP-E</v>
      </c>
      <c r="F2533" s="3" t="n">
        <f aca="false">YEAR(A2533)*100+MONTH(A2533)</f>
        <v>202607</v>
      </c>
    </row>
    <row r="2534" customFormat="false" ht="15" hidden="false" customHeight="false" outlineLevel="0" collapsed="false">
      <c r="A2534" s="2" t="n">
        <v>46204</v>
      </c>
      <c r="B2534" s="3" t="s">
        <v>773</v>
      </c>
      <c r="C2534" s="0" t="n">
        <v>229</v>
      </c>
      <c r="D2534" s="0" t="n">
        <v>2</v>
      </c>
      <c r="E2534" s="0" t="str">
        <f aca="false">INDEX(lot!$B$2:$B$1201,MATCH(B2534,lot!$A$2:$A$1201,0))</f>
        <v>SUP-E</v>
      </c>
      <c r="F2534" s="3" t="n">
        <f aca="false">YEAR(A2534)*100+MONTH(A2534)</f>
        <v>202607</v>
      </c>
    </row>
    <row r="2535" customFormat="false" ht="15" hidden="false" customHeight="false" outlineLevel="0" collapsed="false">
      <c r="A2535" s="2" t="n">
        <v>46204</v>
      </c>
      <c r="B2535" s="3" t="s">
        <v>897</v>
      </c>
      <c r="C2535" s="0" t="n">
        <v>193</v>
      </c>
      <c r="D2535" s="0" t="n">
        <v>2</v>
      </c>
      <c r="E2535" s="0" t="str">
        <f aca="false">INDEX(lot!$B$2:$B$1201,MATCH(B2535,lot!$A$2:$A$1201,0))</f>
        <v>SUP-E</v>
      </c>
      <c r="F2535" s="3" t="n">
        <f aca="false">YEAR(A2535)*100+MONTH(A2535)</f>
        <v>202607</v>
      </c>
    </row>
    <row r="2536" customFormat="false" ht="15" hidden="false" customHeight="false" outlineLevel="0" collapsed="false">
      <c r="A2536" s="2" t="n">
        <v>46204</v>
      </c>
      <c r="B2536" s="3" t="s">
        <v>897</v>
      </c>
      <c r="C2536" s="0" t="n">
        <v>92</v>
      </c>
      <c r="D2536" s="0" t="n">
        <v>0</v>
      </c>
      <c r="E2536" s="0" t="str">
        <f aca="false">INDEX(lot!$B$2:$B$1201,MATCH(B2536,lot!$A$2:$A$1201,0))</f>
        <v>SUP-E</v>
      </c>
      <c r="F2536" s="3" t="n">
        <f aca="false">YEAR(A2536)*100+MONTH(A2536)</f>
        <v>202607</v>
      </c>
    </row>
    <row r="2537" customFormat="false" ht="15" hidden="false" customHeight="false" outlineLevel="0" collapsed="false">
      <c r="A2537" s="2" t="n">
        <v>46204</v>
      </c>
      <c r="B2537" s="3" t="s">
        <v>899</v>
      </c>
      <c r="C2537" s="0" t="n">
        <v>173</v>
      </c>
      <c r="D2537" s="0" t="n">
        <v>1</v>
      </c>
      <c r="E2537" s="0" t="str">
        <f aca="false">INDEX(lot!$B$2:$B$1201,MATCH(B2537,lot!$A$2:$A$1201,0))</f>
        <v>SUP-A</v>
      </c>
      <c r="F2537" s="3" t="n">
        <f aca="false">YEAR(A2537)*100+MONTH(A2537)</f>
        <v>202607</v>
      </c>
    </row>
    <row r="2538" customFormat="false" ht="15" hidden="false" customHeight="false" outlineLevel="0" collapsed="false">
      <c r="A2538" s="2" t="n">
        <v>46204</v>
      </c>
      <c r="B2538" s="3" t="s">
        <v>904</v>
      </c>
      <c r="C2538" s="0" t="n">
        <v>150</v>
      </c>
      <c r="D2538" s="0" t="n">
        <v>8</v>
      </c>
      <c r="E2538" s="0" t="str">
        <f aca="false">INDEX(lot!$B$2:$B$1201,MATCH(B2538,lot!$A$2:$A$1201,0))</f>
        <v>SUP-E</v>
      </c>
      <c r="F2538" s="3" t="n">
        <f aca="false">YEAR(A2538)*100+MONTH(A2538)</f>
        <v>202607</v>
      </c>
    </row>
    <row r="2539" customFormat="false" ht="15" hidden="false" customHeight="false" outlineLevel="0" collapsed="false">
      <c r="A2539" s="2" t="n">
        <v>46204</v>
      </c>
      <c r="B2539" s="3" t="s">
        <v>920</v>
      </c>
      <c r="C2539" s="0" t="n">
        <v>202</v>
      </c>
      <c r="D2539" s="0" t="n">
        <v>1</v>
      </c>
      <c r="E2539" s="0" t="str">
        <f aca="false">INDEX(lot!$B$2:$B$1201,MATCH(B2539,lot!$A$2:$A$1201,0))</f>
        <v>SUP-E</v>
      </c>
      <c r="F2539" s="3" t="n">
        <f aca="false">YEAR(A2539)*100+MONTH(A2539)</f>
        <v>202607</v>
      </c>
    </row>
    <row r="2540" customFormat="false" ht="15" hidden="false" customHeight="false" outlineLevel="0" collapsed="false">
      <c r="A2540" s="2" t="n">
        <v>46204</v>
      </c>
      <c r="B2540" s="3" t="s">
        <v>941</v>
      </c>
      <c r="C2540" s="0" t="n">
        <v>171</v>
      </c>
      <c r="D2540" s="0" t="n">
        <v>3</v>
      </c>
      <c r="E2540" s="0" t="str">
        <f aca="false">INDEX(lot!$B$2:$B$1201,MATCH(B2540,lot!$A$2:$A$1201,0))</f>
        <v>SUP-C</v>
      </c>
      <c r="F2540" s="3" t="n">
        <f aca="false">YEAR(A2540)*100+MONTH(A2540)</f>
        <v>202607</v>
      </c>
    </row>
    <row r="2541" customFormat="false" ht="15" hidden="false" customHeight="false" outlineLevel="0" collapsed="false">
      <c r="A2541" s="2" t="n">
        <v>46204</v>
      </c>
      <c r="B2541" s="3" t="s">
        <v>955</v>
      </c>
      <c r="C2541" s="0" t="n">
        <v>86</v>
      </c>
      <c r="D2541" s="0" t="n">
        <v>1</v>
      </c>
      <c r="E2541" s="0" t="str">
        <f aca="false">INDEX(lot!$B$2:$B$1201,MATCH(B2541,lot!$A$2:$A$1201,0))</f>
        <v>SUP-E</v>
      </c>
      <c r="F2541" s="3" t="n">
        <f aca="false">YEAR(A2541)*100+MONTH(A2541)</f>
        <v>202607</v>
      </c>
    </row>
    <row r="2542" customFormat="false" ht="15" hidden="false" customHeight="false" outlineLevel="0" collapsed="false">
      <c r="A2542" s="2" t="n">
        <v>46204</v>
      </c>
      <c r="B2542" s="3" t="s">
        <v>957</v>
      </c>
      <c r="C2542" s="0" t="n">
        <v>234</v>
      </c>
      <c r="D2542" s="0" t="n">
        <v>1</v>
      </c>
      <c r="E2542" s="0" t="str">
        <f aca="false">INDEX(lot!$B$2:$B$1201,MATCH(B2542,lot!$A$2:$A$1201,0))</f>
        <v>SUP-D</v>
      </c>
      <c r="F2542" s="3" t="n">
        <f aca="false">YEAR(A2542)*100+MONTH(A2542)</f>
        <v>202607</v>
      </c>
    </row>
    <row r="2543" customFormat="false" ht="15" hidden="false" customHeight="false" outlineLevel="0" collapsed="false">
      <c r="A2543" s="2" t="n">
        <v>46204</v>
      </c>
      <c r="B2543" s="3" t="s">
        <v>985</v>
      </c>
      <c r="C2543" s="0" t="n">
        <v>215</v>
      </c>
      <c r="D2543" s="0" t="n">
        <v>4</v>
      </c>
      <c r="E2543" s="0" t="str">
        <f aca="false">INDEX(lot!$B$2:$B$1201,MATCH(B2543,lot!$A$2:$A$1201,0))</f>
        <v>SUP-C</v>
      </c>
      <c r="F2543" s="3" t="n">
        <f aca="false">YEAR(A2543)*100+MONTH(A2543)</f>
        <v>202607</v>
      </c>
    </row>
    <row r="2544" customFormat="false" ht="15" hidden="false" customHeight="false" outlineLevel="0" collapsed="false">
      <c r="A2544" s="2" t="n">
        <v>46204</v>
      </c>
      <c r="B2544" s="3" t="s">
        <v>985</v>
      </c>
      <c r="C2544" s="0" t="n">
        <v>154</v>
      </c>
      <c r="D2544" s="0" t="n">
        <v>5</v>
      </c>
      <c r="E2544" s="0" t="str">
        <f aca="false">INDEX(lot!$B$2:$B$1201,MATCH(B2544,lot!$A$2:$A$1201,0))</f>
        <v>SUP-C</v>
      </c>
      <c r="F2544" s="3" t="n">
        <f aca="false">YEAR(A2544)*100+MONTH(A2544)</f>
        <v>202607</v>
      </c>
    </row>
    <row r="2545" customFormat="false" ht="15" hidden="false" customHeight="false" outlineLevel="0" collapsed="false">
      <c r="A2545" s="2" t="n">
        <v>46204</v>
      </c>
      <c r="B2545" s="3" t="s">
        <v>1032</v>
      </c>
      <c r="C2545" s="0" t="n">
        <v>210</v>
      </c>
      <c r="D2545" s="0" t="n">
        <v>5</v>
      </c>
      <c r="E2545" s="0" t="str">
        <f aca="false">INDEX(lot!$B$2:$B$1201,MATCH(B2545,lot!$A$2:$A$1201,0))</f>
        <v>SUP-C</v>
      </c>
      <c r="F2545" s="3" t="n">
        <f aca="false">YEAR(A2545)*100+MONTH(A2545)</f>
        <v>202607</v>
      </c>
    </row>
    <row r="2546" customFormat="false" ht="15" hidden="false" customHeight="false" outlineLevel="0" collapsed="false">
      <c r="A2546" s="2" t="n">
        <v>46204</v>
      </c>
      <c r="B2546" s="3" t="s">
        <v>1061</v>
      </c>
      <c r="C2546" s="0" t="n">
        <v>203</v>
      </c>
      <c r="D2546" s="0" t="n">
        <v>3</v>
      </c>
      <c r="E2546" s="0" t="str">
        <f aca="false">INDEX(lot!$B$2:$B$1201,MATCH(B2546,lot!$A$2:$A$1201,0))</f>
        <v>SUP-D</v>
      </c>
      <c r="F2546" s="3" t="n">
        <f aca="false">YEAR(A2546)*100+MONTH(A2546)</f>
        <v>202607</v>
      </c>
    </row>
    <row r="2547" customFormat="false" ht="15" hidden="false" customHeight="false" outlineLevel="0" collapsed="false">
      <c r="A2547" s="2" t="n">
        <v>46204</v>
      </c>
      <c r="B2547" s="3" t="s">
        <v>1064</v>
      </c>
      <c r="C2547" s="0" t="n">
        <v>117</v>
      </c>
      <c r="D2547" s="0" t="n">
        <v>2</v>
      </c>
      <c r="E2547" s="0" t="str">
        <f aca="false">INDEX(lot!$B$2:$B$1201,MATCH(B2547,lot!$A$2:$A$1201,0))</f>
        <v>SUP-C</v>
      </c>
      <c r="F2547" s="3" t="n">
        <f aca="false">YEAR(A2547)*100+MONTH(A2547)</f>
        <v>202607</v>
      </c>
    </row>
    <row r="2548" customFormat="false" ht="15" hidden="false" customHeight="false" outlineLevel="0" collapsed="false">
      <c r="A2548" s="2" t="n">
        <v>46204</v>
      </c>
      <c r="B2548" s="3" t="s">
        <v>1064</v>
      </c>
      <c r="C2548" s="0" t="n">
        <v>169</v>
      </c>
      <c r="D2548" s="0" t="n">
        <v>5</v>
      </c>
      <c r="E2548" s="0" t="str">
        <f aca="false">INDEX(lot!$B$2:$B$1201,MATCH(B2548,lot!$A$2:$A$1201,0))</f>
        <v>SUP-C</v>
      </c>
      <c r="F2548" s="3" t="n">
        <f aca="false">YEAR(A2548)*100+MONTH(A2548)</f>
        <v>202607</v>
      </c>
    </row>
    <row r="2549" customFormat="false" ht="15" hidden="false" customHeight="false" outlineLevel="0" collapsed="false">
      <c r="A2549" s="2" t="n">
        <v>46204</v>
      </c>
      <c r="B2549" s="3" t="s">
        <v>1075</v>
      </c>
      <c r="C2549" s="0" t="n">
        <v>184</v>
      </c>
      <c r="D2549" s="0" t="n">
        <v>8</v>
      </c>
      <c r="E2549" s="0" t="str">
        <f aca="false">INDEX(lot!$B$2:$B$1201,MATCH(B2549,lot!$A$2:$A$1201,0))</f>
        <v>SUP-E</v>
      </c>
      <c r="F2549" s="3" t="n">
        <f aca="false">YEAR(A2549)*100+MONTH(A2549)</f>
        <v>202607</v>
      </c>
    </row>
    <row r="2550" customFormat="false" ht="15" hidden="false" customHeight="false" outlineLevel="0" collapsed="false">
      <c r="A2550" s="2" t="n">
        <v>46204</v>
      </c>
      <c r="B2550" s="3" t="s">
        <v>1075</v>
      </c>
      <c r="C2550" s="0" t="n">
        <v>110</v>
      </c>
      <c r="D2550" s="0" t="n">
        <v>5</v>
      </c>
      <c r="E2550" s="0" t="str">
        <f aca="false">INDEX(lot!$B$2:$B$1201,MATCH(B2550,lot!$A$2:$A$1201,0))</f>
        <v>SUP-E</v>
      </c>
      <c r="F2550" s="3" t="n">
        <f aca="false">YEAR(A2550)*100+MONTH(A2550)</f>
        <v>202607</v>
      </c>
    </row>
    <row r="2551" customFormat="false" ht="15" hidden="false" customHeight="false" outlineLevel="0" collapsed="false">
      <c r="A2551" s="2" t="n">
        <v>46204</v>
      </c>
      <c r="B2551" s="3" t="s">
        <v>1110</v>
      </c>
      <c r="C2551" s="0" t="n">
        <v>111</v>
      </c>
      <c r="D2551" s="0" t="n">
        <v>8</v>
      </c>
      <c r="E2551" s="0" t="str">
        <f aca="false">INDEX(lot!$B$2:$B$1201,MATCH(B2551,lot!$A$2:$A$1201,0))</f>
        <v>SUP-D</v>
      </c>
      <c r="F2551" s="3" t="n">
        <f aca="false">YEAR(A2551)*100+MONTH(A2551)</f>
        <v>202607</v>
      </c>
    </row>
    <row r="2552" customFormat="false" ht="15" hidden="false" customHeight="false" outlineLevel="0" collapsed="false">
      <c r="A2552" s="2" t="n">
        <v>46204</v>
      </c>
      <c r="B2552" s="3" t="s">
        <v>1110</v>
      </c>
      <c r="C2552" s="0" t="n">
        <v>197</v>
      </c>
      <c r="D2552" s="0" t="n">
        <v>18</v>
      </c>
      <c r="E2552" s="0" t="str">
        <f aca="false">INDEX(lot!$B$2:$B$1201,MATCH(B2552,lot!$A$2:$A$1201,0))</f>
        <v>SUP-D</v>
      </c>
      <c r="F2552" s="3" t="n">
        <f aca="false">YEAR(A2552)*100+MONTH(A2552)</f>
        <v>202607</v>
      </c>
    </row>
    <row r="2553" customFormat="false" ht="15" hidden="false" customHeight="false" outlineLevel="0" collapsed="false">
      <c r="A2553" s="2" t="n">
        <v>46204</v>
      </c>
      <c r="B2553" s="3" t="s">
        <v>1141</v>
      </c>
      <c r="C2553" s="0" t="n">
        <v>218</v>
      </c>
      <c r="D2553" s="0" t="n">
        <v>4</v>
      </c>
      <c r="E2553" s="0" t="str">
        <f aca="false">INDEX(lot!$B$2:$B$1201,MATCH(B2553,lot!$A$2:$A$1201,0))</f>
        <v>SUP-D</v>
      </c>
      <c r="F2553" s="3" t="n">
        <f aca="false">YEAR(A2553)*100+MONTH(A2553)</f>
        <v>202607</v>
      </c>
    </row>
    <row r="2554" customFormat="false" ht="15" hidden="false" customHeight="false" outlineLevel="0" collapsed="false">
      <c r="A2554" s="2" t="n">
        <v>46205</v>
      </c>
      <c r="B2554" s="3" t="s">
        <v>179</v>
      </c>
      <c r="C2554" s="0" t="n">
        <v>222</v>
      </c>
      <c r="D2554" s="0" t="n">
        <v>4</v>
      </c>
      <c r="E2554" s="0" t="str">
        <f aca="false">INDEX(lot!$B$2:$B$1201,MATCH(B2554,lot!$A$2:$A$1201,0))</f>
        <v>SUP-D</v>
      </c>
      <c r="F2554" s="3" t="n">
        <f aca="false">YEAR(A2554)*100+MONTH(A2554)</f>
        <v>202607</v>
      </c>
    </row>
    <row r="2555" customFormat="false" ht="15" hidden="false" customHeight="false" outlineLevel="0" collapsed="false">
      <c r="A2555" s="2" t="n">
        <v>46205</v>
      </c>
      <c r="B2555" s="3" t="s">
        <v>252</v>
      </c>
      <c r="C2555" s="0" t="n">
        <v>129</v>
      </c>
      <c r="D2555" s="0" t="n">
        <v>0</v>
      </c>
      <c r="E2555" s="0" t="str">
        <f aca="false">INDEX(lot!$B$2:$B$1201,MATCH(B2555,lot!$A$2:$A$1201,0))</f>
        <v>SUP-A</v>
      </c>
      <c r="F2555" s="3" t="n">
        <f aca="false">YEAR(A2555)*100+MONTH(A2555)</f>
        <v>202607</v>
      </c>
    </row>
    <row r="2556" customFormat="false" ht="15" hidden="false" customHeight="false" outlineLevel="0" collapsed="false">
      <c r="A2556" s="2" t="n">
        <v>46205</v>
      </c>
      <c r="B2556" s="3" t="s">
        <v>252</v>
      </c>
      <c r="C2556" s="0" t="n">
        <v>206</v>
      </c>
      <c r="D2556" s="0" t="n">
        <v>0</v>
      </c>
      <c r="E2556" s="0" t="str">
        <f aca="false">INDEX(lot!$B$2:$B$1201,MATCH(B2556,lot!$A$2:$A$1201,0))</f>
        <v>SUP-A</v>
      </c>
      <c r="F2556" s="3" t="n">
        <f aca="false">YEAR(A2556)*100+MONTH(A2556)</f>
        <v>202607</v>
      </c>
    </row>
    <row r="2557" customFormat="false" ht="15" hidden="false" customHeight="false" outlineLevel="0" collapsed="false">
      <c r="A2557" s="2" t="n">
        <v>46205</v>
      </c>
      <c r="B2557" s="3" t="s">
        <v>303</v>
      </c>
      <c r="C2557" s="0" t="n">
        <v>119</v>
      </c>
      <c r="D2557" s="0" t="n">
        <v>1</v>
      </c>
      <c r="E2557" s="0" t="str">
        <f aca="false">INDEX(lot!$B$2:$B$1201,MATCH(B2557,lot!$A$2:$A$1201,0))</f>
        <v>SUP-C</v>
      </c>
      <c r="F2557" s="3" t="n">
        <f aca="false">YEAR(A2557)*100+MONTH(A2557)</f>
        <v>202607</v>
      </c>
    </row>
    <row r="2558" customFormat="false" ht="15" hidden="false" customHeight="false" outlineLevel="0" collapsed="false">
      <c r="A2558" s="2" t="n">
        <v>46205</v>
      </c>
      <c r="B2558" s="3" t="s">
        <v>399</v>
      </c>
      <c r="C2558" s="0" t="n">
        <v>81</v>
      </c>
      <c r="D2558" s="0" t="n">
        <v>1</v>
      </c>
      <c r="E2558" s="0" t="str">
        <f aca="false">INDEX(lot!$B$2:$B$1201,MATCH(B2558,lot!$A$2:$A$1201,0))</f>
        <v>SUP-D</v>
      </c>
      <c r="F2558" s="3" t="n">
        <f aca="false">YEAR(A2558)*100+MONTH(A2558)</f>
        <v>202607</v>
      </c>
    </row>
    <row r="2559" customFormat="false" ht="15" hidden="false" customHeight="false" outlineLevel="0" collapsed="false">
      <c r="A2559" s="2" t="n">
        <v>46205</v>
      </c>
      <c r="B2559" s="3" t="s">
        <v>443</v>
      </c>
      <c r="C2559" s="0" t="n">
        <v>65</v>
      </c>
      <c r="D2559" s="0" t="n">
        <v>1</v>
      </c>
      <c r="E2559" s="0" t="str">
        <f aca="false">INDEX(lot!$B$2:$B$1201,MATCH(B2559,lot!$A$2:$A$1201,0))</f>
        <v>SUP-C</v>
      </c>
      <c r="F2559" s="3" t="n">
        <f aca="false">YEAR(A2559)*100+MONTH(A2559)</f>
        <v>202607</v>
      </c>
    </row>
    <row r="2560" customFormat="false" ht="15" hidden="false" customHeight="false" outlineLevel="0" collapsed="false">
      <c r="A2560" s="2" t="n">
        <v>46205</v>
      </c>
      <c r="B2560" s="3" t="s">
        <v>443</v>
      </c>
      <c r="C2560" s="0" t="n">
        <v>78</v>
      </c>
      <c r="D2560" s="0" t="n">
        <v>2</v>
      </c>
      <c r="E2560" s="0" t="str">
        <f aca="false">INDEX(lot!$B$2:$B$1201,MATCH(B2560,lot!$A$2:$A$1201,0))</f>
        <v>SUP-C</v>
      </c>
      <c r="F2560" s="3" t="n">
        <f aca="false">YEAR(A2560)*100+MONTH(A2560)</f>
        <v>202607</v>
      </c>
    </row>
    <row r="2561" customFormat="false" ht="15" hidden="false" customHeight="false" outlineLevel="0" collapsed="false">
      <c r="A2561" s="2" t="n">
        <v>46205</v>
      </c>
      <c r="B2561" s="3" t="s">
        <v>488</v>
      </c>
      <c r="C2561" s="0" t="n">
        <v>88</v>
      </c>
      <c r="D2561" s="0" t="n">
        <v>2</v>
      </c>
      <c r="E2561" s="0" t="str">
        <f aca="false">INDEX(lot!$B$2:$B$1201,MATCH(B2561,lot!$A$2:$A$1201,0))</f>
        <v>SUP-C</v>
      </c>
      <c r="F2561" s="3" t="n">
        <f aca="false">YEAR(A2561)*100+MONTH(A2561)</f>
        <v>202607</v>
      </c>
    </row>
    <row r="2562" customFormat="false" ht="15" hidden="false" customHeight="false" outlineLevel="0" collapsed="false">
      <c r="A2562" s="2" t="n">
        <v>46205</v>
      </c>
      <c r="B2562" s="3" t="s">
        <v>569</v>
      </c>
      <c r="C2562" s="0" t="n">
        <v>133</v>
      </c>
      <c r="D2562" s="0" t="n">
        <v>1</v>
      </c>
      <c r="E2562" s="0" t="str">
        <f aca="false">INDEX(lot!$B$2:$B$1201,MATCH(B2562,lot!$A$2:$A$1201,0))</f>
        <v>SUP-A</v>
      </c>
      <c r="F2562" s="3" t="n">
        <f aca="false">YEAR(A2562)*100+MONTH(A2562)</f>
        <v>202607</v>
      </c>
    </row>
    <row r="2563" customFormat="false" ht="15" hidden="false" customHeight="false" outlineLevel="0" collapsed="false">
      <c r="A2563" s="2" t="n">
        <v>46205</v>
      </c>
      <c r="B2563" s="3" t="s">
        <v>577</v>
      </c>
      <c r="C2563" s="0" t="n">
        <v>168</v>
      </c>
      <c r="D2563" s="0" t="n">
        <v>27</v>
      </c>
      <c r="E2563" s="0" t="str">
        <f aca="false">INDEX(lot!$B$2:$B$1201,MATCH(B2563,lot!$A$2:$A$1201,0))</f>
        <v>SUP-C</v>
      </c>
      <c r="F2563" s="3" t="n">
        <f aca="false">YEAR(A2563)*100+MONTH(A2563)</f>
        <v>202607</v>
      </c>
    </row>
    <row r="2564" customFormat="false" ht="15" hidden="false" customHeight="false" outlineLevel="0" collapsed="false">
      <c r="A2564" s="2" t="n">
        <v>46205</v>
      </c>
      <c r="B2564" s="3" t="s">
        <v>642</v>
      </c>
      <c r="C2564" s="0" t="n">
        <v>119</v>
      </c>
      <c r="D2564" s="0" t="n">
        <v>3</v>
      </c>
      <c r="E2564" s="0" t="str">
        <f aca="false">INDEX(lot!$B$2:$B$1201,MATCH(B2564,lot!$A$2:$A$1201,0))</f>
        <v>SUP-C</v>
      </c>
      <c r="F2564" s="3" t="n">
        <f aca="false">YEAR(A2564)*100+MONTH(A2564)</f>
        <v>202607</v>
      </c>
    </row>
    <row r="2565" customFormat="false" ht="15" hidden="false" customHeight="false" outlineLevel="0" collapsed="false">
      <c r="A2565" s="2" t="n">
        <v>46205</v>
      </c>
      <c r="B2565" s="3" t="s">
        <v>642</v>
      </c>
      <c r="C2565" s="0" t="n">
        <v>74</v>
      </c>
      <c r="D2565" s="0" t="n">
        <v>3</v>
      </c>
      <c r="E2565" s="0" t="str">
        <f aca="false">INDEX(lot!$B$2:$B$1201,MATCH(B2565,lot!$A$2:$A$1201,0))</f>
        <v>SUP-C</v>
      </c>
      <c r="F2565" s="3" t="n">
        <f aca="false">YEAR(A2565)*100+MONTH(A2565)</f>
        <v>202607</v>
      </c>
    </row>
    <row r="2566" customFormat="false" ht="15" hidden="false" customHeight="false" outlineLevel="0" collapsed="false">
      <c r="A2566" s="2" t="n">
        <v>46205</v>
      </c>
      <c r="B2566" s="3" t="s">
        <v>661</v>
      </c>
      <c r="C2566" s="0" t="n">
        <v>63</v>
      </c>
      <c r="D2566" s="0" t="n">
        <v>1</v>
      </c>
      <c r="E2566" s="0" t="str">
        <f aca="false">INDEX(lot!$B$2:$B$1201,MATCH(B2566,lot!$A$2:$A$1201,0))</f>
        <v>SUP-A</v>
      </c>
      <c r="F2566" s="3" t="n">
        <f aca="false">YEAR(A2566)*100+MONTH(A2566)</f>
        <v>202607</v>
      </c>
    </row>
    <row r="2567" customFormat="false" ht="15" hidden="false" customHeight="false" outlineLevel="0" collapsed="false">
      <c r="A2567" s="2" t="n">
        <v>46205</v>
      </c>
      <c r="B2567" s="3" t="s">
        <v>661</v>
      </c>
      <c r="C2567" s="0" t="n">
        <v>64</v>
      </c>
      <c r="D2567" s="0" t="n">
        <v>0</v>
      </c>
      <c r="E2567" s="0" t="str">
        <f aca="false">INDEX(lot!$B$2:$B$1201,MATCH(B2567,lot!$A$2:$A$1201,0))</f>
        <v>SUP-A</v>
      </c>
      <c r="F2567" s="3" t="n">
        <f aca="false">YEAR(A2567)*100+MONTH(A2567)</f>
        <v>202607</v>
      </c>
    </row>
    <row r="2568" customFormat="false" ht="15" hidden="false" customHeight="false" outlineLevel="0" collapsed="false">
      <c r="A2568" s="2" t="n">
        <v>46205</v>
      </c>
      <c r="B2568" s="3" t="s">
        <v>682</v>
      </c>
      <c r="C2568" s="0" t="n">
        <v>209</v>
      </c>
      <c r="D2568" s="0" t="n">
        <v>0</v>
      </c>
      <c r="E2568" s="0" t="str">
        <f aca="false">INDEX(lot!$B$2:$B$1201,MATCH(B2568,lot!$A$2:$A$1201,0))</f>
        <v>SUP-E</v>
      </c>
      <c r="F2568" s="3" t="n">
        <f aca="false">YEAR(A2568)*100+MONTH(A2568)</f>
        <v>202607</v>
      </c>
    </row>
    <row r="2569" customFormat="false" ht="15" hidden="false" customHeight="false" outlineLevel="0" collapsed="false">
      <c r="A2569" s="2" t="n">
        <v>46205</v>
      </c>
      <c r="B2569" s="3" t="s">
        <v>682</v>
      </c>
      <c r="C2569" s="0" t="n">
        <v>210</v>
      </c>
      <c r="D2569" s="0" t="n">
        <v>0</v>
      </c>
      <c r="E2569" s="0" t="str">
        <f aca="false">INDEX(lot!$B$2:$B$1201,MATCH(B2569,lot!$A$2:$A$1201,0))</f>
        <v>SUP-E</v>
      </c>
      <c r="F2569" s="3" t="n">
        <f aca="false">YEAR(A2569)*100+MONTH(A2569)</f>
        <v>202607</v>
      </c>
    </row>
    <row r="2570" customFormat="false" ht="15" hidden="false" customHeight="false" outlineLevel="0" collapsed="false">
      <c r="A2570" s="2" t="n">
        <v>46205</v>
      </c>
      <c r="B2570" s="3" t="s">
        <v>765</v>
      </c>
      <c r="C2570" s="0" t="n">
        <v>135</v>
      </c>
      <c r="D2570" s="0" t="n">
        <v>1</v>
      </c>
      <c r="E2570" s="0" t="str">
        <f aca="false">INDEX(lot!$B$2:$B$1201,MATCH(B2570,lot!$A$2:$A$1201,0))</f>
        <v>SUP-E</v>
      </c>
      <c r="F2570" s="3" t="n">
        <f aca="false">YEAR(A2570)*100+MONTH(A2570)</f>
        <v>202607</v>
      </c>
    </row>
    <row r="2571" customFormat="false" ht="15" hidden="false" customHeight="false" outlineLevel="0" collapsed="false">
      <c r="A2571" s="2" t="n">
        <v>46205</v>
      </c>
      <c r="B2571" s="3" t="s">
        <v>899</v>
      </c>
      <c r="C2571" s="0" t="n">
        <v>138</v>
      </c>
      <c r="D2571" s="0" t="n">
        <v>1</v>
      </c>
      <c r="E2571" s="0" t="str">
        <f aca="false">INDEX(lot!$B$2:$B$1201,MATCH(B2571,lot!$A$2:$A$1201,0))</f>
        <v>SUP-A</v>
      </c>
      <c r="F2571" s="3" t="n">
        <f aca="false">YEAR(A2571)*100+MONTH(A2571)</f>
        <v>202607</v>
      </c>
    </row>
    <row r="2572" customFormat="false" ht="15" hidden="false" customHeight="false" outlineLevel="0" collapsed="false">
      <c r="A2572" s="2" t="n">
        <v>46205</v>
      </c>
      <c r="B2572" s="3" t="s">
        <v>899</v>
      </c>
      <c r="C2572" s="0" t="n">
        <v>76</v>
      </c>
      <c r="D2572" s="0" t="n">
        <v>0</v>
      </c>
      <c r="E2572" s="0" t="str">
        <f aca="false">INDEX(lot!$B$2:$B$1201,MATCH(B2572,lot!$A$2:$A$1201,0))</f>
        <v>SUP-A</v>
      </c>
      <c r="F2572" s="3" t="n">
        <f aca="false">YEAR(A2572)*100+MONTH(A2572)</f>
        <v>202607</v>
      </c>
    </row>
    <row r="2573" customFormat="false" ht="15" hidden="false" customHeight="false" outlineLevel="0" collapsed="false">
      <c r="A2573" s="2" t="n">
        <v>46205</v>
      </c>
      <c r="B2573" s="3" t="s">
        <v>904</v>
      </c>
      <c r="C2573" s="0" t="n">
        <v>186</v>
      </c>
      <c r="D2573" s="0" t="n">
        <v>18</v>
      </c>
      <c r="E2573" s="0" t="str">
        <f aca="false">INDEX(lot!$B$2:$B$1201,MATCH(B2573,lot!$A$2:$A$1201,0))</f>
        <v>SUP-E</v>
      </c>
      <c r="F2573" s="3" t="n">
        <f aca="false">YEAR(A2573)*100+MONTH(A2573)</f>
        <v>202607</v>
      </c>
    </row>
    <row r="2574" customFormat="false" ht="15" hidden="false" customHeight="false" outlineLevel="0" collapsed="false">
      <c r="A2574" s="2" t="n">
        <v>46205</v>
      </c>
      <c r="B2574" s="3" t="s">
        <v>920</v>
      </c>
      <c r="C2574" s="0" t="n">
        <v>215</v>
      </c>
      <c r="D2574" s="0" t="n">
        <v>0</v>
      </c>
      <c r="E2574" s="0" t="str">
        <f aca="false">INDEX(lot!$B$2:$B$1201,MATCH(B2574,lot!$A$2:$A$1201,0))</f>
        <v>SUP-E</v>
      </c>
      <c r="F2574" s="3" t="n">
        <f aca="false">YEAR(A2574)*100+MONTH(A2574)</f>
        <v>202607</v>
      </c>
    </row>
    <row r="2575" customFormat="false" ht="15" hidden="false" customHeight="false" outlineLevel="0" collapsed="false">
      <c r="A2575" s="2" t="n">
        <v>46205</v>
      </c>
      <c r="B2575" s="3" t="s">
        <v>920</v>
      </c>
      <c r="C2575" s="0" t="n">
        <v>217</v>
      </c>
      <c r="D2575" s="0" t="n">
        <v>2</v>
      </c>
      <c r="E2575" s="0" t="str">
        <f aca="false">INDEX(lot!$B$2:$B$1201,MATCH(B2575,lot!$A$2:$A$1201,0))</f>
        <v>SUP-E</v>
      </c>
      <c r="F2575" s="3" t="n">
        <f aca="false">YEAR(A2575)*100+MONTH(A2575)</f>
        <v>202607</v>
      </c>
    </row>
    <row r="2576" customFormat="false" ht="15" hidden="false" customHeight="false" outlineLevel="0" collapsed="false">
      <c r="A2576" s="2" t="n">
        <v>46205</v>
      </c>
      <c r="B2576" s="3" t="s">
        <v>938</v>
      </c>
      <c r="C2576" s="0" t="n">
        <v>74</v>
      </c>
      <c r="D2576" s="0" t="n">
        <v>0</v>
      </c>
      <c r="E2576" s="0" t="str">
        <f aca="false">INDEX(lot!$B$2:$B$1201,MATCH(B2576,lot!$A$2:$A$1201,0))</f>
        <v>SUP-D</v>
      </c>
      <c r="F2576" s="3" t="n">
        <f aca="false">YEAR(A2576)*100+MONTH(A2576)</f>
        <v>202607</v>
      </c>
    </row>
    <row r="2577" customFormat="false" ht="15" hidden="false" customHeight="false" outlineLevel="0" collapsed="false">
      <c r="A2577" s="2" t="n">
        <v>46205</v>
      </c>
      <c r="B2577" s="3" t="s">
        <v>938</v>
      </c>
      <c r="C2577" s="0" t="n">
        <v>183</v>
      </c>
      <c r="D2577" s="0" t="n">
        <v>3</v>
      </c>
      <c r="E2577" s="0" t="str">
        <f aca="false">INDEX(lot!$B$2:$B$1201,MATCH(B2577,lot!$A$2:$A$1201,0))</f>
        <v>SUP-D</v>
      </c>
      <c r="F2577" s="3" t="n">
        <f aca="false">YEAR(A2577)*100+MONTH(A2577)</f>
        <v>202607</v>
      </c>
    </row>
    <row r="2578" customFormat="false" ht="15" hidden="false" customHeight="false" outlineLevel="0" collapsed="false">
      <c r="A2578" s="2" t="n">
        <v>46205</v>
      </c>
      <c r="B2578" s="3" t="s">
        <v>941</v>
      </c>
      <c r="C2578" s="0" t="n">
        <v>112</v>
      </c>
      <c r="D2578" s="0" t="n">
        <v>3</v>
      </c>
      <c r="E2578" s="0" t="str">
        <f aca="false">INDEX(lot!$B$2:$B$1201,MATCH(B2578,lot!$A$2:$A$1201,0))</f>
        <v>SUP-C</v>
      </c>
      <c r="F2578" s="3" t="n">
        <f aca="false">YEAR(A2578)*100+MONTH(A2578)</f>
        <v>202607</v>
      </c>
    </row>
    <row r="2579" customFormat="false" ht="15" hidden="false" customHeight="false" outlineLevel="0" collapsed="false">
      <c r="A2579" s="2" t="n">
        <v>46205</v>
      </c>
      <c r="B2579" s="3" t="s">
        <v>941</v>
      </c>
      <c r="C2579" s="0" t="n">
        <v>94</v>
      </c>
      <c r="D2579" s="0" t="n">
        <v>3</v>
      </c>
      <c r="E2579" s="0" t="str">
        <f aca="false">INDEX(lot!$B$2:$B$1201,MATCH(B2579,lot!$A$2:$A$1201,0))</f>
        <v>SUP-C</v>
      </c>
      <c r="F2579" s="3" t="n">
        <f aca="false">YEAR(A2579)*100+MONTH(A2579)</f>
        <v>202607</v>
      </c>
    </row>
    <row r="2580" customFormat="false" ht="15" hidden="false" customHeight="false" outlineLevel="0" collapsed="false">
      <c r="A2580" s="2" t="n">
        <v>46205</v>
      </c>
      <c r="B2580" s="3" t="s">
        <v>1032</v>
      </c>
      <c r="C2580" s="0" t="n">
        <v>177</v>
      </c>
      <c r="D2580" s="0" t="n">
        <v>7</v>
      </c>
      <c r="E2580" s="0" t="str">
        <f aca="false">INDEX(lot!$B$2:$B$1201,MATCH(B2580,lot!$A$2:$A$1201,0))</f>
        <v>SUP-C</v>
      </c>
      <c r="F2580" s="3" t="n">
        <f aca="false">YEAR(A2580)*100+MONTH(A2580)</f>
        <v>202607</v>
      </c>
    </row>
    <row r="2581" customFormat="false" ht="15" hidden="false" customHeight="false" outlineLevel="0" collapsed="false">
      <c r="A2581" s="2" t="n">
        <v>46205</v>
      </c>
      <c r="B2581" s="3" t="s">
        <v>1064</v>
      </c>
      <c r="C2581" s="0" t="n">
        <v>211</v>
      </c>
      <c r="D2581" s="0" t="n">
        <v>6</v>
      </c>
      <c r="E2581" s="0" t="str">
        <f aca="false">INDEX(lot!$B$2:$B$1201,MATCH(B2581,lot!$A$2:$A$1201,0))</f>
        <v>SUP-C</v>
      </c>
      <c r="F2581" s="3" t="n">
        <f aca="false">YEAR(A2581)*100+MONTH(A2581)</f>
        <v>202607</v>
      </c>
    </row>
    <row r="2582" customFormat="false" ht="15" hidden="false" customHeight="false" outlineLevel="0" collapsed="false">
      <c r="A2582" s="2" t="n">
        <v>46205</v>
      </c>
      <c r="B2582" s="3" t="s">
        <v>1064</v>
      </c>
      <c r="C2582" s="0" t="n">
        <v>105</v>
      </c>
      <c r="D2582" s="0" t="n">
        <v>4</v>
      </c>
      <c r="E2582" s="0" t="str">
        <f aca="false">INDEX(lot!$B$2:$B$1201,MATCH(B2582,lot!$A$2:$A$1201,0))</f>
        <v>SUP-C</v>
      </c>
      <c r="F2582" s="3" t="n">
        <f aca="false">YEAR(A2582)*100+MONTH(A2582)</f>
        <v>202607</v>
      </c>
    </row>
    <row r="2583" customFormat="false" ht="15" hidden="false" customHeight="false" outlineLevel="0" collapsed="false">
      <c r="A2583" s="2" t="n">
        <v>46205</v>
      </c>
      <c r="B2583" s="3" t="s">
        <v>1110</v>
      </c>
      <c r="C2583" s="0" t="n">
        <v>95</v>
      </c>
      <c r="D2583" s="0" t="n">
        <v>3</v>
      </c>
      <c r="E2583" s="0" t="str">
        <f aca="false">INDEX(lot!$B$2:$B$1201,MATCH(B2583,lot!$A$2:$A$1201,0))</f>
        <v>SUP-D</v>
      </c>
      <c r="F2583" s="3" t="n">
        <f aca="false">YEAR(A2583)*100+MONTH(A2583)</f>
        <v>202607</v>
      </c>
    </row>
    <row r="2584" customFormat="false" ht="15" hidden="false" customHeight="false" outlineLevel="0" collapsed="false">
      <c r="A2584" s="2" t="n">
        <v>46205</v>
      </c>
      <c r="B2584" s="3" t="s">
        <v>1110</v>
      </c>
      <c r="C2584" s="0" t="n">
        <v>207</v>
      </c>
      <c r="D2584" s="0" t="n">
        <v>7</v>
      </c>
      <c r="E2584" s="0" t="str">
        <f aca="false">INDEX(lot!$B$2:$B$1201,MATCH(B2584,lot!$A$2:$A$1201,0))</f>
        <v>SUP-D</v>
      </c>
      <c r="F2584" s="3" t="n">
        <f aca="false">YEAR(A2584)*100+MONTH(A2584)</f>
        <v>202607</v>
      </c>
    </row>
    <row r="2585" customFormat="false" ht="15" hidden="false" customHeight="false" outlineLevel="0" collapsed="false">
      <c r="A2585" s="2" t="n">
        <v>46205</v>
      </c>
      <c r="B2585" s="3" t="s">
        <v>1141</v>
      </c>
      <c r="C2585" s="0" t="n">
        <v>110</v>
      </c>
      <c r="D2585" s="0" t="n">
        <v>1</v>
      </c>
      <c r="E2585" s="0" t="str">
        <f aca="false">INDEX(lot!$B$2:$B$1201,MATCH(B2585,lot!$A$2:$A$1201,0))</f>
        <v>SUP-D</v>
      </c>
      <c r="F2585" s="3" t="n">
        <f aca="false">YEAR(A2585)*100+MONTH(A2585)</f>
        <v>202607</v>
      </c>
    </row>
    <row r="2586" customFormat="false" ht="15" hidden="false" customHeight="false" outlineLevel="0" collapsed="false">
      <c r="A2586" s="2" t="n">
        <v>46206</v>
      </c>
      <c r="B2586" s="3" t="s">
        <v>59</v>
      </c>
      <c r="C2586" s="0" t="n">
        <v>213</v>
      </c>
      <c r="D2586" s="0" t="n">
        <v>0</v>
      </c>
      <c r="E2586" s="0" t="str">
        <f aca="false">INDEX(lot!$B$2:$B$1201,MATCH(B2586,lot!$A$2:$A$1201,0))</f>
        <v>SUP-A</v>
      </c>
      <c r="F2586" s="3" t="n">
        <f aca="false">YEAR(A2586)*100+MONTH(A2586)</f>
        <v>202607</v>
      </c>
    </row>
    <row r="2587" customFormat="false" ht="15" hidden="false" customHeight="false" outlineLevel="0" collapsed="false">
      <c r="A2587" s="2" t="n">
        <v>46206</v>
      </c>
      <c r="B2587" s="3" t="s">
        <v>59</v>
      </c>
      <c r="C2587" s="0" t="n">
        <v>183</v>
      </c>
      <c r="D2587" s="0" t="n">
        <v>0</v>
      </c>
      <c r="E2587" s="0" t="str">
        <f aca="false">INDEX(lot!$B$2:$B$1201,MATCH(B2587,lot!$A$2:$A$1201,0))</f>
        <v>SUP-A</v>
      </c>
      <c r="F2587" s="3" t="n">
        <f aca="false">YEAR(A2587)*100+MONTH(A2587)</f>
        <v>202607</v>
      </c>
    </row>
    <row r="2588" customFormat="false" ht="15" hidden="false" customHeight="false" outlineLevel="0" collapsed="false">
      <c r="A2588" s="2" t="n">
        <v>46206</v>
      </c>
      <c r="B2588" s="3" t="s">
        <v>179</v>
      </c>
      <c r="C2588" s="0" t="n">
        <v>72</v>
      </c>
      <c r="D2588" s="0" t="n">
        <v>1</v>
      </c>
      <c r="E2588" s="0" t="str">
        <f aca="false">INDEX(lot!$B$2:$B$1201,MATCH(B2588,lot!$A$2:$A$1201,0))</f>
        <v>SUP-D</v>
      </c>
      <c r="F2588" s="3" t="n">
        <f aca="false">YEAR(A2588)*100+MONTH(A2588)</f>
        <v>202607</v>
      </c>
    </row>
    <row r="2589" customFormat="false" ht="15" hidden="false" customHeight="false" outlineLevel="0" collapsed="false">
      <c r="A2589" s="2" t="n">
        <v>46206</v>
      </c>
      <c r="B2589" s="3" t="s">
        <v>182</v>
      </c>
      <c r="C2589" s="0" t="n">
        <v>190</v>
      </c>
      <c r="D2589" s="0" t="n">
        <v>1</v>
      </c>
      <c r="E2589" s="0" t="str">
        <f aca="false">INDEX(lot!$B$2:$B$1201,MATCH(B2589,lot!$A$2:$A$1201,0))</f>
        <v>SUP-D</v>
      </c>
      <c r="F2589" s="3" t="n">
        <f aca="false">YEAR(A2589)*100+MONTH(A2589)</f>
        <v>202607</v>
      </c>
    </row>
    <row r="2590" customFormat="false" ht="15" hidden="false" customHeight="false" outlineLevel="0" collapsed="false">
      <c r="A2590" s="2" t="n">
        <v>46206</v>
      </c>
      <c r="B2590" s="3" t="s">
        <v>231</v>
      </c>
      <c r="C2590" s="0" t="n">
        <v>223</v>
      </c>
      <c r="D2590" s="0" t="n">
        <v>6</v>
      </c>
      <c r="E2590" s="0" t="str">
        <f aca="false">INDEX(lot!$B$2:$B$1201,MATCH(B2590,lot!$A$2:$A$1201,0))</f>
        <v>SUP-C</v>
      </c>
      <c r="F2590" s="3" t="n">
        <f aca="false">YEAR(A2590)*100+MONTH(A2590)</f>
        <v>202607</v>
      </c>
    </row>
    <row r="2591" customFormat="false" ht="15" hidden="false" customHeight="false" outlineLevel="0" collapsed="false">
      <c r="A2591" s="2" t="n">
        <v>46206</v>
      </c>
      <c r="B2591" s="3" t="s">
        <v>263</v>
      </c>
      <c r="C2591" s="0" t="n">
        <v>197</v>
      </c>
      <c r="D2591" s="0" t="n">
        <v>3</v>
      </c>
      <c r="E2591" s="0" t="str">
        <f aca="false">INDEX(lot!$B$2:$B$1201,MATCH(B2591,lot!$A$2:$A$1201,0))</f>
        <v>SUP-E</v>
      </c>
      <c r="F2591" s="3" t="n">
        <f aca="false">YEAR(A2591)*100+MONTH(A2591)</f>
        <v>202607</v>
      </c>
    </row>
    <row r="2592" customFormat="false" ht="15" hidden="false" customHeight="false" outlineLevel="0" collapsed="false">
      <c r="A2592" s="2" t="n">
        <v>46206</v>
      </c>
      <c r="B2592" s="3" t="s">
        <v>303</v>
      </c>
      <c r="C2592" s="0" t="n">
        <v>186</v>
      </c>
      <c r="D2592" s="0" t="n">
        <v>5</v>
      </c>
      <c r="E2592" s="0" t="str">
        <f aca="false">INDEX(lot!$B$2:$B$1201,MATCH(B2592,lot!$A$2:$A$1201,0))</f>
        <v>SUP-C</v>
      </c>
      <c r="F2592" s="3" t="n">
        <f aca="false">YEAR(A2592)*100+MONTH(A2592)</f>
        <v>202607</v>
      </c>
    </row>
    <row r="2593" customFormat="false" ht="15" hidden="false" customHeight="false" outlineLevel="0" collapsed="false">
      <c r="A2593" s="2" t="n">
        <v>46206</v>
      </c>
      <c r="B2593" s="3" t="s">
        <v>384</v>
      </c>
      <c r="C2593" s="0" t="n">
        <v>251</v>
      </c>
      <c r="D2593" s="0" t="n">
        <v>18</v>
      </c>
      <c r="E2593" s="0" t="str">
        <f aca="false">INDEX(lot!$B$2:$B$1201,MATCH(B2593,lot!$A$2:$A$1201,0))</f>
        <v>SUP-E</v>
      </c>
      <c r="F2593" s="3" t="n">
        <f aca="false">YEAR(A2593)*100+MONTH(A2593)</f>
        <v>202607</v>
      </c>
    </row>
    <row r="2594" customFormat="false" ht="15" hidden="false" customHeight="false" outlineLevel="0" collapsed="false">
      <c r="A2594" s="2" t="n">
        <v>46206</v>
      </c>
      <c r="B2594" s="3" t="s">
        <v>384</v>
      </c>
      <c r="C2594" s="0" t="n">
        <v>189</v>
      </c>
      <c r="D2594" s="0" t="n">
        <v>10</v>
      </c>
      <c r="E2594" s="0" t="str">
        <f aca="false">INDEX(lot!$B$2:$B$1201,MATCH(B2594,lot!$A$2:$A$1201,0))</f>
        <v>SUP-E</v>
      </c>
      <c r="F2594" s="3" t="n">
        <f aca="false">YEAR(A2594)*100+MONTH(A2594)</f>
        <v>202607</v>
      </c>
    </row>
    <row r="2595" customFormat="false" ht="15" hidden="false" customHeight="false" outlineLevel="0" collapsed="false">
      <c r="A2595" s="2" t="n">
        <v>46206</v>
      </c>
      <c r="B2595" s="3" t="s">
        <v>399</v>
      </c>
      <c r="C2595" s="0" t="n">
        <v>95</v>
      </c>
      <c r="D2595" s="0" t="n">
        <v>1</v>
      </c>
      <c r="E2595" s="0" t="str">
        <f aca="false">INDEX(lot!$B$2:$B$1201,MATCH(B2595,lot!$A$2:$A$1201,0))</f>
        <v>SUP-D</v>
      </c>
      <c r="F2595" s="3" t="n">
        <f aca="false">YEAR(A2595)*100+MONTH(A2595)</f>
        <v>202607</v>
      </c>
    </row>
    <row r="2596" customFormat="false" ht="15" hidden="false" customHeight="false" outlineLevel="0" collapsed="false">
      <c r="A2596" s="2" t="n">
        <v>46206</v>
      </c>
      <c r="B2596" s="3" t="s">
        <v>399</v>
      </c>
      <c r="C2596" s="0" t="n">
        <v>150</v>
      </c>
      <c r="D2596" s="0" t="n">
        <v>0</v>
      </c>
      <c r="E2596" s="0" t="str">
        <f aca="false">INDEX(lot!$B$2:$B$1201,MATCH(B2596,lot!$A$2:$A$1201,0))</f>
        <v>SUP-D</v>
      </c>
      <c r="F2596" s="3" t="n">
        <f aca="false">YEAR(A2596)*100+MONTH(A2596)</f>
        <v>202607</v>
      </c>
    </row>
    <row r="2597" customFormat="false" ht="15" hidden="false" customHeight="false" outlineLevel="0" collapsed="false">
      <c r="A2597" s="2" t="n">
        <v>46206</v>
      </c>
      <c r="B2597" s="3" t="s">
        <v>443</v>
      </c>
      <c r="C2597" s="0" t="n">
        <v>182</v>
      </c>
      <c r="D2597" s="0" t="n">
        <v>4</v>
      </c>
      <c r="E2597" s="0" t="str">
        <f aca="false">INDEX(lot!$B$2:$B$1201,MATCH(B2597,lot!$A$2:$A$1201,0))</f>
        <v>SUP-C</v>
      </c>
      <c r="F2597" s="3" t="n">
        <f aca="false">YEAR(A2597)*100+MONTH(A2597)</f>
        <v>202607</v>
      </c>
    </row>
    <row r="2598" customFormat="false" ht="15" hidden="false" customHeight="false" outlineLevel="0" collapsed="false">
      <c r="A2598" s="2" t="n">
        <v>46206</v>
      </c>
      <c r="B2598" s="3" t="s">
        <v>501</v>
      </c>
      <c r="C2598" s="0" t="n">
        <v>125</v>
      </c>
      <c r="D2598" s="0" t="n">
        <v>2</v>
      </c>
      <c r="E2598" s="0" t="str">
        <f aca="false">INDEX(lot!$B$2:$B$1201,MATCH(B2598,lot!$A$2:$A$1201,0))</f>
        <v>SUP-A</v>
      </c>
      <c r="F2598" s="3" t="n">
        <f aca="false">YEAR(A2598)*100+MONTH(A2598)</f>
        <v>202607</v>
      </c>
    </row>
    <row r="2599" customFormat="false" ht="15" hidden="false" customHeight="false" outlineLevel="0" collapsed="false">
      <c r="A2599" s="2" t="n">
        <v>46206</v>
      </c>
      <c r="B2599" s="3" t="s">
        <v>569</v>
      </c>
      <c r="C2599" s="0" t="n">
        <v>213</v>
      </c>
      <c r="D2599" s="0" t="n">
        <v>1</v>
      </c>
      <c r="E2599" s="0" t="str">
        <f aca="false">INDEX(lot!$B$2:$B$1201,MATCH(B2599,lot!$A$2:$A$1201,0))</f>
        <v>SUP-A</v>
      </c>
      <c r="F2599" s="3" t="n">
        <f aca="false">YEAR(A2599)*100+MONTH(A2599)</f>
        <v>202607</v>
      </c>
    </row>
    <row r="2600" customFormat="false" ht="15" hidden="false" customHeight="false" outlineLevel="0" collapsed="false">
      <c r="A2600" s="2" t="n">
        <v>46206</v>
      </c>
      <c r="B2600" s="3" t="s">
        <v>569</v>
      </c>
      <c r="C2600" s="0" t="n">
        <v>129</v>
      </c>
      <c r="D2600" s="0" t="n">
        <v>0</v>
      </c>
      <c r="E2600" s="0" t="str">
        <f aca="false">INDEX(lot!$B$2:$B$1201,MATCH(B2600,lot!$A$2:$A$1201,0))</f>
        <v>SUP-A</v>
      </c>
      <c r="F2600" s="3" t="n">
        <f aca="false">YEAR(A2600)*100+MONTH(A2600)</f>
        <v>202607</v>
      </c>
    </row>
    <row r="2601" customFormat="false" ht="15" hidden="false" customHeight="false" outlineLevel="0" collapsed="false">
      <c r="A2601" s="2" t="n">
        <v>46206</v>
      </c>
      <c r="B2601" s="3" t="s">
        <v>577</v>
      </c>
      <c r="C2601" s="0" t="n">
        <v>244</v>
      </c>
      <c r="D2601" s="0" t="n">
        <v>42</v>
      </c>
      <c r="E2601" s="0" t="str">
        <f aca="false">INDEX(lot!$B$2:$B$1201,MATCH(B2601,lot!$A$2:$A$1201,0))</f>
        <v>SUP-C</v>
      </c>
      <c r="F2601" s="3" t="n">
        <f aca="false">YEAR(A2601)*100+MONTH(A2601)</f>
        <v>202607</v>
      </c>
    </row>
    <row r="2602" customFormat="false" ht="15" hidden="false" customHeight="false" outlineLevel="0" collapsed="false">
      <c r="A2602" s="2" t="n">
        <v>46206</v>
      </c>
      <c r="B2602" s="3" t="s">
        <v>642</v>
      </c>
      <c r="C2602" s="0" t="n">
        <v>75</v>
      </c>
      <c r="D2602" s="0" t="n">
        <v>2</v>
      </c>
      <c r="E2602" s="0" t="str">
        <f aca="false">INDEX(lot!$B$2:$B$1201,MATCH(B2602,lot!$A$2:$A$1201,0))</f>
        <v>SUP-C</v>
      </c>
      <c r="F2602" s="3" t="n">
        <f aca="false">YEAR(A2602)*100+MONTH(A2602)</f>
        <v>202607</v>
      </c>
    </row>
    <row r="2603" customFormat="false" ht="15" hidden="false" customHeight="false" outlineLevel="0" collapsed="false">
      <c r="A2603" s="2" t="n">
        <v>46206</v>
      </c>
      <c r="B2603" s="3" t="s">
        <v>661</v>
      </c>
      <c r="C2603" s="0" t="n">
        <v>171</v>
      </c>
      <c r="D2603" s="0" t="n">
        <v>3</v>
      </c>
      <c r="E2603" s="0" t="str">
        <f aca="false">INDEX(lot!$B$2:$B$1201,MATCH(B2603,lot!$A$2:$A$1201,0))</f>
        <v>SUP-A</v>
      </c>
      <c r="F2603" s="3" t="n">
        <f aca="false">YEAR(A2603)*100+MONTH(A2603)</f>
        <v>202607</v>
      </c>
    </row>
    <row r="2604" customFormat="false" ht="15" hidden="false" customHeight="false" outlineLevel="0" collapsed="false">
      <c r="A2604" s="2" t="n">
        <v>46206</v>
      </c>
      <c r="B2604" s="3" t="s">
        <v>679</v>
      </c>
      <c r="C2604" s="0" t="n">
        <v>149</v>
      </c>
      <c r="D2604" s="0" t="n">
        <v>0</v>
      </c>
      <c r="E2604" s="0" t="str">
        <f aca="false">INDEX(lot!$B$2:$B$1201,MATCH(B2604,lot!$A$2:$A$1201,0))</f>
        <v>SUP-E</v>
      </c>
      <c r="F2604" s="3" t="n">
        <f aca="false">YEAR(A2604)*100+MONTH(A2604)</f>
        <v>202607</v>
      </c>
    </row>
    <row r="2605" customFormat="false" ht="15" hidden="false" customHeight="false" outlineLevel="0" collapsed="false">
      <c r="A2605" s="2" t="n">
        <v>46206</v>
      </c>
      <c r="B2605" s="3" t="s">
        <v>679</v>
      </c>
      <c r="C2605" s="0" t="n">
        <v>101</v>
      </c>
      <c r="D2605" s="0" t="n">
        <v>0</v>
      </c>
      <c r="E2605" s="0" t="str">
        <f aca="false">INDEX(lot!$B$2:$B$1201,MATCH(B2605,lot!$A$2:$A$1201,0))</f>
        <v>SUP-E</v>
      </c>
      <c r="F2605" s="3" t="n">
        <f aca="false">YEAR(A2605)*100+MONTH(A2605)</f>
        <v>202607</v>
      </c>
    </row>
    <row r="2606" customFormat="false" ht="15" hidden="false" customHeight="false" outlineLevel="0" collapsed="false">
      <c r="A2606" s="2" t="n">
        <v>46206</v>
      </c>
      <c r="B2606" s="3" t="s">
        <v>682</v>
      </c>
      <c r="C2606" s="0" t="n">
        <v>161</v>
      </c>
      <c r="D2606" s="0" t="n">
        <v>1</v>
      </c>
      <c r="E2606" s="0" t="str">
        <f aca="false">INDEX(lot!$B$2:$B$1201,MATCH(B2606,lot!$A$2:$A$1201,0))</f>
        <v>SUP-E</v>
      </c>
      <c r="F2606" s="3" t="n">
        <f aca="false">YEAR(A2606)*100+MONTH(A2606)</f>
        <v>202607</v>
      </c>
    </row>
    <row r="2607" customFormat="false" ht="15" hidden="false" customHeight="false" outlineLevel="0" collapsed="false">
      <c r="A2607" s="2" t="n">
        <v>46206</v>
      </c>
      <c r="B2607" s="3" t="s">
        <v>682</v>
      </c>
      <c r="C2607" s="0" t="n">
        <v>81</v>
      </c>
      <c r="D2607" s="0" t="n">
        <v>1</v>
      </c>
      <c r="E2607" s="0" t="str">
        <f aca="false">INDEX(lot!$B$2:$B$1201,MATCH(B2607,lot!$A$2:$A$1201,0))</f>
        <v>SUP-E</v>
      </c>
      <c r="F2607" s="3" t="n">
        <f aca="false">YEAR(A2607)*100+MONTH(A2607)</f>
        <v>202607</v>
      </c>
    </row>
    <row r="2608" customFormat="false" ht="15" hidden="false" customHeight="false" outlineLevel="0" collapsed="false">
      <c r="A2608" s="2" t="n">
        <v>46206</v>
      </c>
      <c r="B2608" s="3" t="s">
        <v>848</v>
      </c>
      <c r="C2608" s="0" t="n">
        <v>77</v>
      </c>
      <c r="D2608" s="0" t="n">
        <v>1</v>
      </c>
      <c r="E2608" s="0" t="str">
        <f aca="false">INDEX(lot!$B$2:$B$1201,MATCH(B2608,lot!$A$2:$A$1201,0))</f>
        <v>SUP-D</v>
      </c>
      <c r="F2608" s="3" t="n">
        <f aca="false">YEAR(A2608)*100+MONTH(A2608)</f>
        <v>202607</v>
      </c>
    </row>
    <row r="2609" customFormat="false" ht="15" hidden="false" customHeight="false" outlineLevel="0" collapsed="false">
      <c r="A2609" s="2" t="n">
        <v>46206</v>
      </c>
      <c r="B2609" s="3" t="s">
        <v>875</v>
      </c>
      <c r="C2609" s="0" t="n">
        <v>158</v>
      </c>
      <c r="D2609" s="0" t="n">
        <v>2</v>
      </c>
      <c r="E2609" s="0" t="str">
        <f aca="false">INDEX(lot!$B$2:$B$1201,MATCH(B2609,lot!$A$2:$A$1201,0))</f>
        <v>SUP-D</v>
      </c>
      <c r="F2609" s="3" t="n">
        <f aca="false">YEAR(A2609)*100+MONTH(A2609)</f>
        <v>202607</v>
      </c>
    </row>
    <row r="2610" customFormat="false" ht="15" hidden="false" customHeight="false" outlineLevel="0" collapsed="false">
      <c r="A2610" s="2" t="n">
        <v>46206</v>
      </c>
      <c r="B2610" s="3" t="s">
        <v>875</v>
      </c>
      <c r="C2610" s="0" t="n">
        <v>226</v>
      </c>
      <c r="D2610" s="0" t="n">
        <v>2</v>
      </c>
      <c r="E2610" s="0" t="str">
        <f aca="false">INDEX(lot!$B$2:$B$1201,MATCH(B2610,lot!$A$2:$A$1201,0))</f>
        <v>SUP-D</v>
      </c>
      <c r="F2610" s="3" t="n">
        <f aca="false">YEAR(A2610)*100+MONTH(A2610)</f>
        <v>202607</v>
      </c>
    </row>
    <row r="2611" customFormat="false" ht="15" hidden="false" customHeight="false" outlineLevel="0" collapsed="false">
      <c r="A2611" s="2" t="n">
        <v>46206</v>
      </c>
      <c r="B2611" s="3" t="s">
        <v>920</v>
      </c>
      <c r="C2611" s="0" t="n">
        <v>140</v>
      </c>
      <c r="D2611" s="0" t="n">
        <v>0</v>
      </c>
      <c r="E2611" s="0" t="str">
        <f aca="false">INDEX(lot!$B$2:$B$1201,MATCH(B2611,lot!$A$2:$A$1201,0))</f>
        <v>SUP-E</v>
      </c>
      <c r="F2611" s="3" t="n">
        <f aca="false">YEAR(A2611)*100+MONTH(A2611)</f>
        <v>202607</v>
      </c>
    </row>
    <row r="2612" customFormat="false" ht="15" hidden="false" customHeight="false" outlineLevel="0" collapsed="false">
      <c r="A2612" s="2" t="n">
        <v>46206</v>
      </c>
      <c r="B2612" s="3" t="s">
        <v>920</v>
      </c>
      <c r="C2612" s="0" t="n">
        <v>152</v>
      </c>
      <c r="D2612" s="0" t="n">
        <v>1</v>
      </c>
      <c r="E2612" s="0" t="str">
        <f aca="false">INDEX(lot!$B$2:$B$1201,MATCH(B2612,lot!$A$2:$A$1201,0))</f>
        <v>SUP-E</v>
      </c>
      <c r="F2612" s="3" t="n">
        <f aca="false">YEAR(A2612)*100+MONTH(A2612)</f>
        <v>202607</v>
      </c>
    </row>
    <row r="2613" customFormat="false" ht="15" hidden="false" customHeight="false" outlineLevel="0" collapsed="false">
      <c r="A2613" s="2" t="n">
        <v>46206</v>
      </c>
      <c r="B2613" s="3" t="s">
        <v>938</v>
      </c>
      <c r="C2613" s="0" t="n">
        <v>235</v>
      </c>
      <c r="D2613" s="0" t="n">
        <v>5</v>
      </c>
      <c r="E2613" s="0" t="str">
        <f aca="false">INDEX(lot!$B$2:$B$1201,MATCH(B2613,lot!$A$2:$A$1201,0))</f>
        <v>SUP-D</v>
      </c>
      <c r="F2613" s="3" t="n">
        <f aca="false">YEAR(A2613)*100+MONTH(A2613)</f>
        <v>202607</v>
      </c>
    </row>
    <row r="2614" customFormat="false" ht="15" hidden="false" customHeight="false" outlineLevel="0" collapsed="false">
      <c r="A2614" s="2" t="n">
        <v>46206</v>
      </c>
      <c r="B2614" s="3" t="s">
        <v>938</v>
      </c>
      <c r="C2614" s="0" t="n">
        <v>249</v>
      </c>
      <c r="D2614" s="0" t="n">
        <v>3</v>
      </c>
      <c r="E2614" s="0" t="str">
        <f aca="false">INDEX(lot!$B$2:$B$1201,MATCH(B2614,lot!$A$2:$A$1201,0))</f>
        <v>SUP-D</v>
      </c>
      <c r="F2614" s="3" t="n">
        <f aca="false">YEAR(A2614)*100+MONTH(A2614)</f>
        <v>202607</v>
      </c>
    </row>
    <row r="2615" customFormat="false" ht="15" hidden="false" customHeight="false" outlineLevel="0" collapsed="false">
      <c r="A2615" s="2" t="n">
        <v>46206</v>
      </c>
      <c r="B2615" s="3" t="s">
        <v>1076</v>
      </c>
      <c r="C2615" s="0" t="n">
        <v>219</v>
      </c>
      <c r="D2615" s="0" t="n">
        <v>2</v>
      </c>
      <c r="E2615" s="0" t="str">
        <f aca="false">INDEX(lot!$B$2:$B$1201,MATCH(B2615,lot!$A$2:$A$1201,0))</f>
        <v>SUP-D</v>
      </c>
      <c r="F2615" s="3" t="n">
        <f aca="false">YEAR(A2615)*100+MONTH(A2615)</f>
        <v>202607</v>
      </c>
    </row>
    <row r="2616" customFormat="false" ht="15" hidden="false" customHeight="false" outlineLevel="0" collapsed="false">
      <c r="A2616" s="2" t="n">
        <v>46206</v>
      </c>
      <c r="B2616" s="3" t="s">
        <v>1076</v>
      </c>
      <c r="C2616" s="0" t="n">
        <v>136</v>
      </c>
      <c r="D2616" s="0" t="n">
        <v>1</v>
      </c>
      <c r="E2616" s="0" t="str">
        <f aca="false">INDEX(lot!$B$2:$B$1201,MATCH(B2616,lot!$A$2:$A$1201,0))</f>
        <v>SUP-D</v>
      </c>
      <c r="F2616" s="3" t="n">
        <f aca="false">YEAR(A2616)*100+MONTH(A2616)</f>
        <v>202607</v>
      </c>
    </row>
    <row r="2617" customFormat="false" ht="15" hidden="false" customHeight="false" outlineLevel="0" collapsed="false">
      <c r="A2617" s="2" t="n">
        <v>46206</v>
      </c>
      <c r="B2617" s="3" t="s">
        <v>1104</v>
      </c>
      <c r="C2617" s="0" t="n">
        <v>65</v>
      </c>
      <c r="D2617" s="0" t="n">
        <v>0</v>
      </c>
      <c r="E2617" s="0" t="str">
        <f aca="false">INDEX(lot!$B$2:$B$1201,MATCH(B2617,lot!$A$2:$A$1201,0))</f>
        <v>SUP-E</v>
      </c>
      <c r="F2617" s="3" t="n">
        <f aca="false">YEAR(A2617)*100+MONTH(A2617)</f>
        <v>202607</v>
      </c>
    </row>
    <row r="2618" customFormat="false" ht="15" hidden="false" customHeight="false" outlineLevel="0" collapsed="false">
      <c r="A2618" s="2" t="n">
        <v>46206</v>
      </c>
      <c r="B2618" s="3" t="s">
        <v>1104</v>
      </c>
      <c r="C2618" s="0" t="n">
        <v>142</v>
      </c>
      <c r="D2618" s="0" t="n">
        <v>0</v>
      </c>
      <c r="E2618" s="0" t="str">
        <f aca="false">INDEX(lot!$B$2:$B$1201,MATCH(B2618,lot!$A$2:$A$1201,0))</f>
        <v>SUP-E</v>
      </c>
      <c r="F2618" s="3" t="n">
        <f aca="false">YEAR(A2618)*100+MONTH(A2618)</f>
        <v>202607</v>
      </c>
    </row>
    <row r="2619" customFormat="false" ht="15" hidden="false" customHeight="false" outlineLevel="0" collapsed="false">
      <c r="A2619" s="2" t="n">
        <v>46209</v>
      </c>
      <c r="B2619" s="3" t="s">
        <v>59</v>
      </c>
      <c r="C2619" s="0" t="n">
        <v>66</v>
      </c>
      <c r="D2619" s="0" t="n">
        <v>4</v>
      </c>
      <c r="E2619" s="0" t="str">
        <f aca="false">INDEX(lot!$B$2:$B$1201,MATCH(B2619,lot!$A$2:$A$1201,0))</f>
        <v>SUP-A</v>
      </c>
      <c r="F2619" s="3" t="n">
        <f aca="false">YEAR(A2619)*100+MONTH(A2619)</f>
        <v>202607</v>
      </c>
    </row>
    <row r="2620" customFormat="false" ht="15" hidden="false" customHeight="false" outlineLevel="0" collapsed="false">
      <c r="A2620" s="2" t="n">
        <v>46209</v>
      </c>
      <c r="B2620" s="3" t="s">
        <v>231</v>
      </c>
      <c r="C2620" s="0" t="n">
        <v>114</v>
      </c>
      <c r="D2620" s="0" t="n">
        <v>3</v>
      </c>
      <c r="E2620" s="0" t="str">
        <f aca="false">INDEX(lot!$B$2:$B$1201,MATCH(B2620,lot!$A$2:$A$1201,0))</f>
        <v>SUP-C</v>
      </c>
      <c r="F2620" s="3" t="n">
        <f aca="false">YEAR(A2620)*100+MONTH(A2620)</f>
        <v>202607</v>
      </c>
    </row>
    <row r="2621" customFormat="false" ht="15" hidden="false" customHeight="false" outlineLevel="0" collapsed="false">
      <c r="A2621" s="2" t="n">
        <v>46209</v>
      </c>
      <c r="B2621" s="3" t="s">
        <v>231</v>
      </c>
      <c r="C2621" s="0" t="n">
        <v>67</v>
      </c>
      <c r="D2621" s="0" t="n">
        <v>2</v>
      </c>
      <c r="E2621" s="0" t="str">
        <f aca="false">INDEX(lot!$B$2:$B$1201,MATCH(B2621,lot!$A$2:$A$1201,0))</f>
        <v>SUP-C</v>
      </c>
      <c r="F2621" s="3" t="n">
        <f aca="false">YEAR(A2621)*100+MONTH(A2621)</f>
        <v>202607</v>
      </c>
    </row>
    <row r="2622" customFormat="false" ht="15" hidden="false" customHeight="false" outlineLevel="0" collapsed="false">
      <c r="A2622" s="2" t="n">
        <v>46209</v>
      </c>
      <c r="B2622" s="3" t="s">
        <v>239</v>
      </c>
      <c r="C2622" s="0" t="n">
        <v>154</v>
      </c>
      <c r="D2622" s="0" t="n">
        <v>5</v>
      </c>
      <c r="E2622" s="0" t="str">
        <f aca="false">INDEX(lot!$B$2:$B$1201,MATCH(B2622,lot!$A$2:$A$1201,0))</f>
        <v>SUP-C</v>
      </c>
      <c r="F2622" s="3" t="n">
        <f aca="false">YEAR(A2622)*100+MONTH(A2622)</f>
        <v>202607</v>
      </c>
    </row>
    <row r="2623" customFormat="false" ht="15" hidden="false" customHeight="false" outlineLevel="0" collapsed="false">
      <c r="A2623" s="2" t="n">
        <v>46209</v>
      </c>
      <c r="B2623" s="3" t="s">
        <v>239</v>
      </c>
      <c r="C2623" s="0" t="n">
        <v>167</v>
      </c>
      <c r="D2623" s="0" t="n">
        <v>5</v>
      </c>
      <c r="E2623" s="0" t="str">
        <f aca="false">INDEX(lot!$B$2:$B$1201,MATCH(B2623,lot!$A$2:$A$1201,0))</f>
        <v>SUP-C</v>
      </c>
      <c r="F2623" s="3" t="n">
        <f aca="false">YEAR(A2623)*100+MONTH(A2623)</f>
        <v>202607</v>
      </c>
    </row>
    <row r="2624" customFormat="false" ht="15" hidden="false" customHeight="false" outlineLevel="0" collapsed="false">
      <c r="A2624" s="2" t="n">
        <v>46209</v>
      </c>
      <c r="B2624" s="3" t="s">
        <v>273</v>
      </c>
      <c r="C2624" s="0" t="n">
        <v>235</v>
      </c>
      <c r="D2624" s="0" t="n">
        <v>19</v>
      </c>
      <c r="E2624" s="0" t="str">
        <f aca="false">INDEX(lot!$B$2:$B$1201,MATCH(B2624,lot!$A$2:$A$1201,0))</f>
        <v>SUP-D</v>
      </c>
      <c r="F2624" s="3" t="n">
        <f aca="false">YEAR(A2624)*100+MONTH(A2624)</f>
        <v>202607</v>
      </c>
    </row>
    <row r="2625" customFormat="false" ht="15" hidden="false" customHeight="false" outlineLevel="0" collapsed="false">
      <c r="A2625" s="2" t="n">
        <v>46209</v>
      </c>
      <c r="B2625" s="3" t="s">
        <v>273</v>
      </c>
      <c r="C2625" s="0" t="n">
        <v>76</v>
      </c>
      <c r="D2625" s="0" t="n">
        <v>3</v>
      </c>
      <c r="E2625" s="0" t="str">
        <f aca="false">INDEX(lot!$B$2:$B$1201,MATCH(B2625,lot!$A$2:$A$1201,0))</f>
        <v>SUP-D</v>
      </c>
      <c r="F2625" s="3" t="n">
        <f aca="false">YEAR(A2625)*100+MONTH(A2625)</f>
        <v>202607</v>
      </c>
    </row>
    <row r="2626" customFormat="false" ht="15" hidden="false" customHeight="false" outlineLevel="0" collapsed="false">
      <c r="A2626" s="2" t="n">
        <v>46209</v>
      </c>
      <c r="B2626" s="3" t="s">
        <v>384</v>
      </c>
      <c r="C2626" s="0" t="n">
        <v>68</v>
      </c>
      <c r="D2626" s="0" t="n">
        <v>5</v>
      </c>
      <c r="E2626" s="0" t="str">
        <f aca="false">INDEX(lot!$B$2:$B$1201,MATCH(B2626,lot!$A$2:$A$1201,0))</f>
        <v>SUP-E</v>
      </c>
      <c r="F2626" s="3" t="n">
        <f aca="false">YEAR(A2626)*100+MONTH(A2626)</f>
        <v>202607</v>
      </c>
    </row>
    <row r="2627" customFormat="false" ht="15" hidden="false" customHeight="false" outlineLevel="0" collapsed="false">
      <c r="A2627" s="2" t="n">
        <v>46209</v>
      </c>
      <c r="B2627" s="3" t="s">
        <v>443</v>
      </c>
      <c r="C2627" s="0" t="n">
        <v>71</v>
      </c>
      <c r="D2627" s="0" t="n">
        <v>2</v>
      </c>
      <c r="E2627" s="0" t="str">
        <f aca="false">INDEX(lot!$B$2:$B$1201,MATCH(B2627,lot!$A$2:$A$1201,0))</f>
        <v>SUP-C</v>
      </c>
      <c r="F2627" s="3" t="n">
        <f aca="false">YEAR(A2627)*100+MONTH(A2627)</f>
        <v>202607</v>
      </c>
    </row>
    <row r="2628" customFormat="false" ht="15" hidden="false" customHeight="false" outlineLevel="0" collapsed="false">
      <c r="A2628" s="2" t="n">
        <v>46209</v>
      </c>
      <c r="B2628" s="3" t="s">
        <v>443</v>
      </c>
      <c r="C2628" s="0" t="n">
        <v>121</v>
      </c>
      <c r="D2628" s="0" t="n">
        <v>4</v>
      </c>
      <c r="E2628" s="0" t="str">
        <f aca="false">INDEX(lot!$B$2:$B$1201,MATCH(B2628,lot!$A$2:$A$1201,0))</f>
        <v>SUP-C</v>
      </c>
      <c r="F2628" s="3" t="n">
        <f aca="false">YEAR(A2628)*100+MONTH(A2628)</f>
        <v>202607</v>
      </c>
    </row>
    <row r="2629" customFormat="false" ht="15" hidden="false" customHeight="false" outlineLevel="0" collapsed="false">
      <c r="A2629" s="2" t="n">
        <v>46209</v>
      </c>
      <c r="B2629" s="3" t="s">
        <v>501</v>
      </c>
      <c r="C2629" s="0" t="n">
        <v>249</v>
      </c>
      <c r="D2629" s="0" t="n">
        <v>9</v>
      </c>
      <c r="E2629" s="0" t="str">
        <f aca="false">INDEX(lot!$B$2:$B$1201,MATCH(B2629,lot!$A$2:$A$1201,0))</f>
        <v>SUP-A</v>
      </c>
      <c r="F2629" s="3" t="n">
        <f aca="false">YEAR(A2629)*100+MONTH(A2629)</f>
        <v>202607</v>
      </c>
    </row>
    <row r="2630" customFormat="false" ht="15" hidden="false" customHeight="false" outlineLevel="0" collapsed="false">
      <c r="A2630" s="2" t="n">
        <v>46209</v>
      </c>
      <c r="B2630" s="3" t="s">
        <v>642</v>
      </c>
      <c r="C2630" s="0" t="n">
        <v>110</v>
      </c>
      <c r="D2630" s="0" t="n">
        <v>1</v>
      </c>
      <c r="E2630" s="0" t="str">
        <f aca="false">INDEX(lot!$B$2:$B$1201,MATCH(B2630,lot!$A$2:$A$1201,0))</f>
        <v>SUP-C</v>
      </c>
      <c r="F2630" s="3" t="n">
        <f aca="false">YEAR(A2630)*100+MONTH(A2630)</f>
        <v>202607</v>
      </c>
    </row>
    <row r="2631" customFormat="false" ht="15" hidden="false" customHeight="false" outlineLevel="0" collapsed="false">
      <c r="A2631" s="2" t="n">
        <v>46209</v>
      </c>
      <c r="B2631" s="3" t="s">
        <v>679</v>
      </c>
      <c r="C2631" s="0" t="n">
        <v>228</v>
      </c>
      <c r="D2631" s="0" t="n">
        <v>2</v>
      </c>
      <c r="E2631" s="0" t="str">
        <f aca="false">INDEX(lot!$B$2:$B$1201,MATCH(B2631,lot!$A$2:$A$1201,0))</f>
        <v>SUP-E</v>
      </c>
      <c r="F2631" s="3" t="n">
        <f aca="false">YEAR(A2631)*100+MONTH(A2631)</f>
        <v>202607</v>
      </c>
    </row>
    <row r="2632" customFormat="false" ht="15" hidden="false" customHeight="false" outlineLevel="0" collapsed="false">
      <c r="A2632" s="2" t="n">
        <v>46209</v>
      </c>
      <c r="B2632" s="3" t="s">
        <v>682</v>
      </c>
      <c r="C2632" s="0" t="n">
        <v>94</v>
      </c>
      <c r="D2632" s="0" t="n">
        <v>2</v>
      </c>
      <c r="E2632" s="0" t="str">
        <f aca="false">INDEX(lot!$B$2:$B$1201,MATCH(B2632,lot!$A$2:$A$1201,0))</f>
        <v>SUP-E</v>
      </c>
      <c r="F2632" s="3" t="n">
        <f aca="false">YEAR(A2632)*100+MONTH(A2632)</f>
        <v>202607</v>
      </c>
    </row>
    <row r="2633" customFormat="false" ht="15" hidden="false" customHeight="false" outlineLevel="0" collapsed="false">
      <c r="A2633" s="2" t="n">
        <v>46209</v>
      </c>
      <c r="B2633" s="3" t="s">
        <v>781</v>
      </c>
      <c r="C2633" s="0" t="n">
        <v>226</v>
      </c>
      <c r="D2633" s="0" t="n">
        <v>1</v>
      </c>
      <c r="E2633" s="0" t="str">
        <f aca="false">INDEX(lot!$B$2:$B$1201,MATCH(B2633,lot!$A$2:$A$1201,0))</f>
        <v>SUP-E</v>
      </c>
      <c r="F2633" s="3" t="n">
        <f aca="false">YEAR(A2633)*100+MONTH(A2633)</f>
        <v>202607</v>
      </c>
    </row>
    <row r="2634" customFormat="false" ht="15" hidden="false" customHeight="false" outlineLevel="0" collapsed="false">
      <c r="A2634" s="2" t="n">
        <v>46209</v>
      </c>
      <c r="B2634" s="3" t="s">
        <v>781</v>
      </c>
      <c r="C2634" s="0" t="n">
        <v>176</v>
      </c>
      <c r="D2634" s="0" t="n">
        <v>2</v>
      </c>
      <c r="E2634" s="0" t="str">
        <f aca="false">INDEX(lot!$B$2:$B$1201,MATCH(B2634,lot!$A$2:$A$1201,0))</f>
        <v>SUP-E</v>
      </c>
      <c r="F2634" s="3" t="n">
        <f aca="false">YEAR(A2634)*100+MONTH(A2634)</f>
        <v>202607</v>
      </c>
    </row>
    <row r="2635" customFormat="false" ht="15" hidden="false" customHeight="false" outlineLevel="0" collapsed="false">
      <c r="A2635" s="2" t="n">
        <v>46209</v>
      </c>
      <c r="B2635" s="3" t="s">
        <v>848</v>
      </c>
      <c r="C2635" s="0" t="n">
        <v>237</v>
      </c>
      <c r="D2635" s="0" t="n">
        <v>3</v>
      </c>
      <c r="E2635" s="0" t="str">
        <f aca="false">INDEX(lot!$B$2:$B$1201,MATCH(B2635,lot!$A$2:$A$1201,0))</f>
        <v>SUP-D</v>
      </c>
      <c r="F2635" s="3" t="n">
        <f aca="false">YEAR(A2635)*100+MONTH(A2635)</f>
        <v>202607</v>
      </c>
    </row>
    <row r="2636" customFormat="false" ht="15" hidden="false" customHeight="false" outlineLevel="0" collapsed="false">
      <c r="A2636" s="2" t="n">
        <v>46209</v>
      </c>
      <c r="B2636" s="3" t="s">
        <v>848</v>
      </c>
      <c r="C2636" s="0" t="n">
        <v>201</v>
      </c>
      <c r="D2636" s="0" t="n">
        <v>3</v>
      </c>
      <c r="E2636" s="0" t="str">
        <f aca="false">INDEX(lot!$B$2:$B$1201,MATCH(B2636,lot!$A$2:$A$1201,0))</f>
        <v>SUP-D</v>
      </c>
      <c r="F2636" s="3" t="n">
        <f aca="false">YEAR(A2636)*100+MONTH(A2636)</f>
        <v>202607</v>
      </c>
    </row>
    <row r="2637" customFormat="false" ht="15" hidden="false" customHeight="false" outlineLevel="0" collapsed="false">
      <c r="A2637" s="2" t="n">
        <v>46209</v>
      </c>
      <c r="B2637" s="3" t="s">
        <v>875</v>
      </c>
      <c r="C2637" s="0" t="n">
        <v>151</v>
      </c>
      <c r="D2637" s="0" t="n">
        <v>3</v>
      </c>
      <c r="E2637" s="0" t="str">
        <f aca="false">INDEX(lot!$B$2:$B$1201,MATCH(B2637,lot!$A$2:$A$1201,0))</f>
        <v>SUP-D</v>
      </c>
      <c r="F2637" s="3" t="n">
        <f aca="false">YEAR(A2637)*100+MONTH(A2637)</f>
        <v>202607</v>
      </c>
    </row>
    <row r="2638" customFormat="false" ht="15" hidden="false" customHeight="false" outlineLevel="0" collapsed="false">
      <c r="A2638" s="2" t="n">
        <v>46209</v>
      </c>
      <c r="B2638" s="3" t="s">
        <v>875</v>
      </c>
      <c r="C2638" s="0" t="n">
        <v>140</v>
      </c>
      <c r="D2638" s="0" t="n">
        <v>0</v>
      </c>
      <c r="E2638" s="0" t="str">
        <f aca="false">INDEX(lot!$B$2:$B$1201,MATCH(B2638,lot!$A$2:$A$1201,0))</f>
        <v>SUP-D</v>
      </c>
      <c r="F2638" s="3" t="n">
        <f aca="false">YEAR(A2638)*100+MONTH(A2638)</f>
        <v>202607</v>
      </c>
    </row>
    <row r="2639" customFormat="false" ht="15" hidden="false" customHeight="false" outlineLevel="0" collapsed="false">
      <c r="A2639" s="2" t="n">
        <v>46209</v>
      </c>
      <c r="B2639" s="3" t="s">
        <v>942</v>
      </c>
      <c r="C2639" s="0" t="n">
        <v>99</v>
      </c>
      <c r="D2639" s="0" t="n">
        <v>3</v>
      </c>
      <c r="E2639" s="0" t="str">
        <f aca="false">INDEX(lot!$B$2:$B$1201,MATCH(B2639,lot!$A$2:$A$1201,0))</f>
        <v>SUP-E</v>
      </c>
      <c r="F2639" s="3" t="n">
        <f aca="false">YEAR(A2639)*100+MONTH(A2639)</f>
        <v>202607</v>
      </c>
    </row>
    <row r="2640" customFormat="false" ht="15" hidden="false" customHeight="false" outlineLevel="0" collapsed="false">
      <c r="A2640" s="2" t="n">
        <v>46209</v>
      </c>
      <c r="B2640" s="3" t="s">
        <v>942</v>
      </c>
      <c r="C2640" s="0" t="n">
        <v>96</v>
      </c>
      <c r="D2640" s="0" t="n">
        <v>1</v>
      </c>
      <c r="E2640" s="0" t="str">
        <f aca="false">INDEX(lot!$B$2:$B$1201,MATCH(B2640,lot!$A$2:$A$1201,0))</f>
        <v>SUP-E</v>
      </c>
      <c r="F2640" s="3" t="n">
        <f aca="false">YEAR(A2640)*100+MONTH(A2640)</f>
        <v>202607</v>
      </c>
    </row>
    <row r="2641" customFormat="false" ht="15" hidden="false" customHeight="false" outlineLevel="0" collapsed="false">
      <c r="A2641" s="2" t="n">
        <v>46209</v>
      </c>
      <c r="B2641" s="3" t="s">
        <v>1046</v>
      </c>
      <c r="C2641" s="0" t="n">
        <v>138</v>
      </c>
      <c r="D2641" s="0" t="n">
        <v>4</v>
      </c>
      <c r="E2641" s="0" t="str">
        <f aca="false">INDEX(lot!$B$2:$B$1201,MATCH(B2641,lot!$A$2:$A$1201,0))</f>
        <v>SUP-A</v>
      </c>
      <c r="F2641" s="3" t="n">
        <f aca="false">YEAR(A2641)*100+MONTH(A2641)</f>
        <v>202607</v>
      </c>
    </row>
    <row r="2642" customFormat="false" ht="15" hidden="false" customHeight="false" outlineLevel="0" collapsed="false">
      <c r="A2642" s="2" t="n">
        <v>46209</v>
      </c>
      <c r="B2642" s="3" t="s">
        <v>1076</v>
      </c>
      <c r="C2642" s="0" t="n">
        <v>233</v>
      </c>
      <c r="D2642" s="0" t="n">
        <v>2</v>
      </c>
      <c r="E2642" s="0" t="str">
        <f aca="false">INDEX(lot!$B$2:$B$1201,MATCH(B2642,lot!$A$2:$A$1201,0))</f>
        <v>SUP-D</v>
      </c>
      <c r="F2642" s="3" t="n">
        <f aca="false">YEAR(A2642)*100+MONTH(A2642)</f>
        <v>202607</v>
      </c>
    </row>
    <row r="2643" customFormat="false" ht="15" hidden="false" customHeight="false" outlineLevel="0" collapsed="false">
      <c r="A2643" s="2" t="n">
        <v>46209</v>
      </c>
      <c r="B2643" s="3" t="s">
        <v>1152</v>
      </c>
      <c r="C2643" s="0" t="n">
        <v>105</v>
      </c>
      <c r="D2643" s="0" t="n">
        <v>3</v>
      </c>
      <c r="E2643" s="0" t="str">
        <f aca="false">INDEX(lot!$B$2:$B$1201,MATCH(B2643,lot!$A$2:$A$1201,0))</f>
        <v>SUP-C</v>
      </c>
      <c r="F2643" s="3" t="n">
        <f aca="false">YEAR(A2643)*100+MONTH(A2643)</f>
        <v>202607</v>
      </c>
    </row>
    <row r="2644" customFormat="false" ht="15" hidden="false" customHeight="false" outlineLevel="0" collapsed="false">
      <c r="A2644" s="2" t="n">
        <v>46210</v>
      </c>
      <c r="B2644" s="3" t="s">
        <v>78</v>
      </c>
      <c r="C2644" s="0" t="n">
        <v>186</v>
      </c>
      <c r="D2644" s="0" t="n">
        <v>3</v>
      </c>
      <c r="E2644" s="0" t="str">
        <f aca="false">INDEX(lot!$B$2:$B$1201,MATCH(B2644,lot!$A$2:$A$1201,0))</f>
        <v>SUP-E</v>
      </c>
      <c r="F2644" s="3" t="n">
        <f aca="false">YEAR(A2644)*100+MONTH(A2644)</f>
        <v>202607</v>
      </c>
    </row>
    <row r="2645" customFormat="false" ht="15" hidden="false" customHeight="false" outlineLevel="0" collapsed="false">
      <c r="A2645" s="2" t="n">
        <v>46210</v>
      </c>
      <c r="B2645" s="3" t="s">
        <v>119</v>
      </c>
      <c r="C2645" s="0" t="n">
        <v>247</v>
      </c>
      <c r="D2645" s="0" t="n">
        <v>3</v>
      </c>
      <c r="E2645" s="0" t="str">
        <f aca="false">INDEX(lot!$B$2:$B$1201,MATCH(B2645,lot!$A$2:$A$1201,0))</f>
        <v>SUP-D</v>
      </c>
      <c r="F2645" s="3" t="n">
        <f aca="false">YEAR(A2645)*100+MONTH(A2645)</f>
        <v>202607</v>
      </c>
    </row>
    <row r="2646" customFormat="false" ht="15" hidden="false" customHeight="false" outlineLevel="0" collapsed="false">
      <c r="A2646" s="2" t="n">
        <v>46210</v>
      </c>
      <c r="B2646" s="3" t="s">
        <v>119</v>
      </c>
      <c r="C2646" s="0" t="n">
        <v>174</v>
      </c>
      <c r="D2646" s="0" t="n">
        <v>1</v>
      </c>
      <c r="E2646" s="0" t="str">
        <f aca="false">INDEX(lot!$B$2:$B$1201,MATCH(B2646,lot!$A$2:$A$1201,0))</f>
        <v>SUP-D</v>
      </c>
      <c r="F2646" s="3" t="n">
        <f aca="false">YEAR(A2646)*100+MONTH(A2646)</f>
        <v>202607</v>
      </c>
    </row>
    <row r="2647" customFormat="false" ht="15" hidden="false" customHeight="false" outlineLevel="0" collapsed="false">
      <c r="A2647" s="2" t="n">
        <v>46210</v>
      </c>
      <c r="B2647" s="3" t="s">
        <v>125</v>
      </c>
      <c r="C2647" s="0" t="n">
        <v>174</v>
      </c>
      <c r="D2647" s="0" t="n">
        <v>2</v>
      </c>
      <c r="E2647" s="0" t="str">
        <f aca="false">INDEX(lot!$B$2:$B$1201,MATCH(B2647,lot!$A$2:$A$1201,0))</f>
        <v>SUP-E</v>
      </c>
      <c r="F2647" s="3" t="n">
        <f aca="false">YEAR(A2647)*100+MONTH(A2647)</f>
        <v>202607</v>
      </c>
    </row>
    <row r="2648" customFormat="false" ht="15" hidden="false" customHeight="false" outlineLevel="0" collapsed="false">
      <c r="A2648" s="2" t="n">
        <v>46210</v>
      </c>
      <c r="B2648" s="3" t="s">
        <v>186</v>
      </c>
      <c r="C2648" s="0" t="n">
        <v>157</v>
      </c>
      <c r="D2648" s="0" t="n">
        <v>4</v>
      </c>
      <c r="E2648" s="0" t="str">
        <f aca="false">INDEX(lot!$B$2:$B$1201,MATCH(B2648,lot!$A$2:$A$1201,0))</f>
        <v>SUP-C</v>
      </c>
      <c r="F2648" s="3" t="n">
        <f aca="false">YEAR(A2648)*100+MONTH(A2648)</f>
        <v>202607</v>
      </c>
    </row>
    <row r="2649" customFormat="false" ht="15" hidden="false" customHeight="false" outlineLevel="0" collapsed="false">
      <c r="A2649" s="2" t="n">
        <v>46210</v>
      </c>
      <c r="B2649" s="3" t="s">
        <v>217</v>
      </c>
      <c r="C2649" s="0" t="n">
        <v>149</v>
      </c>
      <c r="D2649" s="0" t="n">
        <v>4</v>
      </c>
      <c r="E2649" s="0" t="str">
        <f aca="false">INDEX(lot!$B$2:$B$1201,MATCH(B2649,lot!$A$2:$A$1201,0))</f>
        <v>SUP-C</v>
      </c>
      <c r="F2649" s="3" t="n">
        <f aca="false">YEAR(A2649)*100+MONTH(A2649)</f>
        <v>202607</v>
      </c>
    </row>
    <row r="2650" customFormat="false" ht="15" hidden="false" customHeight="false" outlineLevel="0" collapsed="false">
      <c r="A2650" s="2" t="n">
        <v>46210</v>
      </c>
      <c r="B2650" s="3" t="s">
        <v>231</v>
      </c>
      <c r="C2650" s="0" t="n">
        <v>220</v>
      </c>
      <c r="D2650" s="0" t="n">
        <v>5</v>
      </c>
      <c r="E2650" s="0" t="str">
        <f aca="false">INDEX(lot!$B$2:$B$1201,MATCH(B2650,lot!$A$2:$A$1201,0))</f>
        <v>SUP-C</v>
      </c>
      <c r="F2650" s="3" t="n">
        <f aca="false">YEAR(A2650)*100+MONTH(A2650)</f>
        <v>202607</v>
      </c>
    </row>
    <row r="2651" customFormat="false" ht="15" hidden="false" customHeight="false" outlineLevel="0" collapsed="false">
      <c r="A2651" s="2" t="n">
        <v>46210</v>
      </c>
      <c r="B2651" s="3" t="s">
        <v>231</v>
      </c>
      <c r="C2651" s="0" t="n">
        <v>227</v>
      </c>
      <c r="D2651" s="0" t="n">
        <v>6</v>
      </c>
      <c r="E2651" s="0" t="str">
        <f aca="false">INDEX(lot!$B$2:$B$1201,MATCH(B2651,lot!$A$2:$A$1201,0))</f>
        <v>SUP-C</v>
      </c>
      <c r="F2651" s="3" t="n">
        <f aca="false">YEAR(A2651)*100+MONTH(A2651)</f>
        <v>202607</v>
      </c>
    </row>
    <row r="2652" customFormat="false" ht="15" hidden="false" customHeight="false" outlineLevel="0" collapsed="false">
      <c r="A2652" s="2" t="n">
        <v>46210</v>
      </c>
      <c r="B2652" s="3" t="s">
        <v>239</v>
      </c>
      <c r="C2652" s="0" t="n">
        <v>204</v>
      </c>
      <c r="D2652" s="0" t="n">
        <v>5</v>
      </c>
      <c r="E2652" s="0" t="str">
        <f aca="false">INDEX(lot!$B$2:$B$1201,MATCH(B2652,lot!$A$2:$A$1201,0))</f>
        <v>SUP-C</v>
      </c>
      <c r="F2652" s="3" t="n">
        <f aca="false">YEAR(A2652)*100+MONTH(A2652)</f>
        <v>202607</v>
      </c>
    </row>
    <row r="2653" customFormat="false" ht="15" hidden="false" customHeight="false" outlineLevel="0" collapsed="false">
      <c r="A2653" s="2" t="n">
        <v>46210</v>
      </c>
      <c r="B2653" s="3" t="s">
        <v>373</v>
      </c>
      <c r="C2653" s="0" t="n">
        <v>112</v>
      </c>
      <c r="D2653" s="0" t="n">
        <v>3</v>
      </c>
      <c r="E2653" s="0" t="str">
        <f aca="false">INDEX(lot!$B$2:$B$1201,MATCH(B2653,lot!$A$2:$A$1201,0))</f>
        <v>SUP-C</v>
      </c>
      <c r="F2653" s="3" t="n">
        <f aca="false">YEAR(A2653)*100+MONTH(A2653)</f>
        <v>202607</v>
      </c>
    </row>
    <row r="2654" customFormat="false" ht="15" hidden="false" customHeight="false" outlineLevel="0" collapsed="false">
      <c r="A2654" s="2" t="n">
        <v>46210</v>
      </c>
      <c r="B2654" s="3" t="s">
        <v>374</v>
      </c>
      <c r="C2654" s="0" t="n">
        <v>182</v>
      </c>
      <c r="D2654" s="0" t="n">
        <v>3</v>
      </c>
      <c r="E2654" s="0" t="str">
        <f aca="false">INDEX(lot!$B$2:$B$1201,MATCH(B2654,lot!$A$2:$A$1201,0))</f>
        <v>SUP-E</v>
      </c>
      <c r="F2654" s="3" t="n">
        <f aca="false">YEAR(A2654)*100+MONTH(A2654)</f>
        <v>202607</v>
      </c>
    </row>
    <row r="2655" customFormat="false" ht="15" hidden="false" customHeight="false" outlineLevel="0" collapsed="false">
      <c r="A2655" s="2" t="n">
        <v>46210</v>
      </c>
      <c r="B2655" s="3" t="s">
        <v>374</v>
      </c>
      <c r="C2655" s="0" t="n">
        <v>101</v>
      </c>
      <c r="D2655" s="0" t="n">
        <v>0</v>
      </c>
      <c r="E2655" s="0" t="str">
        <f aca="false">INDEX(lot!$B$2:$B$1201,MATCH(B2655,lot!$A$2:$A$1201,0))</f>
        <v>SUP-E</v>
      </c>
      <c r="F2655" s="3" t="n">
        <f aca="false">YEAR(A2655)*100+MONTH(A2655)</f>
        <v>202607</v>
      </c>
    </row>
    <row r="2656" customFormat="false" ht="15" hidden="false" customHeight="false" outlineLevel="0" collapsed="false">
      <c r="A2656" s="2" t="n">
        <v>46210</v>
      </c>
      <c r="B2656" s="3" t="s">
        <v>589</v>
      </c>
      <c r="C2656" s="0" t="n">
        <v>147</v>
      </c>
      <c r="D2656" s="0" t="n">
        <v>3</v>
      </c>
      <c r="E2656" s="0" t="str">
        <f aca="false">INDEX(lot!$B$2:$B$1201,MATCH(B2656,lot!$A$2:$A$1201,0))</f>
        <v>SUP-D</v>
      </c>
      <c r="F2656" s="3" t="n">
        <f aca="false">YEAR(A2656)*100+MONTH(A2656)</f>
        <v>202607</v>
      </c>
    </row>
    <row r="2657" customFormat="false" ht="15" hidden="false" customHeight="false" outlineLevel="0" collapsed="false">
      <c r="A2657" s="2" t="n">
        <v>46210</v>
      </c>
      <c r="B2657" s="3" t="s">
        <v>658</v>
      </c>
      <c r="C2657" s="0" t="n">
        <v>144</v>
      </c>
      <c r="D2657" s="0" t="n">
        <v>2</v>
      </c>
      <c r="E2657" s="0" t="str">
        <f aca="false">INDEX(lot!$B$2:$B$1201,MATCH(B2657,lot!$A$2:$A$1201,0))</f>
        <v>SUP-E</v>
      </c>
      <c r="F2657" s="3" t="n">
        <f aca="false">YEAR(A2657)*100+MONTH(A2657)</f>
        <v>202607</v>
      </c>
    </row>
    <row r="2658" customFormat="false" ht="15" hidden="false" customHeight="false" outlineLevel="0" collapsed="false">
      <c r="A2658" s="2" t="n">
        <v>46210</v>
      </c>
      <c r="B2658" s="3" t="s">
        <v>679</v>
      </c>
      <c r="C2658" s="0" t="n">
        <v>189</v>
      </c>
      <c r="D2658" s="0" t="n">
        <v>2</v>
      </c>
      <c r="E2658" s="0" t="str">
        <f aca="false">INDEX(lot!$B$2:$B$1201,MATCH(B2658,lot!$A$2:$A$1201,0))</f>
        <v>SUP-E</v>
      </c>
      <c r="F2658" s="3" t="n">
        <f aca="false">YEAR(A2658)*100+MONTH(A2658)</f>
        <v>202607</v>
      </c>
    </row>
    <row r="2659" customFormat="false" ht="15" hidden="false" customHeight="false" outlineLevel="0" collapsed="false">
      <c r="A2659" s="2" t="n">
        <v>46210</v>
      </c>
      <c r="B2659" s="3" t="s">
        <v>781</v>
      </c>
      <c r="C2659" s="0" t="n">
        <v>152</v>
      </c>
      <c r="D2659" s="0" t="n">
        <v>0</v>
      </c>
      <c r="E2659" s="0" t="str">
        <f aca="false">INDEX(lot!$B$2:$B$1201,MATCH(B2659,lot!$A$2:$A$1201,0))</f>
        <v>SUP-E</v>
      </c>
      <c r="F2659" s="3" t="n">
        <f aca="false">YEAR(A2659)*100+MONTH(A2659)</f>
        <v>202607</v>
      </c>
    </row>
    <row r="2660" customFormat="false" ht="15" hidden="false" customHeight="false" outlineLevel="0" collapsed="false">
      <c r="A2660" s="2" t="n">
        <v>46210</v>
      </c>
      <c r="B2660" s="3" t="s">
        <v>781</v>
      </c>
      <c r="C2660" s="0" t="n">
        <v>207</v>
      </c>
      <c r="D2660" s="0" t="n">
        <v>1</v>
      </c>
      <c r="E2660" s="0" t="str">
        <f aca="false">INDEX(lot!$B$2:$B$1201,MATCH(B2660,lot!$A$2:$A$1201,0))</f>
        <v>SUP-E</v>
      </c>
      <c r="F2660" s="3" t="n">
        <f aca="false">YEAR(A2660)*100+MONTH(A2660)</f>
        <v>202607</v>
      </c>
    </row>
    <row r="2661" customFormat="false" ht="15" hidden="false" customHeight="false" outlineLevel="0" collapsed="false">
      <c r="A2661" s="2" t="n">
        <v>46210</v>
      </c>
      <c r="B2661" s="3" t="s">
        <v>970</v>
      </c>
      <c r="C2661" s="0" t="n">
        <v>117</v>
      </c>
      <c r="D2661" s="0" t="n">
        <v>2</v>
      </c>
      <c r="E2661" s="0" t="str">
        <f aca="false">INDEX(lot!$B$2:$B$1201,MATCH(B2661,lot!$A$2:$A$1201,0))</f>
        <v>SUP-C</v>
      </c>
      <c r="F2661" s="3" t="n">
        <f aca="false">YEAR(A2661)*100+MONTH(A2661)</f>
        <v>202607</v>
      </c>
    </row>
    <row r="2662" customFormat="false" ht="15" hidden="false" customHeight="false" outlineLevel="0" collapsed="false">
      <c r="A2662" s="2" t="n">
        <v>46210</v>
      </c>
      <c r="B2662" s="3" t="s">
        <v>970</v>
      </c>
      <c r="C2662" s="0" t="n">
        <v>247</v>
      </c>
      <c r="D2662" s="0" t="n">
        <v>3</v>
      </c>
      <c r="E2662" s="0" t="str">
        <f aca="false">INDEX(lot!$B$2:$B$1201,MATCH(B2662,lot!$A$2:$A$1201,0))</f>
        <v>SUP-C</v>
      </c>
      <c r="F2662" s="3" t="n">
        <f aca="false">YEAR(A2662)*100+MONTH(A2662)</f>
        <v>202607</v>
      </c>
    </row>
    <row r="2663" customFormat="false" ht="15" hidden="false" customHeight="false" outlineLevel="0" collapsed="false">
      <c r="A2663" s="2" t="n">
        <v>46210</v>
      </c>
      <c r="B2663" s="3" t="s">
        <v>995</v>
      </c>
      <c r="C2663" s="0" t="n">
        <v>218</v>
      </c>
      <c r="D2663" s="0" t="n">
        <v>2</v>
      </c>
      <c r="E2663" s="0" t="str">
        <f aca="false">INDEX(lot!$B$2:$B$1201,MATCH(B2663,lot!$A$2:$A$1201,0))</f>
        <v>SUP-D</v>
      </c>
      <c r="F2663" s="3" t="n">
        <f aca="false">YEAR(A2663)*100+MONTH(A2663)</f>
        <v>202607</v>
      </c>
    </row>
    <row r="2664" customFormat="false" ht="15" hidden="false" customHeight="false" outlineLevel="0" collapsed="false">
      <c r="A2664" s="2" t="n">
        <v>46211</v>
      </c>
      <c r="B2664" s="3" t="s">
        <v>119</v>
      </c>
      <c r="C2664" s="0" t="n">
        <v>99</v>
      </c>
      <c r="D2664" s="0" t="n">
        <v>0</v>
      </c>
      <c r="E2664" s="0" t="str">
        <f aca="false">INDEX(lot!$B$2:$B$1201,MATCH(B2664,lot!$A$2:$A$1201,0))</f>
        <v>SUP-D</v>
      </c>
      <c r="F2664" s="3" t="n">
        <f aca="false">YEAR(A2664)*100+MONTH(A2664)</f>
        <v>202607</v>
      </c>
    </row>
    <row r="2665" customFormat="false" ht="15" hidden="false" customHeight="false" outlineLevel="0" collapsed="false">
      <c r="A2665" s="2" t="n">
        <v>46211</v>
      </c>
      <c r="B2665" s="3" t="s">
        <v>119</v>
      </c>
      <c r="C2665" s="0" t="n">
        <v>107</v>
      </c>
      <c r="D2665" s="0" t="n">
        <v>1</v>
      </c>
      <c r="E2665" s="0" t="str">
        <f aca="false">INDEX(lot!$B$2:$B$1201,MATCH(B2665,lot!$A$2:$A$1201,0))</f>
        <v>SUP-D</v>
      </c>
      <c r="F2665" s="3" t="n">
        <f aca="false">YEAR(A2665)*100+MONTH(A2665)</f>
        <v>202607</v>
      </c>
    </row>
    <row r="2666" customFormat="false" ht="15" hidden="false" customHeight="false" outlineLevel="0" collapsed="false">
      <c r="A2666" s="2" t="n">
        <v>46211</v>
      </c>
      <c r="B2666" s="3" t="s">
        <v>125</v>
      </c>
      <c r="C2666" s="0" t="n">
        <v>223</v>
      </c>
      <c r="D2666" s="0" t="n">
        <v>2</v>
      </c>
      <c r="E2666" s="0" t="str">
        <f aca="false">INDEX(lot!$B$2:$B$1201,MATCH(B2666,lot!$A$2:$A$1201,0))</f>
        <v>SUP-E</v>
      </c>
      <c r="F2666" s="3" t="n">
        <f aca="false">YEAR(A2666)*100+MONTH(A2666)</f>
        <v>202607</v>
      </c>
    </row>
    <row r="2667" customFormat="false" ht="15" hidden="false" customHeight="false" outlineLevel="0" collapsed="false">
      <c r="A2667" s="2" t="n">
        <v>46211</v>
      </c>
      <c r="B2667" s="3" t="s">
        <v>192</v>
      </c>
      <c r="C2667" s="0" t="n">
        <v>99</v>
      </c>
      <c r="D2667" s="0" t="n">
        <v>7</v>
      </c>
      <c r="E2667" s="0" t="str">
        <f aca="false">INDEX(lot!$B$2:$B$1201,MATCH(B2667,lot!$A$2:$A$1201,0))</f>
        <v>SUP-A</v>
      </c>
      <c r="F2667" s="3" t="n">
        <f aca="false">YEAR(A2667)*100+MONTH(A2667)</f>
        <v>202607</v>
      </c>
    </row>
    <row r="2668" customFormat="false" ht="15" hidden="false" customHeight="false" outlineLevel="0" collapsed="false">
      <c r="A2668" s="2" t="n">
        <v>46211</v>
      </c>
      <c r="B2668" s="3" t="s">
        <v>192</v>
      </c>
      <c r="C2668" s="0" t="n">
        <v>170</v>
      </c>
      <c r="D2668" s="0" t="n">
        <v>22</v>
      </c>
      <c r="E2668" s="0" t="str">
        <f aca="false">INDEX(lot!$B$2:$B$1201,MATCH(B2668,lot!$A$2:$A$1201,0))</f>
        <v>SUP-A</v>
      </c>
      <c r="F2668" s="3" t="n">
        <f aca="false">YEAR(A2668)*100+MONTH(A2668)</f>
        <v>202607</v>
      </c>
    </row>
    <row r="2669" customFormat="false" ht="15" hidden="false" customHeight="false" outlineLevel="0" collapsed="false">
      <c r="A2669" s="2" t="n">
        <v>46211</v>
      </c>
      <c r="B2669" s="3" t="s">
        <v>230</v>
      </c>
      <c r="C2669" s="0" t="n">
        <v>162</v>
      </c>
      <c r="D2669" s="0" t="n">
        <v>4</v>
      </c>
      <c r="E2669" s="0" t="str">
        <f aca="false">INDEX(lot!$B$2:$B$1201,MATCH(B2669,lot!$A$2:$A$1201,0))</f>
        <v>SUP-A</v>
      </c>
      <c r="F2669" s="3" t="n">
        <f aca="false">YEAR(A2669)*100+MONTH(A2669)</f>
        <v>202607</v>
      </c>
    </row>
    <row r="2670" customFormat="false" ht="15" hidden="false" customHeight="false" outlineLevel="0" collapsed="false">
      <c r="A2670" s="2" t="n">
        <v>46211</v>
      </c>
      <c r="B2670" s="3" t="s">
        <v>230</v>
      </c>
      <c r="C2670" s="0" t="n">
        <v>168</v>
      </c>
      <c r="D2670" s="0" t="n">
        <v>3</v>
      </c>
      <c r="E2670" s="0" t="str">
        <f aca="false">INDEX(lot!$B$2:$B$1201,MATCH(B2670,lot!$A$2:$A$1201,0))</f>
        <v>SUP-A</v>
      </c>
      <c r="F2670" s="3" t="n">
        <f aca="false">YEAR(A2670)*100+MONTH(A2670)</f>
        <v>202607</v>
      </c>
    </row>
    <row r="2671" customFormat="false" ht="15" hidden="false" customHeight="false" outlineLevel="0" collapsed="false">
      <c r="A2671" s="2" t="n">
        <v>46211</v>
      </c>
      <c r="B2671" s="3" t="s">
        <v>373</v>
      </c>
      <c r="C2671" s="0" t="n">
        <v>93</v>
      </c>
      <c r="D2671" s="0" t="n">
        <v>3</v>
      </c>
      <c r="E2671" s="0" t="str">
        <f aca="false">INDEX(lot!$B$2:$B$1201,MATCH(B2671,lot!$A$2:$A$1201,0))</f>
        <v>SUP-C</v>
      </c>
      <c r="F2671" s="3" t="n">
        <f aca="false">YEAR(A2671)*100+MONTH(A2671)</f>
        <v>202607</v>
      </c>
    </row>
    <row r="2672" customFormat="false" ht="15" hidden="false" customHeight="false" outlineLevel="0" collapsed="false">
      <c r="A2672" s="2" t="n">
        <v>46211</v>
      </c>
      <c r="B2672" s="3" t="s">
        <v>373</v>
      </c>
      <c r="C2672" s="0" t="n">
        <v>224</v>
      </c>
      <c r="D2672" s="0" t="n">
        <v>5</v>
      </c>
      <c r="E2672" s="0" t="str">
        <f aca="false">INDEX(lot!$B$2:$B$1201,MATCH(B2672,lot!$A$2:$A$1201,0))</f>
        <v>SUP-C</v>
      </c>
      <c r="F2672" s="3" t="n">
        <f aca="false">YEAR(A2672)*100+MONTH(A2672)</f>
        <v>202607</v>
      </c>
    </row>
    <row r="2673" customFormat="false" ht="15" hidden="false" customHeight="false" outlineLevel="0" collapsed="false">
      <c r="A2673" s="2" t="n">
        <v>46211</v>
      </c>
      <c r="B2673" s="3" t="s">
        <v>374</v>
      </c>
      <c r="C2673" s="0" t="n">
        <v>177</v>
      </c>
      <c r="D2673" s="0" t="n">
        <v>3</v>
      </c>
      <c r="E2673" s="0" t="str">
        <f aca="false">INDEX(lot!$B$2:$B$1201,MATCH(B2673,lot!$A$2:$A$1201,0))</f>
        <v>SUP-E</v>
      </c>
      <c r="F2673" s="3" t="n">
        <f aca="false">YEAR(A2673)*100+MONTH(A2673)</f>
        <v>202607</v>
      </c>
    </row>
    <row r="2674" customFormat="false" ht="15" hidden="false" customHeight="false" outlineLevel="0" collapsed="false">
      <c r="A2674" s="2" t="n">
        <v>46211</v>
      </c>
      <c r="B2674" s="3" t="s">
        <v>504</v>
      </c>
      <c r="C2674" s="0" t="n">
        <v>160</v>
      </c>
      <c r="D2674" s="0" t="n">
        <v>19</v>
      </c>
      <c r="E2674" s="0" t="str">
        <f aca="false">INDEX(lot!$B$2:$B$1201,MATCH(B2674,lot!$A$2:$A$1201,0))</f>
        <v>SUP-A</v>
      </c>
      <c r="F2674" s="3" t="n">
        <f aca="false">YEAR(A2674)*100+MONTH(A2674)</f>
        <v>202607</v>
      </c>
    </row>
    <row r="2675" customFormat="false" ht="15" hidden="false" customHeight="false" outlineLevel="0" collapsed="false">
      <c r="A2675" s="2" t="n">
        <v>46211</v>
      </c>
      <c r="B2675" s="3" t="s">
        <v>504</v>
      </c>
      <c r="C2675" s="0" t="n">
        <v>240</v>
      </c>
      <c r="D2675" s="0" t="n">
        <v>45</v>
      </c>
      <c r="E2675" s="0" t="str">
        <f aca="false">INDEX(lot!$B$2:$B$1201,MATCH(B2675,lot!$A$2:$A$1201,0))</f>
        <v>SUP-A</v>
      </c>
      <c r="F2675" s="3" t="n">
        <f aca="false">YEAR(A2675)*100+MONTH(A2675)</f>
        <v>202607</v>
      </c>
    </row>
    <row r="2676" customFormat="false" ht="15" hidden="false" customHeight="false" outlineLevel="0" collapsed="false">
      <c r="A2676" s="2" t="n">
        <v>46211</v>
      </c>
      <c r="B2676" s="3" t="s">
        <v>540</v>
      </c>
      <c r="C2676" s="0" t="n">
        <v>80</v>
      </c>
      <c r="D2676" s="0" t="n">
        <v>3</v>
      </c>
      <c r="E2676" s="0" t="str">
        <f aca="false">INDEX(lot!$B$2:$B$1201,MATCH(B2676,lot!$A$2:$A$1201,0))</f>
        <v>SUP-C</v>
      </c>
      <c r="F2676" s="3" t="n">
        <f aca="false">YEAR(A2676)*100+MONTH(A2676)</f>
        <v>202607</v>
      </c>
    </row>
    <row r="2677" customFormat="false" ht="15" hidden="false" customHeight="false" outlineLevel="0" collapsed="false">
      <c r="A2677" s="2" t="n">
        <v>46211</v>
      </c>
      <c r="B2677" s="3" t="s">
        <v>540</v>
      </c>
      <c r="C2677" s="0" t="n">
        <v>226</v>
      </c>
      <c r="D2677" s="0" t="n">
        <v>4</v>
      </c>
      <c r="E2677" s="0" t="str">
        <f aca="false">INDEX(lot!$B$2:$B$1201,MATCH(B2677,lot!$A$2:$A$1201,0))</f>
        <v>SUP-C</v>
      </c>
      <c r="F2677" s="3" t="n">
        <f aca="false">YEAR(A2677)*100+MONTH(A2677)</f>
        <v>202607</v>
      </c>
    </row>
    <row r="2678" customFormat="false" ht="15" hidden="false" customHeight="false" outlineLevel="0" collapsed="false">
      <c r="A2678" s="2" t="n">
        <v>46211</v>
      </c>
      <c r="B2678" s="3" t="s">
        <v>589</v>
      </c>
      <c r="C2678" s="0" t="n">
        <v>113</v>
      </c>
      <c r="D2678" s="0" t="n">
        <v>0</v>
      </c>
      <c r="E2678" s="0" t="str">
        <f aca="false">INDEX(lot!$B$2:$B$1201,MATCH(B2678,lot!$A$2:$A$1201,0))</f>
        <v>SUP-D</v>
      </c>
      <c r="F2678" s="3" t="n">
        <f aca="false">YEAR(A2678)*100+MONTH(A2678)</f>
        <v>202607</v>
      </c>
    </row>
    <row r="2679" customFormat="false" ht="15" hidden="false" customHeight="false" outlineLevel="0" collapsed="false">
      <c r="A2679" s="2" t="n">
        <v>46211</v>
      </c>
      <c r="B2679" s="3" t="s">
        <v>589</v>
      </c>
      <c r="C2679" s="0" t="n">
        <v>227</v>
      </c>
      <c r="D2679" s="0" t="n">
        <v>1</v>
      </c>
      <c r="E2679" s="0" t="str">
        <f aca="false">INDEX(lot!$B$2:$B$1201,MATCH(B2679,lot!$A$2:$A$1201,0))</f>
        <v>SUP-D</v>
      </c>
      <c r="F2679" s="3" t="n">
        <f aca="false">YEAR(A2679)*100+MONTH(A2679)</f>
        <v>202607</v>
      </c>
    </row>
    <row r="2680" customFormat="false" ht="15" hidden="false" customHeight="false" outlineLevel="0" collapsed="false">
      <c r="A2680" s="2" t="n">
        <v>46211</v>
      </c>
      <c r="B2680" s="3" t="s">
        <v>624</v>
      </c>
      <c r="C2680" s="0" t="n">
        <v>93</v>
      </c>
      <c r="D2680" s="0" t="n">
        <v>3</v>
      </c>
      <c r="E2680" s="0" t="str">
        <f aca="false">INDEX(lot!$B$2:$B$1201,MATCH(B2680,lot!$A$2:$A$1201,0))</f>
        <v>SUP-C</v>
      </c>
      <c r="F2680" s="3" t="n">
        <f aca="false">YEAR(A2680)*100+MONTH(A2680)</f>
        <v>202607</v>
      </c>
    </row>
    <row r="2681" customFormat="false" ht="15" hidden="false" customHeight="false" outlineLevel="0" collapsed="false">
      <c r="A2681" s="2" t="n">
        <v>46211</v>
      </c>
      <c r="B2681" s="3" t="s">
        <v>658</v>
      </c>
      <c r="C2681" s="0" t="n">
        <v>209</v>
      </c>
      <c r="D2681" s="0" t="n">
        <v>0</v>
      </c>
      <c r="E2681" s="0" t="str">
        <f aca="false">INDEX(lot!$B$2:$B$1201,MATCH(B2681,lot!$A$2:$A$1201,0))</f>
        <v>SUP-E</v>
      </c>
      <c r="F2681" s="3" t="n">
        <f aca="false">YEAR(A2681)*100+MONTH(A2681)</f>
        <v>202607</v>
      </c>
    </row>
    <row r="2682" customFormat="false" ht="15" hidden="false" customHeight="false" outlineLevel="0" collapsed="false">
      <c r="A2682" s="2" t="n">
        <v>46211</v>
      </c>
      <c r="B2682" s="3" t="s">
        <v>658</v>
      </c>
      <c r="C2682" s="0" t="n">
        <v>245</v>
      </c>
      <c r="D2682" s="0" t="n">
        <v>3</v>
      </c>
      <c r="E2682" s="0" t="str">
        <f aca="false">INDEX(lot!$B$2:$B$1201,MATCH(B2682,lot!$A$2:$A$1201,0))</f>
        <v>SUP-E</v>
      </c>
      <c r="F2682" s="3" t="n">
        <f aca="false">YEAR(A2682)*100+MONTH(A2682)</f>
        <v>202607</v>
      </c>
    </row>
    <row r="2683" customFormat="false" ht="15" hidden="false" customHeight="false" outlineLevel="0" collapsed="false">
      <c r="A2683" s="2" t="n">
        <v>46211</v>
      </c>
      <c r="B2683" s="3" t="s">
        <v>698</v>
      </c>
      <c r="C2683" s="0" t="n">
        <v>184</v>
      </c>
      <c r="D2683" s="0" t="n">
        <v>1</v>
      </c>
      <c r="E2683" s="0" t="str">
        <f aca="false">INDEX(lot!$B$2:$B$1201,MATCH(B2683,lot!$A$2:$A$1201,0))</f>
        <v>SUP-D</v>
      </c>
      <c r="F2683" s="3" t="n">
        <f aca="false">YEAR(A2683)*100+MONTH(A2683)</f>
        <v>202607</v>
      </c>
    </row>
    <row r="2684" customFormat="false" ht="15" hidden="false" customHeight="false" outlineLevel="0" collapsed="false">
      <c r="A2684" s="2" t="n">
        <v>46211</v>
      </c>
      <c r="B2684" s="3" t="s">
        <v>781</v>
      </c>
      <c r="C2684" s="0" t="n">
        <v>153</v>
      </c>
      <c r="D2684" s="0" t="n">
        <v>0</v>
      </c>
      <c r="E2684" s="0" t="str">
        <f aca="false">INDEX(lot!$B$2:$B$1201,MATCH(B2684,lot!$A$2:$A$1201,0))</f>
        <v>SUP-E</v>
      </c>
      <c r="F2684" s="3" t="n">
        <f aca="false">YEAR(A2684)*100+MONTH(A2684)</f>
        <v>202607</v>
      </c>
    </row>
    <row r="2685" customFormat="false" ht="15" hidden="false" customHeight="false" outlineLevel="0" collapsed="false">
      <c r="A2685" s="2" t="n">
        <v>46211</v>
      </c>
      <c r="B2685" s="3" t="s">
        <v>804</v>
      </c>
      <c r="C2685" s="0" t="n">
        <v>166</v>
      </c>
      <c r="D2685" s="0" t="n">
        <v>7</v>
      </c>
      <c r="E2685" s="0" t="str">
        <f aca="false">INDEX(lot!$B$2:$B$1201,MATCH(B2685,lot!$A$2:$A$1201,0))</f>
        <v>SUP-C</v>
      </c>
      <c r="F2685" s="3" t="n">
        <f aca="false">YEAR(A2685)*100+MONTH(A2685)</f>
        <v>202607</v>
      </c>
    </row>
    <row r="2686" customFormat="false" ht="15" hidden="false" customHeight="false" outlineLevel="0" collapsed="false">
      <c r="A2686" s="2" t="n">
        <v>46211</v>
      </c>
      <c r="B2686" s="3" t="s">
        <v>970</v>
      </c>
      <c r="C2686" s="0" t="n">
        <v>198</v>
      </c>
      <c r="D2686" s="0" t="n">
        <v>6</v>
      </c>
      <c r="E2686" s="0" t="str">
        <f aca="false">INDEX(lot!$B$2:$B$1201,MATCH(B2686,lot!$A$2:$A$1201,0))</f>
        <v>SUP-C</v>
      </c>
      <c r="F2686" s="3" t="n">
        <f aca="false">YEAR(A2686)*100+MONTH(A2686)</f>
        <v>202607</v>
      </c>
    </row>
    <row r="2687" customFormat="false" ht="15" hidden="false" customHeight="false" outlineLevel="0" collapsed="false">
      <c r="A2687" s="2" t="n">
        <v>46211</v>
      </c>
      <c r="B2687" s="3" t="s">
        <v>995</v>
      </c>
      <c r="C2687" s="0" t="n">
        <v>110</v>
      </c>
      <c r="D2687" s="0" t="n">
        <v>1</v>
      </c>
      <c r="E2687" s="0" t="str">
        <f aca="false">INDEX(lot!$B$2:$B$1201,MATCH(B2687,lot!$A$2:$A$1201,0))</f>
        <v>SUP-D</v>
      </c>
      <c r="F2687" s="3" t="n">
        <f aca="false">YEAR(A2687)*100+MONTH(A2687)</f>
        <v>202607</v>
      </c>
    </row>
    <row r="2688" customFormat="false" ht="15" hidden="false" customHeight="false" outlineLevel="0" collapsed="false">
      <c r="A2688" s="2" t="n">
        <v>46211</v>
      </c>
      <c r="B2688" s="3" t="s">
        <v>1033</v>
      </c>
      <c r="C2688" s="0" t="n">
        <v>63</v>
      </c>
      <c r="D2688" s="0" t="n">
        <v>1</v>
      </c>
      <c r="E2688" s="0" t="str">
        <f aca="false">INDEX(lot!$B$2:$B$1201,MATCH(B2688,lot!$A$2:$A$1201,0))</f>
        <v>SUP-C</v>
      </c>
      <c r="F2688" s="3" t="n">
        <f aca="false">YEAR(A2688)*100+MONTH(A2688)</f>
        <v>202607</v>
      </c>
    </row>
    <row r="2689" customFormat="false" ht="15" hidden="false" customHeight="false" outlineLevel="0" collapsed="false">
      <c r="A2689" s="2" t="n">
        <v>46211</v>
      </c>
      <c r="B2689" s="3" t="s">
        <v>1033</v>
      </c>
      <c r="C2689" s="0" t="n">
        <v>183</v>
      </c>
      <c r="D2689" s="0" t="n">
        <v>4</v>
      </c>
      <c r="E2689" s="0" t="str">
        <f aca="false">INDEX(lot!$B$2:$B$1201,MATCH(B2689,lot!$A$2:$A$1201,0))</f>
        <v>SUP-C</v>
      </c>
      <c r="F2689" s="3" t="n">
        <f aca="false">YEAR(A2689)*100+MONTH(A2689)</f>
        <v>202607</v>
      </c>
    </row>
    <row r="2690" customFormat="false" ht="15" hidden="false" customHeight="false" outlineLevel="0" collapsed="false">
      <c r="A2690" s="2" t="n">
        <v>46212</v>
      </c>
      <c r="B2690" s="3" t="s">
        <v>192</v>
      </c>
      <c r="C2690" s="0" t="n">
        <v>137</v>
      </c>
      <c r="D2690" s="0" t="n">
        <v>29</v>
      </c>
      <c r="E2690" s="0" t="str">
        <f aca="false">INDEX(lot!$B$2:$B$1201,MATCH(B2690,lot!$A$2:$A$1201,0))</f>
        <v>SUP-A</v>
      </c>
      <c r="F2690" s="3" t="n">
        <f aca="false">YEAR(A2690)*100+MONTH(A2690)</f>
        <v>202607</v>
      </c>
    </row>
    <row r="2691" customFormat="false" ht="15" hidden="false" customHeight="false" outlineLevel="0" collapsed="false">
      <c r="A2691" s="2" t="n">
        <v>46212</v>
      </c>
      <c r="B2691" s="3" t="s">
        <v>192</v>
      </c>
      <c r="C2691" s="0" t="n">
        <v>170</v>
      </c>
      <c r="D2691" s="0" t="n">
        <v>29</v>
      </c>
      <c r="E2691" s="0" t="str">
        <f aca="false">INDEX(lot!$B$2:$B$1201,MATCH(B2691,lot!$A$2:$A$1201,0))</f>
        <v>SUP-A</v>
      </c>
      <c r="F2691" s="3" t="n">
        <f aca="false">YEAR(A2691)*100+MONTH(A2691)</f>
        <v>202607</v>
      </c>
    </row>
    <row r="2692" customFormat="false" ht="15" hidden="false" customHeight="false" outlineLevel="0" collapsed="false">
      <c r="A2692" s="2" t="n">
        <v>46212</v>
      </c>
      <c r="B2692" s="3" t="s">
        <v>230</v>
      </c>
      <c r="C2692" s="0" t="n">
        <v>184</v>
      </c>
      <c r="D2692" s="0" t="n">
        <v>5</v>
      </c>
      <c r="E2692" s="0" t="str">
        <f aca="false">INDEX(lot!$B$2:$B$1201,MATCH(B2692,lot!$A$2:$A$1201,0))</f>
        <v>SUP-A</v>
      </c>
      <c r="F2692" s="3" t="n">
        <f aca="false">YEAR(A2692)*100+MONTH(A2692)</f>
        <v>202607</v>
      </c>
    </row>
    <row r="2693" customFormat="false" ht="15" hidden="false" customHeight="false" outlineLevel="0" collapsed="false">
      <c r="A2693" s="2" t="n">
        <v>46212</v>
      </c>
      <c r="B2693" s="3" t="s">
        <v>230</v>
      </c>
      <c r="C2693" s="0" t="n">
        <v>203</v>
      </c>
      <c r="D2693" s="0" t="n">
        <v>4</v>
      </c>
      <c r="E2693" s="0" t="str">
        <f aca="false">INDEX(lot!$B$2:$B$1201,MATCH(B2693,lot!$A$2:$A$1201,0))</f>
        <v>SUP-A</v>
      </c>
      <c r="F2693" s="3" t="n">
        <f aca="false">YEAR(A2693)*100+MONTH(A2693)</f>
        <v>202607</v>
      </c>
    </row>
    <row r="2694" customFormat="false" ht="15" hidden="false" customHeight="false" outlineLevel="0" collapsed="false">
      <c r="A2694" s="2" t="n">
        <v>46212</v>
      </c>
      <c r="B2694" s="3" t="s">
        <v>333</v>
      </c>
      <c r="C2694" s="0" t="n">
        <v>63</v>
      </c>
      <c r="D2694" s="0" t="n">
        <v>4</v>
      </c>
      <c r="E2694" s="0" t="str">
        <f aca="false">INDEX(lot!$B$2:$B$1201,MATCH(B2694,lot!$A$2:$A$1201,0))</f>
        <v>SUP-D</v>
      </c>
      <c r="F2694" s="3" t="n">
        <f aca="false">YEAR(A2694)*100+MONTH(A2694)</f>
        <v>202607</v>
      </c>
    </row>
    <row r="2695" customFormat="false" ht="15" hidden="false" customHeight="false" outlineLevel="0" collapsed="false">
      <c r="A2695" s="2" t="n">
        <v>46212</v>
      </c>
      <c r="B2695" s="3" t="s">
        <v>333</v>
      </c>
      <c r="C2695" s="0" t="n">
        <v>121</v>
      </c>
      <c r="D2695" s="0" t="n">
        <v>10</v>
      </c>
      <c r="E2695" s="0" t="str">
        <f aca="false">INDEX(lot!$B$2:$B$1201,MATCH(B2695,lot!$A$2:$A$1201,0))</f>
        <v>SUP-D</v>
      </c>
      <c r="F2695" s="3" t="n">
        <f aca="false">YEAR(A2695)*100+MONTH(A2695)</f>
        <v>202607</v>
      </c>
    </row>
    <row r="2696" customFormat="false" ht="15" hidden="false" customHeight="false" outlineLevel="0" collapsed="false">
      <c r="A2696" s="2" t="n">
        <v>46212</v>
      </c>
      <c r="B2696" s="3" t="s">
        <v>364</v>
      </c>
      <c r="C2696" s="0" t="n">
        <v>133</v>
      </c>
      <c r="D2696" s="0" t="n">
        <v>0</v>
      </c>
      <c r="E2696" s="0" t="str">
        <f aca="false">INDEX(lot!$B$2:$B$1201,MATCH(B2696,lot!$A$2:$A$1201,0))</f>
        <v>SUP-D</v>
      </c>
      <c r="F2696" s="3" t="n">
        <f aca="false">YEAR(A2696)*100+MONTH(A2696)</f>
        <v>202607</v>
      </c>
    </row>
    <row r="2697" customFormat="false" ht="15" hidden="false" customHeight="false" outlineLevel="0" collapsed="false">
      <c r="A2697" s="2" t="n">
        <v>46212</v>
      </c>
      <c r="B2697" s="3" t="s">
        <v>364</v>
      </c>
      <c r="C2697" s="0" t="n">
        <v>187</v>
      </c>
      <c r="D2697" s="0" t="n">
        <v>1</v>
      </c>
      <c r="E2697" s="0" t="str">
        <f aca="false">INDEX(lot!$B$2:$B$1201,MATCH(B2697,lot!$A$2:$A$1201,0))</f>
        <v>SUP-D</v>
      </c>
      <c r="F2697" s="3" t="n">
        <f aca="false">YEAR(A2697)*100+MONTH(A2697)</f>
        <v>202607</v>
      </c>
    </row>
    <row r="2698" customFormat="false" ht="15" hidden="false" customHeight="false" outlineLevel="0" collapsed="false">
      <c r="A2698" s="2" t="n">
        <v>46212</v>
      </c>
      <c r="B2698" s="3" t="s">
        <v>373</v>
      </c>
      <c r="C2698" s="0" t="n">
        <v>159</v>
      </c>
      <c r="D2698" s="0" t="n">
        <v>4</v>
      </c>
      <c r="E2698" s="0" t="str">
        <f aca="false">INDEX(lot!$B$2:$B$1201,MATCH(B2698,lot!$A$2:$A$1201,0))</f>
        <v>SUP-C</v>
      </c>
      <c r="F2698" s="3" t="n">
        <f aca="false">YEAR(A2698)*100+MONTH(A2698)</f>
        <v>202607</v>
      </c>
    </row>
    <row r="2699" customFormat="false" ht="15" hidden="false" customHeight="false" outlineLevel="0" collapsed="false">
      <c r="A2699" s="2" t="n">
        <v>46212</v>
      </c>
      <c r="B2699" s="3" t="s">
        <v>373</v>
      </c>
      <c r="C2699" s="0" t="n">
        <v>197</v>
      </c>
      <c r="D2699" s="0" t="n">
        <v>6</v>
      </c>
      <c r="E2699" s="0" t="str">
        <f aca="false">INDEX(lot!$B$2:$B$1201,MATCH(B2699,lot!$A$2:$A$1201,0))</f>
        <v>SUP-C</v>
      </c>
      <c r="F2699" s="3" t="n">
        <f aca="false">YEAR(A2699)*100+MONTH(A2699)</f>
        <v>202607</v>
      </c>
    </row>
    <row r="2700" customFormat="false" ht="15" hidden="false" customHeight="false" outlineLevel="0" collapsed="false">
      <c r="A2700" s="2" t="n">
        <v>46212</v>
      </c>
      <c r="B2700" s="3" t="s">
        <v>374</v>
      </c>
      <c r="C2700" s="0" t="n">
        <v>167</v>
      </c>
      <c r="D2700" s="0" t="n">
        <v>1</v>
      </c>
      <c r="E2700" s="0" t="str">
        <f aca="false">INDEX(lot!$B$2:$B$1201,MATCH(B2700,lot!$A$2:$A$1201,0))</f>
        <v>SUP-E</v>
      </c>
      <c r="F2700" s="3" t="n">
        <f aca="false">YEAR(A2700)*100+MONTH(A2700)</f>
        <v>202607</v>
      </c>
    </row>
    <row r="2701" customFormat="false" ht="15" hidden="false" customHeight="false" outlineLevel="0" collapsed="false">
      <c r="A2701" s="2" t="n">
        <v>46212</v>
      </c>
      <c r="B2701" s="3" t="s">
        <v>419</v>
      </c>
      <c r="C2701" s="0" t="n">
        <v>187</v>
      </c>
      <c r="D2701" s="0" t="n">
        <v>8</v>
      </c>
      <c r="E2701" s="0" t="str">
        <f aca="false">INDEX(lot!$B$2:$B$1201,MATCH(B2701,lot!$A$2:$A$1201,0))</f>
        <v>SUP-D</v>
      </c>
      <c r="F2701" s="3" t="n">
        <f aca="false">YEAR(A2701)*100+MONTH(A2701)</f>
        <v>202607</v>
      </c>
    </row>
    <row r="2702" customFormat="false" ht="15" hidden="false" customHeight="false" outlineLevel="0" collapsed="false">
      <c r="A2702" s="2" t="n">
        <v>46212</v>
      </c>
      <c r="B2702" s="3" t="s">
        <v>419</v>
      </c>
      <c r="C2702" s="0" t="n">
        <v>119</v>
      </c>
      <c r="D2702" s="0" t="n">
        <v>4</v>
      </c>
      <c r="E2702" s="0" t="str">
        <f aca="false">INDEX(lot!$B$2:$B$1201,MATCH(B2702,lot!$A$2:$A$1201,0))</f>
        <v>SUP-D</v>
      </c>
      <c r="F2702" s="3" t="n">
        <f aca="false">YEAR(A2702)*100+MONTH(A2702)</f>
        <v>202607</v>
      </c>
    </row>
    <row r="2703" customFormat="false" ht="15" hidden="false" customHeight="false" outlineLevel="0" collapsed="false">
      <c r="A2703" s="2" t="n">
        <v>46212</v>
      </c>
      <c r="B2703" s="3" t="s">
        <v>479</v>
      </c>
      <c r="C2703" s="0" t="n">
        <v>177</v>
      </c>
      <c r="D2703" s="0" t="n">
        <v>3</v>
      </c>
      <c r="E2703" s="0" t="str">
        <f aca="false">INDEX(lot!$B$2:$B$1201,MATCH(B2703,lot!$A$2:$A$1201,0))</f>
        <v>SUP-E</v>
      </c>
      <c r="F2703" s="3" t="n">
        <f aca="false">YEAR(A2703)*100+MONTH(A2703)</f>
        <v>202607</v>
      </c>
    </row>
    <row r="2704" customFormat="false" ht="15" hidden="false" customHeight="false" outlineLevel="0" collapsed="false">
      <c r="A2704" s="2" t="n">
        <v>46212</v>
      </c>
      <c r="B2704" s="3" t="s">
        <v>479</v>
      </c>
      <c r="C2704" s="0" t="n">
        <v>63</v>
      </c>
      <c r="D2704" s="0" t="n">
        <v>1</v>
      </c>
      <c r="E2704" s="0" t="str">
        <f aca="false">INDEX(lot!$B$2:$B$1201,MATCH(B2704,lot!$A$2:$A$1201,0))</f>
        <v>SUP-E</v>
      </c>
      <c r="F2704" s="3" t="n">
        <f aca="false">YEAR(A2704)*100+MONTH(A2704)</f>
        <v>202607</v>
      </c>
    </row>
    <row r="2705" customFormat="false" ht="15" hidden="false" customHeight="false" outlineLevel="0" collapsed="false">
      <c r="A2705" s="2" t="n">
        <v>46212</v>
      </c>
      <c r="B2705" s="3" t="s">
        <v>504</v>
      </c>
      <c r="C2705" s="0" t="n">
        <v>182</v>
      </c>
      <c r="D2705" s="0" t="n">
        <v>14</v>
      </c>
      <c r="E2705" s="0" t="str">
        <f aca="false">INDEX(lot!$B$2:$B$1201,MATCH(B2705,lot!$A$2:$A$1201,0))</f>
        <v>SUP-A</v>
      </c>
      <c r="F2705" s="3" t="n">
        <f aca="false">YEAR(A2705)*100+MONTH(A2705)</f>
        <v>202607</v>
      </c>
    </row>
    <row r="2706" customFormat="false" ht="15" hidden="false" customHeight="false" outlineLevel="0" collapsed="false">
      <c r="A2706" s="2" t="n">
        <v>46212</v>
      </c>
      <c r="B2706" s="3" t="s">
        <v>504</v>
      </c>
      <c r="C2706" s="0" t="n">
        <v>127</v>
      </c>
      <c r="D2706" s="0" t="n">
        <v>10</v>
      </c>
      <c r="E2706" s="0" t="str">
        <f aca="false">INDEX(lot!$B$2:$B$1201,MATCH(B2706,lot!$A$2:$A$1201,0))</f>
        <v>SUP-A</v>
      </c>
      <c r="F2706" s="3" t="n">
        <f aca="false">YEAR(A2706)*100+MONTH(A2706)</f>
        <v>202607</v>
      </c>
    </row>
    <row r="2707" customFormat="false" ht="15" hidden="false" customHeight="false" outlineLevel="0" collapsed="false">
      <c r="A2707" s="2" t="n">
        <v>46212</v>
      </c>
      <c r="B2707" s="3" t="s">
        <v>540</v>
      </c>
      <c r="C2707" s="0" t="n">
        <v>204</v>
      </c>
      <c r="D2707" s="0" t="n">
        <v>4</v>
      </c>
      <c r="E2707" s="0" t="str">
        <f aca="false">INDEX(lot!$B$2:$B$1201,MATCH(B2707,lot!$A$2:$A$1201,0))</f>
        <v>SUP-C</v>
      </c>
      <c r="F2707" s="3" t="n">
        <f aca="false">YEAR(A2707)*100+MONTH(A2707)</f>
        <v>202607</v>
      </c>
    </row>
    <row r="2708" customFormat="false" ht="15" hidden="false" customHeight="false" outlineLevel="0" collapsed="false">
      <c r="A2708" s="2" t="n">
        <v>46212</v>
      </c>
      <c r="B2708" s="3" t="s">
        <v>574</v>
      </c>
      <c r="C2708" s="0" t="n">
        <v>107</v>
      </c>
      <c r="D2708" s="0" t="n">
        <v>1</v>
      </c>
      <c r="E2708" s="0" t="str">
        <f aca="false">INDEX(lot!$B$2:$B$1201,MATCH(B2708,lot!$A$2:$A$1201,0))</f>
        <v>SUP-E</v>
      </c>
      <c r="F2708" s="3" t="n">
        <f aca="false">YEAR(A2708)*100+MONTH(A2708)</f>
        <v>202607</v>
      </c>
    </row>
    <row r="2709" customFormat="false" ht="15" hidden="false" customHeight="false" outlineLevel="0" collapsed="false">
      <c r="A2709" s="2" t="n">
        <v>46212</v>
      </c>
      <c r="B2709" s="3" t="s">
        <v>574</v>
      </c>
      <c r="C2709" s="0" t="n">
        <v>188</v>
      </c>
      <c r="D2709" s="0" t="n">
        <v>1</v>
      </c>
      <c r="E2709" s="0" t="str">
        <f aca="false">INDEX(lot!$B$2:$B$1201,MATCH(B2709,lot!$A$2:$A$1201,0))</f>
        <v>SUP-E</v>
      </c>
      <c r="F2709" s="3" t="n">
        <f aca="false">YEAR(A2709)*100+MONTH(A2709)</f>
        <v>202607</v>
      </c>
    </row>
    <row r="2710" customFormat="false" ht="15" hidden="false" customHeight="false" outlineLevel="0" collapsed="false">
      <c r="A2710" s="2" t="n">
        <v>46212</v>
      </c>
      <c r="B2710" s="3" t="s">
        <v>658</v>
      </c>
      <c r="C2710" s="0" t="n">
        <v>168</v>
      </c>
      <c r="D2710" s="0" t="n">
        <v>4</v>
      </c>
      <c r="E2710" s="0" t="str">
        <f aca="false">INDEX(lot!$B$2:$B$1201,MATCH(B2710,lot!$A$2:$A$1201,0))</f>
        <v>SUP-E</v>
      </c>
      <c r="F2710" s="3" t="n">
        <f aca="false">YEAR(A2710)*100+MONTH(A2710)</f>
        <v>202607</v>
      </c>
    </row>
    <row r="2711" customFormat="false" ht="15" hidden="false" customHeight="false" outlineLevel="0" collapsed="false">
      <c r="A2711" s="2" t="n">
        <v>46212</v>
      </c>
      <c r="B2711" s="3" t="s">
        <v>658</v>
      </c>
      <c r="C2711" s="0" t="n">
        <v>116</v>
      </c>
      <c r="D2711" s="0" t="n">
        <v>3</v>
      </c>
      <c r="E2711" s="0" t="str">
        <f aca="false">INDEX(lot!$B$2:$B$1201,MATCH(B2711,lot!$A$2:$A$1201,0))</f>
        <v>SUP-E</v>
      </c>
      <c r="F2711" s="3" t="n">
        <f aca="false">YEAR(A2711)*100+MONTH(A2711)</f>
        <v>202607</v>
      </c>
    </row>
    <row r="2712" customFormat="false" ht="15" hidden="false" customHeight="false" outlineLevel="0" collapsed="false">
      <c r="A2712" s="2" t="n">
        <v>46212</v>
      </c>
      <c r="B2712" s="3" t="s">
        <v>764</v>
      </c>
      <c r="C2712" s="0" t="n">
        <v>206</v>
      </c>
      <c r="D2712" s="0" t="n">
        <v>17</v>
      </c>
      <c r="E2712" s="0" t="str">
        <f aca="false">INDEX(lot!$B$2:$B$1201,MATCH(B2712,lot!$A$2:$A$1201,0))</f>
        <v>SUP-C</v>
      </c>
      <c r="F2712" s="3" t="n">
        <f aca="false">YEAR(A2712)*100+MONTH(A2712)</f>
        <v>202607</v>
      </c>
    </row>
    <row r="2713" customFormat="false" ht="15" hidden="false" customHeight="false" outlineLevel="0" collapsed="false">
      <c r="A2713" s="2" t="n">
        <v>46212</v>
      </c>
      <c r="B2713" s="3" t="s">
        <v>764</v>
      </c>
      <c r="C2713" s="0" t="n">
        <v>105</v>
      </c>
      <c r="D2713" s="0" t="n">
        <v>21</v>
      </c>
      <c r="E2713" s="0" t="str">
        <f aca="false">INDEX(lot!$B$2:$B$1201,MATCH(B2713,lot!$A$2:$A$1201,0))</f>
        <v>SUP-C</v>
      </c>
      <c r="F2713" s="3" t="n">
        <f aca="false">YEAR(A2713)*100+MONTH(A2713)</f>
        <v>202607</v>
      </c>
    </row>
    <row r="2714" customFormat="false" ht="15" hidden="false" customHeight="false" outlineLevel="0" collapsed="false">
      <c r="A2714" s="2" t="n">
        <v>46212</v>
      </c>
      <c r="B2714" s="3" t="s">
        <v>804</v>
      </c>
      <c r="C2714" s="0" t="n">
        <v>155</v>
      </c>
      <c r="D2714" s="0" t="n">
        <v>5</v>
      </c>
      <c r="E2714" s="0" t="str">
        <f aca="false">INDEX(lot!$B$2:$B$1201,MATCH(B2714,lot!$A$2:$A$1201,0))</f>
        <v>SUP-C</v>
      </c>
      <c r="F2714" s="3" t="n">
        <f aca="false">YEAR(A2714)*100+MONTH(A2714)</f>
        <v>202607</v>
      </c>
    </row>
    <row r="2715" customFormat="false" ht="15" hidden="false" customHeight="false" outlineLevel="0" collapsed="false">
      <c r="A2715" s="2" t="n">
        <v>46212</v>
      </c>
      <c r="B2715" s="3" t="s">
        <v>804</v>
      </c>
      <c r="C2715" s="0" t="n">
        <v>231</v>
      </c>
      <c r="D2715" s="0" t="n">
        <v>7</v>
      </c>
      <c r="E2715" s="0" t="str">
        <f aca="false">INDEX(lot!$B$2:$B$1201,MATCH(B2715,lot!$A$2:$A$1201,0))</f>
        <v>SUP-C</v>
      </c>
      <c r="F2715" s="3" t="n">
        <f aca="false">YEAR(A2715)*100+MONTH(A2715)</f>
        <v>202607</v>
      </c>
    </row>
    <row r="2716" customFormat="false" ht="15" hidden="false" customHeight="false" outlineLevel="0" collapsed="false">
      <c r="A2716" s="2" t="n">
        <v>46212</v>
      </c>
      <c r="B2716" s="3" t="s">
        <v>851</v>
      </c>
      <c r="C2716" s="0" t="n">
        <v>124</v>
      </c>
      <c r="D2716" s="0" t="n">
        <v>2</v>
      </c>
      <c r="E2716" s="0" t="str">
        <f aca="false">INDEX(lot!$B$2:$B$1201,MATCH(B2716,lot!$A$2:$A$1201,0))</f>
        <v>SUP-E</v>
      </c>
      <c r="F2716" s="3" t="n">
        <f aca="false">YEAR(A2716)*100+MONTH(A2716)</f>
        <v>202607</v>
      </c>
    </row>
    <row r="2717" customFormat="false" ht="15" hidden="false" customHeight="false" outlineLevel="0" collapsed="false">
      <c r="A2717" s="2" t="n">
        <v>46212</v>
      </c>
      <c r="B2717" s="3" t="s">
        <v>968</v>
      </c>
      <c r="C2717" s="0" t="n">
        <v>205</v>
      </c>
      <c r="D2717" s="0" t="n">
        <v>4</v>
      </c>
      <c r="E2717" s="0" t="str">
        <f aca="false">INDEX(lot!$B$2:$B$1201,MATCH(B2717,lot!$A$2:$A$1201,0))</f>
        <v>SUP-A</v>
      </c>
      <c r="F2717" s="3" t="n">
        <f aca="false">YEAR(A2717)*100+MONTH(A2717)</f>
        <v>202607</v>
      </c>
    </row>
    <row r="2718" customFormat="false" ht="15" hidden="false" customHeight="false" outlineLevel="0" collapsed="false">
      <c r="A2718" s="2" t="n">
        <v>46212</v>
      </c>
      <c r="B2718" s="3" t="s">
        <v>968</v>
      </c>
      <c r="C2718" s="0" t="n">
        <v>249</v>
      </c>
      <c r="D2718" s="0" t="n">
        <v>2</v>
      </c>
      <c r="E2718" s="0" t="str">
        <f aca="false">INDEX(lot!$B$2:$B$1201,MATCH(B2718,lot!$A$2:$A$1201,0))</f>
        <v>SUP-A</v>
      </c>
      <c r="F2718" s="3" t="n">
        <f aca="false">YEAR(A2718)*100+MONTH(A2718)</f>
        <v>202607</v>
      </c>
    </row>
    <row r="2719" customFormat="false" ht="15" hidden="false" customHeight="false" outlineLevel="0" collapsed="false">
      <c r="A2719" s="2" t="n">
        <v>46212</v>
      </c>
      <c r="B2719" s="3" t="s">
        <v>1033</v>
      </c>
      <c r="C2719" s="0" t="n">
        <v>92</v>
      </c>
      <c r="D2719" s="0" t="n">
        <v>2</v>
      </c>
      <c r="E2719" s="0" t="str">
        <f aca="false">INDEX(lot!$B$2:$B$1201,MATCH(B2719,lot!$A$2:$A$1201,0))</f>
        <v>SUP-C</v>
      </c>
      <c r="F2719" s="3" t="n">
        <f aca="false">YEAR(A2719)*100+MONTH(A2719)</f>
        <v>202607</v>
      </c>
    </row>
    <row r="2720" customFormat="false" ht="15" hidden="false" customHeight="false" outlineLevel="0" collapsed="false">
      <c r="A2720" s="2" t="n">
        <v>46212</v>
      </c>
      <c r="B2720" s="3" t="s">
        <v>1040</v>
      </c>
      <c r="C2720" s="0" t="n">
        <v>223</v>
      </c>
      <c r="D2720" s="0" t="n">
        <v>3</v>
      </c>
      <c r="E2720" s="0" t="str">
        <f aca="false">INDEX(lot!$B$2:$B$1201,MATCH(B2720,lot!$A$2:$A$1201,0))</f>
        <v>SUP-E</v>
      </c>
      <c r="F2720" s="3" t="n">
        <f aca="false">YEAR(A2720)*100+MONTH(A2720)</f>
        <v>202607</v>
      </c>
    </row>
    <row r="2721" customFormat="false" ht="15" hidden="false" customHeight="false" outlineLevel="0" collapsed="false">
      <c r="A2721" s="2" t="n">
        <v>46212</v>
      </c>
      <c r="B2721" s="3" t="s">
        <v>1040</v>
      </c>
      <c r="C2721" s="0" t="n">
        <v>209</v>
      </c>
      <c r="D2721" s="0" t="n">
        <v>0</v>
      </c>
      <c r="E2721" s="0" t="str">
        <f aca="false">INDEX(lot!$B$2:$B$1201,MATCH(B2721,lot!$A$2:$A$1201,0))</f>
        <v>SUP-E</v>
      </c>
      <c r="F2721" s="3" t="n">
        <f aca="false">YEAR(A2721)*100+MONTH(A2721)</f>
        <v>202607</v>
      </c>
    </row>
    <row r="2722" customFormat="false" ht="15" hidden="false" customHeight="false" outlineLevel="0" collapsed="false">
      <c r="A2722" s="2" t="n">
        <v>46213</v>
      </c>
      <c r="B2722" s="3" t="s">
        <v>44</v>
      </c>
      <c r="C2722" s="0" t="n">
        <v>75</v>
      </c>
      <c r="D2722" s="0" t="n">
        <v>0</v>
      </c>
      <c r="E2722" s="0" t="str">
        <f aca="false">INDEX(lot!$B$2:$B$1201,MATCH(B2722,lot!$A$2:$A$1201,0))</f>
        <v>SUP-E</v>
      </c>
      <c r="F2722" s="3" t="n">
        <f aca="false">YEAR(A2722)*100+MONTH(A2722)</f>
        <v>202607</v>
      </c>
    </row>
    <row r="2723" customFormat="false" ht="15" hidden="false" customHeight="false" outlineLevel="0" collapsed="false">
      <c r="A2723" s="2" t="n">
        <v>46213</v>
      </c>
      <c r="B2723" s="3" t="s">
        <v>44</v>
      </c>
      <c r="C2723" s="0" t="n">
        <v>191</v>
      </c>
      <c r="D2723" s="0" t="n">
        <v>1</v>
      </c>
      <c r="E2723" s="0" t="str">
        <f aca="false">INDEX(lot!$B$2:$B$1201,MATCH(B2723,lot!$A$2:$A$1201,0))</f>
        <v>SUP-E</v>
      </c>
      <c r="F2723" s="3" t="n">
        <f aca="false">YEAR(A2723)*100+MONTH(A2723)</f>
        <v>202607</v>
      </c>
    </row>
    <row r="2724" customFormat="false" ht="15" hidden="false" customHeight="false" outlineLevel="0" collapsed="false">
      <c r="A2724" s="2" t="n">
        <v>46213</v>
      </c>
      <c r="B2724" s="3" t="s">
        <v>333</v>
      </c>
      <c r="C2724" s="0" t="n">
        <v>80</v>
      </c>
      <c r="D2724" s="0" t="n">
        <v>4</v>
      </c>
      <c r="E2724" s="0" t="str">
        <f aca="false">INDEX(lot!$B$2:$B$1201,MATCH(B2724,lot!$A$2:$A$1201,0))</f>
        <v>SUP-D</v>
      </c>
      <c r="F2724" s="3" t="n">
        <f aca="false">YEAR(A2724)*100+MONTH(A2724)</f>
        <v>202607</v>
      </c>
    </row>
    <row r="2725" customFormat="false" ht="15" hidden="false" customHeight="false" outlineLevel="0" collapsed="false">
      <c r="A2725" s="2" t="n">
        <v>46213</v>
      </c>
      <c r="B2725" s="3" t="s">
        <v>479</v>
      </c>
      <c r="C2725" s="0" t="n">
        <v>231</v>
      </c>
      <c r="D2725" s="0" t="n">
        <v>2</v>
      </c>
      <c r="E2725" s="0" t="str">
        <f aca="false">INDEX(lot!$B$2:$B$1201,MATCH(B2725,lot!$A$2:$A$1201,0))</f>
        <v>SUP-E</v>
      </c>
      <c r="F2725" s="3" t="n">
        <f aca="false">YEAR(A2725)*100+MONTH(A2725)</f>
        <v>202607</v>
      </c>
    </row>
    <row r="2726" customFormat="false" ht="15" hidden="false" customHeight="false" outlineLevel="0" collapsed="false">
      <c r="A2726" s="2" t="n">
        <v>46213</v>
      </c>
      <c r="B2726" s="3" t="s">
        <v>504</v>
      </c>
      <c r="C2726" s="0" t="n">
        <v>47</v>
      </c>
      <c r="D2726" s="0" t="n">
        <v>10</v>
      </c>
      <c r="E2726" s="0" t="str">
        <f aca="false">INDEX(lot!$B$2:$B$1201,MATCH(B2726,lot!$A$2:$A$1201,0))</f>
        <v>SUP-A</v>
      </c>
      <c r="F2726" s="3" t="n">
        <f aca="false">YEAR(A2726)*100+MONTH(A2726)</f>
        <v>202607</v>
      </c>
    </row>
    <row r="2727" customFormat="false" ht="15" hidden="false" customHeight="false" outlineLevel="0" collapsed="false">
      <c r="A2727" s="2" t="n">
        <v>46213</v>
      </c>
      <c r="B2727" s="3" t="s">
        <v>583</v>
      </c>
      <c r="C2727" s="0" t="n">
        <v>128</v>
      </c>
      <c r="D2727" s="0" t="n">
        <v>2</v>
      </c>
      <c r="E2727" s="0" t="str">
        <f aca="false">INDEX(lot!$B$2:$B$1201,MATCH(B2727,lot!$A$2:$A$1201,0))</f>
        <v>SUP-D</v>
      </c>
      <c r="F2727" s="3" t="n">
        <f aca="false">YEAR(A2727)*100+MONTH(A2727)</f>
        <v>202607</v>
      </c>
    </row>
    <row r="2728" customFormat="false" ht="15" hidden="false" customHeight="false" outlineLevel="0" collapsed="false">
      <c r="A2728" s="2" t="n">
        <v>46213</v>
      </c>
      <c r="B2728" s="3" t="s">
        <v>583</v>
      </c>
      <c r="C2728" s="0" t="n">
        <v>170</v>
      </c>
      <c r="D2728" s="0" t="n">
        <v>2</v>
      </c>
      <c r="E2728" s="0" t="str">
        <f aca="false">INDEX(lot!$B$2:$B$1201,MATCH(B2728,lot!$A$2:$A$1201,0))</f>
        <v>SUP-D</v>
      </c>
      <c r="F2728" s="3" t="n">
        <f aca="false">YEAR(A2728)*100+MONTH(A2728)</f>
        <v>202607</v>
      </c>
    </row>
    <row r="2729" customFormat="false" ht="15" hidden="false" customHeight="false" outlineLevel="0" collapsed="false">
      <c r="A2729" s="2" t="n">
        <v>46213</v>
      </c>
      <c r="B2729" s="3" t="s">
        <v>764</v>
      </c>
      <c r="C2729" s="0" t="n">
        <v>118</v>
      </c>
      <c r="D2729" s="0" t="n">
        <v>21</v>
      </c>
      <c r="E2729" s="0" t="str">
        <f aca="false">INDEX(lot!$B$2:$B$1201,MATCH(B2729,lot!$A$2:$A$1201,0))</f>
        <v>SUP-C</v>
      </c>
      <c r="F2729" s="3" t="n">
        <f aca="false">YEAR(A2729)*100+MONTH(A2729)</f>
        <v>202607</v>
      </c>
    </row>
    <row r="2730" customFormat="false" ht="15" hidden="false" customHeight="false" outlineLevel="0" collapsed="false">
      <c r="A2730" s="2" t="n">
        <v>46213</v>
      </c>
      <c r="B2730" s="3" t="s">
        <v>764</v>
      </c>
      <c r="C2730" s="0" t="n">
        <v>210</v>
      </c>
      <c r="D2730" s="0" t="n">
        <v>34</v>
      </c>
      <c r="E2730" s="0" t="str">
        <f aca="false">INDEX(lot!$B$2:$B$1201,MATCH(B2730,lot!$A$2:$A$1201,0))</f>
        <v>SUP-C</v>
      </c>
      <c r="F2730" s="3" t="n">
        <f aca="false">YEAR(A2730)*100+MONTH(A2730)</f>
        <v>202607</v>
      </c>
    </row>
    <row r="2731" customFormat="false" ht="15" hidden="false" customHeight="false" outlineLevel="0" collapsed="false">
      <c r="A2731" s="2" t="n">
        <v>46213</v>
      </c>
      <c r="B2731" s="3" t="s">
        <v>774</v>
      </c>
      <c r="C2731" s="0" t="n">
        <v>201</v>
      </c>
      <c r="D2731" s="0" t="n">
        <v>3</v>
      </c>
      <c r="E2731" s="0" t="str">
        <f aca="false">INDEX(lot!$B$2:$B$1201,MATCH(B2731,lot!$A$2:$A$1201,0))</f>
        <v>SUP-A</v>
      </c>
      <c r="F2731" s="3" t="n">
        <f aca="false">YEAR(A2731)*100+MONTH(A2731)</f>
        <v>202607</v>
      </c>
    </row>
    <row r="2732" customFormat="false" ht="15" hidden="false" customHeight="false" outlineLevel="0" collapsed="false">
      <c r="A2732" s="2" t="n">
        <v>46213</v>
      </c>
      <c r="B2732" s="3" t="s">
        <v>774</v>
      </c>
      <c r="C2732" s="0" t="n">
        <v>251</v>
      </c>
      <c r="D2732" s="0" t="n">
        <v>5</v>
      </c>
      <c r="E2732" s="0" t="str">
        <f aca="false">INDEX(lot!$B$2:$B$1201,MATCH(B2732,lot!$A$2:$A$1201,0))</f>
        <v>SUP-A</v>
      </c>
      <c r="F2732" s="3" t="n">
        <f aca="false">YEAR(A2732)*100+MONTH(A2732)</f>
        <v>202607</v>
      </c>
    </row>
    <row r="2733" customFormat="false" ht="15" hidden="false" customHeight="false" outlineLevel="0" collapsed="false">
      <c r="A2733" s="2" t="n">
        <v>46213</v>
      </c>
      <c r="B2733" s="3" t="s">
        <v>804</v>
      </c>
      <c r="C2733" s="0" t="n">
        <v>83</v>
      </c>
      <c r="D2733" s="0" t="n">
        <v>2</v>
      </c>
      <c r="E2733" s="0" t="str">
        <f aca="false">INDEX(lot!$B$2:$B$1201,MATCH(B2733,lot!$A$2:$A$1201,0))</f>
        <v>SUP-C</v>
      </c>
      <c r="F2733" s="3" t="n">
        <f aca="false">YEAR(A2733)*100+MONTH(A2733)</f>
        <v>202607</v>
      </c>
    </row>
    <row r="2734" customFormat="false" ht="15" hidden="false" customHeight="false" outlineLevel="0" collapsed="false">
      <c r="A2734" s="2" t="n">
        <v>46213</v>
      </c>
      <c r="B2734" s="3" t="s">
        <v>812</v>
      </c>
      <c r="C2734" s="0" t="n">
        <v>163</v>
      </c>
      <c r="D2734" s="0" t="n">
        <v>2</v>
      </c>
      <c r="E2734" s="0" t="str">
        <f aca="false">INDEX(lot!$B$2:$B$1201,MATCH(B2734,lot!$A$2:$A$1201,0))</f>
        <v>SUP-B</v>
      </c>
      <c r="F2734" s="3" t="n">
        <f aca="false">YEAR(A2734)*100+MONTH(A2734)</f>
        <v>202607</v>
      </c>
    </row>
    <row r="2735" customFormat="false" ht="15" hidden="false" customHeight="false" outlineLevel="0" collapsed="false">
      <c r="A2735" s="2" t="n">
        <v>46213</v>
      </c>
      <c r="B2735" s="3" t="s">
        <v>833</v>
      </c>
      <c r="C2735" s="0" t="n">
        <v>145</v>
      </c>
      <c r="D2735" s="0" t="n">
        <v>5</v>
      </c>
      <c r="E2735" s="0" t="str">
        <f aca="false">INDEX(lot!$B$2:$B$1201,MATCH(B2735,lot!$A$2:$A$1201,0))</f>
        <v>SUP-D</v>
      </c>
      <c r="F2735" s="3" t="n">
        <f aca="false">YEAR(A2735)*100+MONTH(A2735)</f>
        <v>202607</v>
      </c>
    </row>
    <row r="2736" customFormat="false" ht="15" hidden="false" customHeight="false" outlineLevel="0" collapsed="false">
      <c r="A2736" s="2" t="n">
        <v>46213</v>
      </c>
      <c r="B2736" s="3" t="s">
        <v>833</v>
      </c>
      <c r="C2736" s="0" t="n">
        <v>197</v>
      </c>
      <c r="D2736" s="0" t="n">
        <v>16</v>
      </c>
      <c r="E2736" s="0" t="str">
        <f aca="false">INDEX(lot!$B$2:$B$1201,MATCH(B2736,lot!$A$2:$A$1201,0))</f>
        <v>SUP-D</v>
      </c>
      <c r="F2736" s="3" t="n">
        <f aca="false">YEAR(A2736)*100+MONTH(A2736)</f>
        <v>202607</v>
      </c>
    </row>
    <row r="2737" customFormat="false" ht="15" hidden="false" customHeight="false" outlineLevel="0" collapsed="false">
      <c r="A2737" s="2" t="n">
        <v>46213</v>
      </c>
      <c r="B2737" s="3" t="s">
        <v>851</v>
      </c>
      <c r="C2737" s="0" t="n">
        <v>123</v>
      </c>
      <c r="D2737" s="0" t="n">
        <v>1</v>
      </c>
      <c r="E2737" s="0" t="str">
        <f aca="false">INDEX(lot!$B$2:$B$1201,MATCH(B2737,lot!$A$2:$A$1201,0))</f>
        <v>SUP-E</v>
      </c>
      <c r="F2737" s="3" t="n">
        <f aca="false">YEAR(A2737)*100+MONTH(A2737)</f>
        <v>202607</v>
      </c>
    </row>
    <row r="2738" customFormat="false" ht="15" hidden="false" customHeight="false" outlineLevel="0" collapsed="false">
      <c r="A2738" s="2" t="n">
        <v>46213</v>
      </c>
      <c r="B2738" s="3" t="s">
        <v>851</v>
      </c>
      <c r="C2738" s="0" t="n">
        <v>152</v>
      </c>
      <c r="D2738" s="0" t="n">
        <v>1</v>
      </c>
      <c r="E2738" s="0" t="str">
        <f aca="false">INDEX(lot!$B$2:$B$1201,MATCH(B2738,lot!$A$2:$A$1201,0))</f>
        <v>SUP-E</v>
      </c>
      <c r="F2738" s="3" t="n">
        <f aca="false">YEAR(A2738)*100+MONTH(A2738)</f>
        <v>202607</v>
      </c>
    </row>
    <row r="2739" customFormat="false" ht="15" hidden="false" customHeight="false" outlineLevel="0" collapsed="false">
      <c r="A2739" s="2" t="n">
        <v>46213</v>
      </c>
      <c r="B2739" s="3" t="s">
        <v>968</v>
      </c>
      <c r="C2739" s="0" t="n">
        <v>105</v>
      </c>
      <c r="D2739" s="0" t="n">
        <v>2</v>
      </c>
      <c r="E2739" s="0" t="str">
        <f aca="false">INDEX(lot!$B$2:$B$1201,MATCH(B2739,lot!$A$2:$A$1201,0))</f>
        <v>SUP-A</v>
      </c>
      <c r="F2739" s="3" t="n">
        <f aca="false">YEAR(A2739)*100+MONTH(A2739)</f>
        <v>202607</v>
      </c>
    </row>
    <row r="2740" customFormat="false" ht="15" hidden="false" customHeight="false" outlineLevel="0" collapsed="false">
      <c r="A2740" s="2" t="n">
        <v>46213</v>
      </c>
      <c r="B2740" s="3" t="s">
        <v>1001</v>
      </c>
      <c r="C2740" s="0" t="n">
        <v>104</v>
      </c>
      <c r="D2740" s="0" t="n">
        <v>0</v>
      </c>
      <c r="E2740" s="0" t="str">
        <f aca="false">INDEX(lot!$B$2:$B$1201,MATCH(B2740,lot!$A$2:$A$1201,0))</f>
        <v>SUP-E</v>
      </c>
      <c r="F2740" s="3" t="n">
        <f aca="false">YEAR(A2740)*100+MONTH(A2740)</f>
        <v>202607</v>
      </c>
    </row>
    <row r="2741" customFormat="false" ht="15" hidden="false" customHeight="false" outlineLevel="0" collapsed="false">
      <c r="A2741" s="2" t="n">
        <v>46213</v>
      </c>
      <c r="B2741" s="3" t="s">
        <v>1001</v>
      </c>
      <c r="C2741" s="0" t="n">
        <v>216</v>
      </c>
      <c r="D2741" s="0" t="n">
        <v>4</v>
      </c>
      <c r="E2741" s="0" t="str">
        <f aca="false">INDEX(lot!$B$2:$B$1201,MATCH(B2741,lot!$A$2:$A$1201,0))</f>
        <v>SUP-E</v>
      </c>
      <c r="F2741" s="3" t="n">
        <f aca="false">YEAR(A2741)*100+MONTH(A2741)</f>
        <v>202607</v>
      </c>
    </row>
    <row r="2742" customFormat="false" ht="15" hidden="false" customHeight="false" outlineLevel="0" collapsed="false">
      <c r="A2742" s="2" t="n">
        <v>46213</v>
      </c>
      <c r="B2742" s="3" t="s">
        <v>1033</v>
      </c>
      <c r="C2742" s="0" t="n">
        <v>161</v>
      </c>
      <c r="D2742" s="0" t="n">
        <v>6</v>
      </c>
      <c r="E2742" s="0" t="str">
        <f aca="false">INDEX(lot!$B$2:$B$1201,MATCH(B2742,lot!$A$2:$A$1201,0))</f>
        <v>SUP-C</v>
      </c>
      <c r="F2742" s="3" t="n">
        <f aca="false">YEAR(A2742)*100+MONTH(A2742)</f>
        <v>202607</v>
      </c>
    </row>
    <row r="2743" customFormat="false" ht="15" hidden="false" customHeight="false" outlineLevel="0" collapsed="false">
      <c r="A2743" s="2" t="n">
        <v>46213</v>
      </c>
      <c r="B2743" s="3" t="s">
        <v>1033</v>
      </c>
      <c r="C2743" s="0" t="n">
        <v>110</v>
      </c>
      <c r="D2743" s="0" t="n">
        <v>3</v>
      </c>
      <c r="E2743" s="0" t="str">
        <f aca="false">INDEX(lot!$B$2:$B$1201,MATCH(B2743,lot!$A$2:$A$1201,0))</f>
        <v>SUP-C</v>
      </c>
      <c r="F2743" s="3" t="n">
        <f aca="false">YEAR(A2743)*100+MONTH(A2743)</f>
        <v>202607</v>
      </c>
    </row>
    <row r="2744" customFormat="false" ht="15" hidden="false" customHeight="false" outlineLevel="0" collapsed="false">
      <c r="A2744" s="2" t="n">
        <v>46213</v>
      </c>
      <c r="B2744" s="3" t="s">
        <v>1081</v>
      </c>
      <c r="C2744" s="0" t="n">
        <v>135</v>
      </c>
      <c r="D2744" s="0" t="n">
        <v>3</v>
      </c>
      <c r="E2744" s="0" t="str">
        <f aca="false">INDEX(lot!$B$2:$B$1201,MATCH(B2744,lot!$A$2:$A$1201,0))</f>
        <v>SUP-A</v>
      </c>
      <c r="F2744" s="3" t="n">
        <f aca="false">YEAR(A2744)*100+MONTH(A2744)</f>
        <v>202607</v>
      </c>
    </row>
    <row r="2745" customFormat="false" ht="15" hidden="false" customHeight="false" outlineLevel="0" collapsed="false">
      <c r="A2745" s="2" t="n">
        <v>46213</v>
      </c>
      <c r="B2745" s="3" t="s">
        <v>1081</v>
      </c>
      <c r="C2745" s="0" t="n">
        <v>89</v>
      </c>
      <c r="D2745" s="0" t="n">
        <v>4</v>
      </c>
      <c r="E2745" s="0" t="str">
        <f aca="false">INDEX(lot!$B$2:$B$1201,MATCH(B2745,lot!$A$2:$A$1201,0))</f>
        <v>SUP-A</v>
      </c>
      <c r="F2745" s="3" t="n">
        <f aca="false">YEAR(A2745)*100+MONTH(A2745)</f>
        <v>202607</v>
      </c>
    </row>
    <row r="2746" customFormat="false" ht="15" hidden="false" customHeight="false" outlineLevel="0" collapsed="false">
      <c r="A2746" s="2" t="n">
        <v>46216</v>
      </c>
      <c r="B2746" s="3" t="s">
        <v>44</v>
      </c>
      <c r="C2746" s="0" t="n">
        <v>233</v>
      </c>
      <c r="D2746" s="0" t="n">
        <v>2</v>
      </c>
      <c r="E2746" s="0" t="str">
        <f aca="false">INDEX(lot!$B$2:$B$1201,MATCH(B2746,lot!$A$2:$A$1201,0))</f>
        <v>SUP-E</v>
      </c>
      <c r="F2746" s="3" t="n">
        <f aca="false">YEAR(A2746)*100+MONTH(A2746)</f>
        <v>202607</v>
      </c>
    </row>
    <row r="2747" customFormat="false" ht="15" hidden="false" customHeight="false" outlineLevel="0" collapsed="false">
      <c r="A2747" s="2" t="n">
        <v>46216</v>
      </c>
      <c r="B2747" s="3" t="s">
        <v>210</v>
      </c>
      <c r="C2747" s="0" t="n">
        <v>207</v>
      </c>
      <c r="D2747" s="0" t="n">
        <v>2</v>
      </c>
      <c r="E2747" s="0" t="str">
        <f aca="false">INDEX(lot!$B$2:$B$1201,MATCH(B2747,lot!$A$2:$A$1201,0))</f>
        <v>SUP-D</v>
      </c>
      <c r="F2747" s="3" t="n">
        <f aca="false">YEAR(A2747)*100+MONTH(A2747)</f>
        <v>202607</v>
      </c>
    </row>
    <row r="2748" customFormat="false" ht="15" hidden="false" customHeight="false" outlineLevel="0" collapsed="false">
      <c r="A2748" s="2" t="n">
        <v>46216</v>
      </c>
      <c r="B2748" s="3" t="s">
        <v>275</v>
      </c>
      <c r="C2748" s="0" t="n">
        <v>121</v>
      </c>
      <c r="D2748" s="0" t="n">
        <v>3</v>
      </c>
      <c r="E2748" s="0" t="str">
        <f aca="false">INDEX(lot!$B$2:$B$1201,MATCH(B2748,lot!$A$2:$A$1201,0))</f>
        <v>SUP-A</v>
      </c>
      <c r="F2748" s="3" t="n">
        <f aca="false">YEAR(A2748)*100+MONTH(A2748)</f>
        <v>202607</v>
      </c>
    </row>
    <row r="2749" customFormat="false" ht="15" hidden="false" customHeight="false" outlineLevel="0" collapsed="false">
      <c r="A2749" s="2" t="n">
        <v>46216</v>
      </c>
      <c r="B2749" s="3" t="s">
        <v>338</v>
      </c>
      <c r="C2749" s="0" t="n">
        <v>206</v>
      </c>
      <c r="D2749" s="0" t="n">
        <v>2</v>
      </c>
      <c r="E2749" s="0" t="str">
        <f aca="false">INDEX(lot!$B$2:$B$1201,MATCH(B2749,lot!$A$2:$A$1201,0))</f>
        <v>SUP-D</v>
      </c>
      <c r="F2749" s="3" t="n">
        <f aca="false">YEAR(A2749)*100+MONTH(A2749)</f>
        <v>202607</v>
      </c>
    </row>
    <row r="2750" customFormat="false" ht="15" hidden="false" customHeight="false" outlineLevel="0" collapsed="false">
      <c r="A2750" s="2" t="n">
        <v>46216</v>
      </c>
      <c r="B2750" s="3" t="s">
        <v>460</v>
      </c>
      <c r="C2750" s="0" t="n">
        <v>123</v>
      </c>
      <c r="D2750" s="0" t="n">
        <v>3</v>
      </c>
      <c r="E2750" s="0" t="str">
        <f aca="false">INDEX(lot!$B$2:$B$1201,MATCH(B2750,lot!$A$2:$A$1201,0))</f>
        <v>SUP-C</v>
      </c>
      <c r="F2750" s="3" t="n">
        <f aca="false">YEAR(A2750)*100+MONTH(A2750)</f>
        <v>202607</v>
      </c>
    </row>
    <row r="2751" customFormat="false" ht="15" hidden="false" customHeight="false" outlineLevel="0" collapsed="false">
      <c r="A2751" s="2" t="n">
        <v>46216</v>
      </c>
      <c r="B2751" s="3" t="s">
        <v>460</v>
      </c>
      <c r="C2751" s="0" t="n">
        <v>207</v>
      </c>
      <c r="D2751" s="0" t="n">
        <v>6</v>
      </c>
      <c r="E2751" s="0" t="str">
        <f aca="false">INDEX(lot!$B$2:$B$1201,MATCH(B2751,lot!$A$2:$A$1201,0))</f>
        <v>SUP-C</v>
      </c>
      <c r="F2751" s="3" t="n">
        <f aca="false">YEAR(A2751)*100+MONTH(A2751)</f>
        <v>202607</v>
      </c>
    </row>
    <row r="2752" customFormat="false" ht="15" hidden="false" customHeight="false" outlineLevel="0" collapsed="false">
      <c r="A2752" s="2" t="n">
        <v>46216</v>
      </c>
      <c r="B2752" s="3" t="s">
        <v>479</v>
      </c>
      <c r="C2752" s="0" t="n">
        <v>210</v>
      </c>
      <c r="D2752" s="0" t="n">
        <v>1</v>
      </c>
      <c r="E2752" s="0" t="str">
        <f aca="false">INDEX(lot!$B$2:$B$1201,MATCH(B2752,lot!$A$2:$A$1201,0))</f>
        <v>SUP-E</v>
      </c>
      <c r="F2752" s="3" t="n">
        <f aca="false">YEAR(A2752)*100+MONTH(A2752)</f>
        <v>202607</v>
      </c>
    </row>
    <row r="2753" customFormat="false" ht="15" hidden="false" customHeight="false" outlineLevel="0" collapsed="false">
      <c r="A2753" s="2" t="n">
        <v>46216</v>
      </c>
      <c r="B2753" s="3" t="s">
        <v>521</v>
      </c>
      <c r="C2753" s="0" t="n">
        <v>186</v>
      </c>
      <c r="D2753" s="0" t="n">
        <v>0</v>
      </c>
      <c r="E2753" s="0" t="str">
        <f aca="false">INDEX(lot!$B$2:$B$1201,MATCH(B2753,lot!$A$2:$A$1201,0))</f>
        <v>SUP-D</v>
      </c>
      <c r="F2753" s="3" t="n">
        <f aca="false">YEAR(A2753)*100+MONTH(A2753)</f>
        <v>202607</v>
      </c>
    </row>
    <row r="2754" customFormat="false" ht="15" hidden="false" customHeight="false" outlineLevel="0" collapsed="false">
      <c r="A2754" s="2" t="n">
        <v>46216</v>
      </c>
      <c r="B2754" s="3" t="s">
        <v>521</v>
      </c>
      <c r="C2754" s="0" t="n">
        <v>125</v>
      </c>
      <c r="D2754" s="0" t="n">
        <v>3</v>
      </c>
      <c r="E2754" s="0" t="str">
        <f aca="false">INDEX(lot!$B$2:$B$1201,MATCH(B2754,lot!$A$2:$A$1201,0))</f>
        <v>SUP-D</v>
      </c>
      <c r="F2754" s="3" t="n">
        <f aca="false">YEAR(A2754)*100+MONTH(A2754)</f>
        <v>202607</v>
      </c>
    </row>
    <row r="2755" customFormat="false" ht="15" hidden="false" customHeight="false" outlineLevel="0" collapsed="false">
      <c r="A2755" s="2" t="n">
        <v>46216</v>
      </c>
      <c r="B2755" s="3" t="s">
        <v>528</v>
      </c>
      <c r="C2755" s="0" t="n">
        <v>100</v>
      </c>
      <c r="D2755" s="0" t="n">
        <v>2</v>
      </c>
      <c r="E2755" s="0" t="str">
        <f aca="false">INDEX(lot!$B$2:$B$1201,MATCH(B2755,lot!$A$2:$A$1201,0))</f>
        <v>SUP-D</v>
      </c>
      <c r="F2755" s="3" t="n">
        <f aca="false">YEAR(A2755)*100+MONTH(A2755)</f>
        <v>202607</v>
      </c>
    </row>
    <row r="2756" customFormat="false" ht="15" hidden="false" customHeight="false" outlineLevel="0" collapsed="false">
      <c r="A2756" s="2" t="n">
        <v>46216</v>
      </c>
      <c r="B2756" s="3" t="s">
        <v>528</v>
      </c>
      <c r="C2756" s="0" t="n">
        <v>223</v>
      </c>
      <c r="D2756" s="0" t="n">
        <v>2</v>
      </c>
      <c r="E2756" s="0" t="str">
        <f aca="false">INDEX(lot!$B$2:$B$1201,MATCH(B2756,lot!$A$2:$A$1201,0))</f>
        <v>SUP-D</v>
      </c>
      <c r="F2756" s="3" t="n">
        <f aca="false">YEAR(A2756)*100+MONTH(A2756)</f>
        <v>202607</v>
      </c>
    </row>
    <row r="2757" customFormat="false" ht="15" hidden="false" customHeight="false" outlineLevel="0" collapsed="false">
      <c r="A2757" s="2" t="n">
        <v>46216</v>
      </c>
      <c r="B2757" s="3" t="s">
        <v>669</v>
      </c>
      <c r="C2757" s="0" t="n">
        <v>139</v>
      </c>
      <c r="D2757" s="0" t="n">
        <v>1</v>
      </c>
      <c r="E2757" s="0" t="str">
        <f aca="false">INDEX(lot!$B$2:$B$1201,MATCH(B2757,lot!$A$2:$A$1201,0))</f>
        <v>SUP-E</v>
      </c>
      <c r="F2757" s="3" t="n">
        <f aca="false">YEAR(A2757)*100+MONTH(A2757)</f>
        <v>202607</v>
      </c>
    </row>
    <row r="2758" customFormat="false" ht="15" hidden="false" customHeight="false" outlineLevel="0" collapsed="false">
      <c r="A2758" s="2" t="n">
        <v>46216</v>
      </c>
      <c r="B2758" s="3" t="s">
        <v>669</v>
      </c>
      <c r="C2758" s="0" t="n">
        <v>125</v>
      </c>
      <c r="D2758" s="0" t="n">
        <v>1</v>
      </c>
      <c r="E2758" s="0" t="str">
        <f aca="false">INDEX(lot!$B$2:$B$1201,MATCH(B2758,lot!$A$2:$A$1201,0))</f>
        <v>SUP-E</v>
      </c>
      <c r="F2758" s="3" t="n">
        <f aca="false">YEAR(A2758)*100+MONTH(A2758)</f>
        <v>202607</v>
      </c>
    </row>
    <row r="2759" customFormat="false" ht="15" hidden="false" customHeight="false" outlineLevel="0" collapsed="false">
      <c r="A2759" s="2" t="n">
        <v>46216</v>
      </c>
      <c r="B2759" s="3" t="s">
        <v>686</v>
      </c>
      <c r="C2759" s="0" t="n">
        <v>135</v>
      </c>
      <c r="D2759" s="0" t="n">
        <v>0</v>
      </c>
      <c r="E2759" s="0" t="str">
        <f aca="false">INDEX(lot!$B$2:$B$1201,MATCH(B2759,lot!$A$2:$A$1201,0))</f>
        <v>SUP-B</v>
      </c>
      <c r="F2759" s="3" t="n">
        <f aca="false">YEAR(A2759)*100+MONTH(A2759)</f>
        <v>202607</v>
      </c>
    </row>
    <row r="2760" customFormat="false" ht="15" hidden="false" customHeight="false" outlineLevel="0" collapsed="false">
      <c r="A2760" s="2" t="n">
        <v>46216</v>
      </c>
      <c r="B2760" s="3" t="s">
        <v>764</v>
      </c>
      <c r="C2760" s="0" t="n">
        <v>209</v>
      </c>
      <c r="D2760" s="0" t="n">
        <v>29</v>
      </c>
      <c r="E2760" s="0" t="str">
        <f aca="false">INDEX(lot!$B$2:$B$1201,MATCH(B2760,lot!$A$2:$A$1201,0))</f>
        <v>SUP-C</v>
      </c>
      <c r="F2760" s="3" t="n">
        <f aca="false">YEAR(A2760)*100+MONTH(A2760)</f>
        <v>202607</v>
      </c>
    </row>
    <row r="2761" customFormat="false" ht="15" hidden="false" customHeight="false" outlineLevel="0" collapsed="false">
      <c r="A2761" s="2" t="n">
        <v>46216</v>
      </c>
      <c r="B2761" s="3" t="s">
        <v>764</v>
      </c>
      <c r="C2761" s="0" t="n">
        <v>112</v>
      </c>
      <c r="D2761" s="0" t="n">
        <v>8</v>
      </c>
      <c r="E2761" s="0" t="str">
        <f aca="false">INDEX(lot!$B$2:$B$1201,MATCH(B2761,lot!$A$2:$A$1201,0))</f>
        <v>SUP-C</v>
      </c>
      <c r="F2761" s="3" t="n">
        <f aca="false">YEAR(A2761)*100+MONTH(A2761)</f>
        <v>202607</v>
      </c>
    </row>
    <row r="2762" customFormat="false" ht="15" hidden="false" customHeight="false" outlineLevel="0" collapsed="false">
      <c r="A2762" s="2" t="n">
        <v>46216</v>
      </c>
      <c r="B2762" s="3" t="s">
        <v>774</v>
      </c>
      <c r="C2762" s="0" t="n">
        <v>236</v>
      </c>
      <c r="D2762" s="0" t="n">
        <v>6</v>
      </c>
      <c r="E2762" s="0" t="str">
        <f aca="false">INDEX(lot!$B$2:$B$1201,MATCH(B2762,lot!$A$2:$A$1201,0))</f>
        <v>SUP-A</v>
      </c>
      <c r="F2762" s="3" t="n">
        <f aca="false">YEAR(A2762)*100+MONTH(A2762)</f>
        <v>202607</v>
      </c>
    </row>
    <row r="2763" customFormat="false" ht="15" hidden="false" customHeight="false" outlineLevel="0" collapsed="false">
      <c r="A2763" s="2" t="n">
        <v>46216</v>
      </c>
      <c r="B2763" s="3" t="s">
        <v>833</v>
      </c>
      <c r="C2763" s="0" t="n">
        <v>146</v>
      </c>
      <c r="D2763" s="0" t="n">
        <v>5</v>
      </c>
      <c r="E2763" s="0" t="str">
        <f aca="false">INDEX(lot!$B$2:$B$1201,MATCH(B2763,lot!$A$2:$A$1201,0))</f>
        <v>SUP-D</v>
      </c>
      <c r="F2763" s="3" t="n">
        <f aca="false">YEAR(A2763)*100+MONTH(A2763)</f>
        <v>202607</v>
      </c>
    </row>
    <row r="2764" customFormat="false" ht="15" hidden="false" customHeight="false" outlineLevel="0" collapsed="false">
      <c r="A2764" s="2" t="n">
        <v>46216</v>
      </c>
      <c r="B2764" s="3" t="s">
        <v>833</v>
      </c>
      <c r="C2764" s="0" t="n">
        <v>131</v>
      </c>
      <c r="D2764" s="0" t="n">
        <v>5</v>
      </c>
      <c r="E2764" s="0" t="str">
        <f aca="false">INDEX(lot!$B$2:$B$1201,MATCH(B2764,lot!$A$2:$A$1201,0))</f>
        <v>SUP-D</v>
      </c>
      <c r="F2764" s="3" t="n">
        <f aca="false">YEAR(A2764)*100+MONTH(A2764)</f>
        <v>202607</v>
      </c>
    </row>
    <row r="2765" customFormat="false" ht="15" hidden="false" customHeight="false" outlineLevel="0" collapsed="false">
      <c r="A2765" s="2" t="n">
        <v>46216</v>
      </c>
      <c r="B2765" s="3" t="s">
        <v>855</v>
      </c>
      <c r="C2765" s="0" t="n">
        <v>123</v>
      </c>
      <c r="D2765" s="0" t="n">
        <v>3</v>
      </c>
      <c r="E2765" s="0" t="str">
        <f aca="false">INDEX(lot!$B$2:$B$1201,MATCH(B2765,lot!$A$2:$A$1201,0))</f>
        <v>SUP-C</v>
      </c>
      <c r="F2765" s="3" t="n">
        <f aca="false">YEAR(A2765)*100+MONTH(A2765)</f>
        <v>202607</v>
      </c>
    </row>
    <row r="2766" customFormat="false" ht="15" hidden="false" customHeight="false" outlineLevel="0" collapsed="false">
      <c r="A2766" s="2" t="n">
        <v>46216</v>
      </c>
      <c r="B2766" s="3" t="s">
        <v>862</v>
      </c>
      <c r="C2766" s="0" t="n">
        <v>127</v>
      </c>
      <c r="D2766" s="0" t="n">
        <v>3</v>
      </c>
      <c r="E2766" s="0" t="str">
        <f aca="false">INDEX(lot!$B$2:$B$1201,MATCH(B2766,lot!$A$2:$A$1201,0))</f>
        <v>SUP-E</v>
      </c>
      <c r="F2766" s="3" t="n">
        <f aca="false">YEAR(A2766)*100+MONTH(A2766)</f>
        <v>202607</v>
      </c>
    </row>
    <row r="2767" customFormat="false" ht="15" hidden="false" customHeight="false" outlineLevel="0" collapsed="false">
      <c r="A2767" s="2" t="n">
        <v>46216</v>
      </c>
      <c r="B2767" s="3" t="s">
        <v>968</v>
      </c>
      <c r="C2767" s="0" t="n">
        <v>192</v>
      </c>
      <c r="D2767" s="0" t="n">
        <v>5</v>
      </c>
      <c r="E2767" s="0" t="str">
        <f aca="false">INDEX(lot!$B$2:$B$1201,MATCH(B2767,lot!$A$2:$A$1201,0))</f>
        <v>SUP-A</v>
      </c>
      <c r="F2767" s="3" t="n">
        <f aca="false">YEAR(A2767)*100+MONTH(A2767)</f>
        <v>202607</v>
      </c>
    </row>
    <row r="2768" customFormat="false" ht="15" hidden="false" customHeight="false" outlineLevel="0" collapsed="false">
      <c r="A2768" s="2" t="n">
        <v>46216</v>
      </c>
      <c r="B2768" s="3" t="s">
        <v>968</v>
      </c>
      <c r="C2768" s="0" t="n">
        <v>238</v>
      </c>
      <c r="D2768" s="0" t="n">
        <v>7</v>
      </c>
      <c r="E2768" s="0" t="str">
        <f aca="false">INDEX(lot!$B$2:$B$1201,MATCH(B2768,lot!$A$2:$A$1201,0))</f>
        <v>SUP-A</v>
      </c>
      <c r="F2768" s="3" t="n">
        <f aca="false">YEAR(A2768)*100+MONTH(A2768)</f>
        <v>202607</v>
      </c>
    </row>
    <row r="2769" customFormat="false" ht="15" hidden="false" customHeight="false" outlineLevel="0" collapsed="false">
      <c r="A2769" s="2" t="n">
        <v>46216</v>
      </c>
      <c r="B2769" s="3" t="s">
        <v>988</v>
      </c>
      <c r="C2769" s="0" t="n">
        <v>82</v>
      </c>
      <c r="D2769" s="0" t="n">
        <v>0</v>
      </c>
      <c r="E2769" s="0" t="str">
        <f aca="false">INDEX(lot!$B$2:$B$1201,MATCH(B2769,lot!$A$2:$A$1201,0))</f>
        <v>SUP-D</v>
      </c>
      <c r="F2769" s="3" t="n">
        <f aca="false">YEAR(A2769)*100+MONTH(A2769)</f>
        <v>202607</v>
      </c>
    </row>
    <row r="2770" customFormat="false" ht="15" hidden="false" customHeight="false" outlineLevel="0" collapsed="false">
      <c r="A2770" s="2" t="n">
        <v>46216</v>
      </c>
      <c r="B2770" s="3" t="s">
        <v>988</v>
      </c>
      <c r="C2770" s="0" t="n">
        <v>180</v>
      </c>
      <c r="D2770" s="0" t="n">
        <v>2</v>
      </c>
      <c r="E2770" s="0" t="str">
        <f aca="false">INDEX(lot!$B$2:$B$1201,MATCH(B2770,lot!$A$2:$A$1201,0))</f>
        <v>SUP-D</v>
      </c>
      <c r="F2770" s="3" t="n">
        <f aca="false">YEAR(A2770)*100+MONTH(A2770)</f>
        <v>202607</v>
      </c>
    </row>
    <row r="2771" customFormat="false" ht="15" hidden="false" customHeight="false" outlineLevel="0" collapsed="false">
      <c r="A2771" s="2" t="n">
        <v>46216</v>
      </c>
      <c r="B2771" s="3" t="s">
        <v>989</v>
      </c>
      <c r="C2771" s="0" t="n">
        <v>142</v>
      </c>
      <c r="D2771" s="0" t="n">
        <v>4</v>
      </c>
      <c r="E2771" s="0" t="str">
        <f aca="false">INDEX(lot!$B$2:$B$1201,MATCH(B2771,lot!$A$2:$A$1201,0))</f>
        <v>SUP-D</v>
      </c>
      <c r="F2771" s="3" t="n">
        <f aca="false">YEAR(A2771)*100+MONTH(A2771)</f>
        <v>202607</v>
      </c>
    </row>
    <row r="2772" customFormat="false" ht="15" hidden="false" customHeight="false" outlineLevel="0" collapsed="false">
      <c r="A2772" s="2" t="n">
        <v>46216</v>
      </c>
      <c r="B2772" s="3" t="s">
        <v>989</v>
      </c>
      <c r="C2772" s="0" t="n">
        <v>169</v>
      </c>
      <c r="D2772" s="0" t="n">
        <v>4</v>
      </c>
      <c r="E2772" s="0" t="str">
        <f aca="false">INDEX(lot!$B$2:$B$1201,MATCH(B2772,lot!$A$2:$A$1201,0))</f>
        <v>SUP-D</v>
      </c>
      <c r="F2772" s="3" t="n">
        <f aca="false">YEAR(A2772)*100+MONTH(A2772)</f>
        <v>202607</v>
      </c>
    </row>
    <row r="2773" customFormat="false" ht="15" hidden="false" customHeight="false" outlineLevel="0" collapsed="false">
      <c r="A2773" s="2" t="n">
        <v>46216</v>
      </c>
      <c r="B2773" s="3" t="s">
        <v>1095</v>
      </c>
      <c r="C2773" s="0" t="n">
        <v>190</v>
      </c>
      <c r="D2773" s="0" t="n">
        <v>6</v>
      </c>
      <c r="E2773" s="0" t="str">
        <f aca="false">INDEX(lot!$B$2:$B$1201,MATCH(B2773,lot!$A$2:$A$1201,0))</f>
        <v>SUP-C</v>
      </c>
      <c r="F2773" s="3" t="n">
        <f aca="false">YEAR(A2773)*100+MONTH(A2773)</f>
        <v>202607</v>
      </c>
    </row>
    <row r="2774" customFormat="false" ht="15" hidden="false" customHeight="false" outlineLevel="0" collapsed="false">
      <c r="A2774" s="2" t="n">
        <v>46217</v>
      </c>
      <c r="B2774" s="3" t="s">
        <v>194</v>
      </c>
      <c r="C2774" s="0" t="n">
        <v>145</v>
      </c>
      <c r="D2774" s="0" t="n">
        <v>2</v>
      </c>
      <c r="E2774" s="0" t="str">
        <f aca="false">INDEX(lot!$B$2:$B$1201,MATCH(B2774,lot!$A$2:$A$1201,0))</f>
        <v>SUP-E</v>
      </c>
      <c r="F2774" s="3" t="n">
        <f aca="false">YEAR(A2774)*100+MONTH(A2774)</f>
        <v>202607</v>
      </c>
    </row>
    <row r="2775" customFormat="false" ht="15" hidden="false" customHeight="false" outlineLevel="0" collapsed="false">
      <c r="A2775" s="2" t="n">
        <v>46217</v>
      </c>
      <c r="B2775" s="3" t="s">
        <v>210</v>
      </c>
      <c r="C2775" s="0" t="n">
        <v>192</v>
      </c>
      <c r="D2775" s="0" t="n">
        <v>1</v>
      </c>
      <c r="E2775" s="0" t="str">
        <f aca="false">INDEX(lot!$B$2:$B$1201,MATCH(B2775,lot!$A$2:$A$1201,0))</f>
        <v>SUP-D</v>
      </c>
      <c r="F2775" s="3" t="n">
        <f aca="false">YEAR(A2775)*100+MONTH(A2775)</f>
        <v>202607</v>
      </c>
    </row>
    <row r="2776" customFormat="false" ht="15" hidden="false" customHeight="false" outlineLevel="0" collapsed="false">
      <c r="A2776" s="2" t="n">
        <v>46217</v>
      </c>
      <c r="B2776" s="3" t="s">
        <v>275</v>
      </c>
      <c r="C2776" s="0" t="n">
        <v>32</v>
      </c>
      <c r="D2776" s="0" t="n">
        <v>1</v>
      </c>
      <c r="E2776" s="0" t="str">
        <f aca="false">INDEX(lot!$B$2:$B$1201,MATCH(B2776,lot!$A$2:$A$1201,0))</f>
        <v>SUP-A</v>
      </c>
      <c r="F2776" s="3" t="n">
        <f aca="false">YEAR(A2776)*100+MONTH(A2776)</f>
        <v>202607</v>
      </c>
    </row>
    <row r="2777" customFormat="false" ht="15" hidden="false" customHeight="false" outlineLevel="0" collapsed="false">
      <c r="A2777" s="2" t="n">
        <v>46217</v>
      </c>
      <c r="B2777" s="3" t="s">
        <v>275</v>
      </c>
      <c r="C2777" s="0" t="n">
        <v>224</v>
      </c>
      <c r="D2777" s="0" t="n">
        <v>7</v>
      </c>
      <c r="E2777" s="0" t="str">
        <f aca="false">INDEX(lot!$B$2:$B$1201,MATCH(B2777,lot!$A$2:$A$1201,0))</f>
        <v>SUP-A</v>
      </c>
      <c r="F2777" s="3" t="n">
        <f aca="false">YEAR(A2777)*100+MONTH(A2777)</f>
        <v>202607</v>
      </c>
    </row>
    <row r="2778" customFormat="false" ht="15" hidden="false" customHeight="false" outlineLevel="0" collapsed="false">
      <c r="A2778" s="2" t="n">
        <v>46217</v>
      </c>
      <c r="B2778" s="3" t="s">
        <v>294</v>
      </c>
      <c r="C2778" s="0" t="n">
        <v>196</v>
      </c>
      <c r="D2778" s="0" t="n">
        <v>33</v>
      </c>
      <c r="E2778" s="0" t="str">
        <f aca="false">INDEX(lot!$B$2:$B$1201,MATCH(B2778,lot!$A$2:$A$1201,0))</f>
        <v>SUP-A</v>
      </c>
      <c r="F2778" s="3" t="n">
        <f aca="false">YEAR(A2778)*100+MONTH(A2778)</f>
        <v>202607</v>
      </c>
    </row>
    <row r="2779" customFormat="false" ht="15" hidden="false" customHeight="false" outlineLevel="0" collapsed="false">
      <c r="A2779" s="2" t="n">
        <v>46217</v>
      </c>
      <c r="B2779" s="3" t="s">
        <v>338</v>
      </c>
      <c r="C2779" s="0" t="n">
        <v>228</v>
      </c>
      <c r="D2779" s="0" t="n">
        <v>4</v>
      </c>
      <c r="E2779" s="0" t="str">
        <f aca="false">INDEX(lot!$B$2:$B$1201,MATCH(B2779,lot!$A$2:$A$1201,0))</f>
        <v>SUP-D</v>
      </c>
      <c r="F2779" s="3" t="n">
        <f aca="false">YEAR(A2779)*100+MONTH(A2779)</f>
        <v>202607</v>
      </c>
    </row>
    <row r="2780" customFormat="false" ht="15" hidden="false" customHeight="false" outlineLevel="0" collapsed="false">
      <c r="A2780" s="2" t="n">
        <v>46217</v>
      </c>
      <c r="B2780" s="3" t="s">
        <v>338</v>
      </c>
      <c r="C2780" s="0" t="n">
        <v>93</v>
      </c>
      <c r="D2780" s="0" t="n">
        <v>2</v>
      </c>
      <c r="E2780" s="0" t="str">
        <f aca="false">INDEX(lot!$B$2:$B$1201,MATCH(B2780,lot!$A$2:$A$1201,0))</f>
        <v>SUP-D</v>
      </c>
      <c r="F2780" s="3" t="n">
        <f aca="false">YEAR(A2780)*100+MONTH(A2780)</f>
        <v>202607</v>
      </c>
    </row>
    <row r="2781" customFormat="false" ht="15" hidden="false" customHeight="false" outlineLevel="0" collapsed="false">
      <c r="A2781" s="2" t="n">
        <v>46217</v>
      </c>
      <c r="B2781" s="3" t="s">
        <v>521</v>
      </c>
      <c r="C2781" s="0" t="n">
        <v>188</v>
      </c>
      <c r="D2781" s="0" t="n">
        <v>1</v>
      </c>
      <c r="E2781" s="0" t="str">
        <f aca="false">INDEX(lot!$B$2:$B$1201,MATCH(B2781,lot!$A$2:$A$1201,0))</f>
        <v>SUP-D</v>
      </c>
      <c r="F2781" s="3" t="n">
        <f aca="false">YEAR(A2781)*100+MONTH(A2781)</f>
        <v>202607</v>
      </c>
    </row>
    <row r="2782" customFormat="false" ht="15" hidden="false" customHeight="false" outlineLevel="0" collapsed="false">
      <c r="A2782" s="2" t="n">
        <v>46217</v>
      </c>
      <c r="B2782" s="3" t="s">
        <v>669</v>
      </c>
      <c r="C2782" s="0" t="n">
        <v>82</v>
      </c>
      <c r="D2782" s="0" t="n">
        <v>2</v>
      </c>
      <c r="E2782" s="0" t="str">
        <f aca="false">INDEX(lot!$B$2:$B$1201,MATCH(B2782,lot!$A$2:$A$1201,0))</f>
        <v>SUP-E</v>
      </c>
      <c r="F2782" s="3" t="n">
        <f aca="false">YEAR(A2782)*100+MONTH(A2782)</f>
        <v>202607</v>
      </c>
    </row>
    <row r="2783" customFormat="false" ht="15" hidden="false" customHeight="false" outlineLevel="0" collapsed="false">
      <c r="A2783" s="2" t="n">
        <v>46217</v>
      </c>
      <c r="B2783" s="3" t="s">
        <v>669</v>
      </c>
      <c r="C2783" s="0" t="n">
        <v>238</v>
      </c>
      <c r="D2783" s="0" t="n">
        <v>3</v>
      </c>
      <c r="E2783" s="0" t="str">
        <f aca="false">INDEX(lot!$B$2:$B$1201,MATCH(B2783,lot!$A$2:$A$1201,0))</f>
        <v>SUP-E</v>
      </c>
      <c r="F2783" s="3" t="n">
        <f aca="false">YEAR(A2783)*100+MONTH(A2783)</f>
        <v>202607</v>
      </c>
    </row>
    <row r="2784" customFormat="false" ht="15" hidden="false" customHeight="false" outlineLevel="0" collapsed="false">
      <c r="A2784" s="2" t="n">
        <v>46217</v>
      </c>
      <c r="B2784" s="3" t="s">
        <v>686</v>
      </c>
      <c r="C2784" s="0" t="n">
        <v>134</v>
      </c>
      <c r="D2784" s="0" t="n">
        <v>2</v>
      </c>
      <c r="E2784" s="0" t="str">
        <f aca="false">INDEX(lot!$B$2:$B$1201,MATCH(B2784,lot!$A$2:$A$1201,0))</f>
        <v>SUP-B</v>
      </c>
      <c r="F2784" s="3" t="n">
        <f aca="false">YEAR(A2784)*100+MONTH(A2784)</f>
        <v>202607</v>
      </c>
    </row>
    <row r="2785" customFormat="false" ht="15" hidden="false" customHeight="false" outlineLevel="0" collapsed="false">
      <c r="A2785" s="2" t="n">
        <v>46217</v>
      </c>
      <c r="B2785" s="3" t="s">
        <v>725</v>
      </c>
      <c r="C2785" s="0" t="n">
        <v>165</v>
      </c>
      <c r="D2785" s="0" t="n">
        <v>3</v>
      </c>
      <c r="E2785" s="0" t="str">
        <f aca="false">INDEX(lot!$B$2:$B$1201,MATCH(B2785,lot!$A$2:$A$1201,0))</f>
        <v>SUP-A</v>
      </c>
      <c r="F2785" s="3" t="n">
        <f aca="false">YEAR(A2785)*100+MONTH(A2785)</f>
        <v>202607</v>
      </c>
    </row>
    <row r="2786" customFormat="false" ht="15" hidden="false" customHeight="false" outlineLevel="0" collapsed="false">
      <c r="A2786" s="2" t="n">
        <v>46217</v>
      </c>
      <c r="B2786" s="3" t="s">
        <v>774</v>
      </c>
      <c r="C2786" s="0" t="n">
        <v>79</v>
      </c>
      <c r="D2786" s="0" t="n">
        <v>2</v>
      </c>
      <c r="E2786" s="0" t="str">
        <f aca="false">INDEX(lot!$B$2:$B$1201,MATCH(B2786,lot!$A$2:$A$1201,0))</f>
        <v>SUP-A</v>
      </c>
      <c r="F2786" s="3" t="n">
        <f aca="false">YEAR(A2786)*100+MONTH(A2786)</f>
        <v>202607</v>
      </c>
    </row>
    <row r="2787" customFormat="false" ht="15" hidden="false" customHeight="false" outlineLevel="0" collapsed="false">
      <c r="A2787" s="2" t="n">
        <v>46217</v>
      </c>
      <c r="B2787" s="3" t="s">
        <v>774</v>
      </c>
      <c r="C2787" s="0" t="n">
        <v>116</v>
      </c>
      <c r="D2787" s="0" t="n">
        <v>3</v>
      </c>
      <c r="E2787" s="0" t="str">
        <f aca="false">INDEX(lot!$B$2:$B$1201,MATCH(B2787,lot!$A$2:$A$1201,0))</f>
        <v>SUP-A</v>
      </c>
      <c r="F2787" s="3" t="n">
        <f aca="false">YEAR(A2787)*100+MONTH(A2787)</f>
        <v>202607</v>
      </c>
    </row>
    <row r="2788" customFormat="false" ht="15" hidden="false" customHeight="false" outlineLevel="0" collapsed="false">
      <c r="A2788" s="2" t="n">
        <v>46217</v>
      </c>
      <c r="B2788" s="3" t="s">
        <v>844</v>
      </c>
      <c r="C2788" s="0" t="n">
        <v>140</v>
      </c>
      <c r="D2788" s="0" t="n">
        <v>4</v>
      </c>
      <c r="E2788" s="0" t="str">
        <f aca="false">INDEX(lot!$B$2:$B$1201,MATCH(B2788,lot!$A$2:$A$1201,0))</f>
        <v>SUP-A</v>
      </c>
      <c r="F2788" s="3" t="n">
        <f aca="false">YEAR(A2788)*100+MONTH(A2788)</f>
        <v>202607</v>
      </c>
    </row>
    <row r="2789" customFormat="false" ht="15" hidden="false" customHeight="false" outlineLevel="0" collapsed="false">
      <c r="A2789" s="2" t="n">
        <v>46217</v>
      </c>
      <c r="B2789" s="3" t="s">
        <v>844</v>
      </c>
      <c r="C2789" s="0" t="n">
        <v>220</v>
      </c>
      <c r="D2789" s="0" t="n">
        <v>3</v>
      </c>
      <c r="E2789" s="0" t="str">
        <f aca="false">INDEX(lot!$B$2:$B$1201,MATCH(B2789,lot!$A$2:$A$1201,0))</f>
        <v>SUP-A</v>
      </c>
      <c r="F2789" s="3" t="n">
        <f aca="false">YEAR(A2789)*100+MONTH(A2789)</f>
        <v>202607</v>
      </c>
    </row>
    <row r="2790" customFormat="false" ht="15" hidden="false" customHeight="false" outlineLevel="0" collapsed="false">
      <c r="A2790" s="2" t="n">
        <v>46217</v>
      </c>
      <c r="B2790" s="3" t="s">
        <v>855</v>
      </c>
      <c r="C2790" s="0" t="n">
        <v>99</v>
      </c>
      <c r="D2790" s="0" t="n">
        <v>0</v>
      </c>
      <c r="E2790" s="0" t="str">
        <f aca="false">INDEX(lot!$B$2:$B$1201,MATCH(B2790,lot!$A$2:$A$1201,0))</f>
        <v>SUP-C</v>
      </c>
      <c r="F2790" s="3" t="n">
        <f aca="false">YEAR(A2790)*100+MONTH(A2790)</f>
        <v>202607</v>
      </c>
    </row>
    <row r="2791" customFormat="false" ht="15" hidden="false" customHeight="false" outlineLevel="0" collapsed="false">
      <c r="A2791" s="2" t="n">
        <v>46217</v>
      </c>
      <c r="B2791" s="3" t="s">
        <v>989</v>
      </c>
      <c r="C2791" s="0" t="n">
        <v>89</v>
      </c>
      <c r="D2791" s="0" t="n">
        <v>1</v>
      </c>
      <c r="E2791" s="0" t="str">
        <f aca="false">INDEX(lot!$B$2:$B$1201,MATCH(B2791,lot!$A$2:$A$1201,0))</f>
        <v>SUP-D</v>
      </c>
      <c r="F2791" s="3" t="n">
        <f aca="false">YEAR(A2791)*100+MONTH(A2791)</f>
        <v>202607</v>
      </c>
    </row>
    <row r="2792" customFormat="false" ht="15" hidden="false" customHeight="false" outlineLevel="0" collapsed="false">
      <c r="A2792" s="2" t="n">
        <v>46217</v>
      </c>
      <c r="B2792" s="3" t="s">
        <v>1095</v>
      </c>
      <c r="C2792" s="0" t="n">
        <v>124</v>
      </c>
      <c r="D2792" s="0" t="n">
        <v>3</v>
      </c>
      <c r="E2792" s="0" t="str">
        <f aca="false">INDEX(lot!$B$2:$B$1201,MATCH(B2792,lot!$A$2:$A$1201,0))</f>
        <v>SUP-C</v>
      </c>
      <c r="F2792" s="3" t="n">
        <f aca="false">YEAR(A2792)*100+MONTH(A2792)</f>
        <v>202607</v>
      </c>
    </row>
    <row r="2793" customFormat="false" ht="15" hidden="false" customHeight="false" outlineLevel="0" collapsed="false">
      <c r="A2793" s="2" t="n">
        <v>46217</v>
      </c>
      <c r="B2793" s="3" t="s">
        <v>1095</v>
      </c>
      <c r="C2793" s="0" t="n">
        <v>106</v>
      </c>
      <c r="D2793" s="0" t="n">
        <v>1</v>
      </c>
      <c r="E2793" s="0" t="str">
        <f aca="false">INDEX(lot!$B$2:$B$1201,MATCH(B2793,lot!$A$2:$A$1201,0))</f>
        <v>SUP-C</v>
      </c>
      <c r="F2793" s="3" t="n">
        <f aca="false">YEAR(A2793)*100+MONTH(A2793)</f>
        <v>202607</v>
      </c>
    </row>
    <row r="2794" customFormat="false" ht="15" hidden="false" customHeight="false" outlineLevel="0" collapsed="false">
      <c r="A2794" s="2" t="n">
        <v>46217</v>
      </c>
      <c r="B2794" s="3" t="s">
        <v>1144</v>
      </c>
      <c r="C2794" s="0" t="n">
        <v>227</v>
      </c>
      <c r="D2794" s="0" t="n">
        <v>6</v>
      </c>
      <c r="E2794" s="0" t="str">
        <f aca="false">INDEX(lot!$B$2:$B$1201,MATCH(B2794,lot!$A$2:$A$1201,0))</f>
        <v>SUP-C</v>
      </c>
      <c r="F2794" s="3" t="n">
        <f aca="false">YEAR(A2794)*100+MONTH(A2794)</f>
        <v>202607</v>
      </c>
    </row>
    <row r="2795" customFormat="false" ht="15" hidden="false" customHeight="false" outlineLevel="0" collapsed="false">
      <c r="A2795" s="2" t="n">
        <v>46217</v>
      </c>
      <c r="B2795" s="3" t="s">
        <v>1198</v>
      </c>
      <c r="C2795" s="0" t="n">
        <v>207</v>
      </c>
      <c r="D2795" s="0" t="n">
        <v>0</v>
      </c>
      <c r="E2795" s="0" t="str">
        <f aca="false">INDEX(lot!$B$2:$B$1201,MATCH(B2795,lot!$A$2:$A$1201,0))</f>
        <v>SUP-E</v>
      </c>
      <c r="F2795" s="3" t="n">
        <f aca="false">YEAR(A2795)*100+MONTH(A2795)</f>
        <v>202607</v>
      </c>
    </row>
    <row r="2796" customFormat="false" ht="15" hidden="false" customHeight="false" outlineLevel="0" collapsed="false">
      <c r="A2796" s="2" t="n">
        <v>46217</v>
      </c>
      <c r="B2796" s="3" t="s">
        <v>1198</v>
      </c>
      <c r="C2796" s="0" t="n">
        <v>94</v>
      </c>
      <c r="D2796" s="0" t="n">
        <v>0</v>
      </c>
      <c r="E2796" s="0" t="str">
        <f aca="false">INDEX(lot!$B$2:$B$1201,MATCH(B2796,lot!$A$2:$A$1201,0))</f>
        <v>SUP-E</v>
      </c>
      <c r="F2796" s="3" t="n">
        <f aca="false">YEAR(A2796)*100+MONTH(A2796)</f>
        <v>202607</v>
      </c>
    </row>
    <row r="2797" customFormat="false" ht="15" hidden="false" customHeight="false" outlineLevel="0" collapsed="false">
      <c r="A2797" s="2" t="n">
        <v>46218</v>
      </c>
      <c r="B2797" s="3" t="s">
        <v>194</v>
      </c>
      <c r="C2797" s="0" t="n">
        <v>97</v>
      </c>
      <c r="D2797" s="0" t="n">
        <v>0</v>
      </c>
      <c r="E2797" s="0" t="str">
        <f aca="false">INDEX(lot!$B$2:$B$1201,MATCH(B2797,lot!$A$2:$A$1201,0))</f>
        <v>SUP-E</v>
      </c>
      <c r="F2797" s="3" t="n">
        <f aca="false">YEAR(A2797)*100+MONTH(A2797)</f>
        <v>202607</v>
      </c>
    </row>
    <row r="2798" customFormat="false" ht="15" hidden="false" customHeight="false" outlineLevel="0" collapsed="false">
      <c r="A2798" s="2" t="n">
        <v>46218</v>
      </c>
      <c r="B2798" s="3" t="s">
        <v>194</v>
      </c>
      <c r="C2798" s="0" t="n">
        <v>250</v>
      </c>
      <c r="D2798" s="0" t="n">
        <v>3</v>
      </c>
      <c r="E2798" s="0" t="str">
        <f aca="false">INDEX(lot!$B$2:$B$1201,MATCH(B2798,lot!$A$2:$A$1201,0))</f>
        <v>SUP-E</v>
      </c>
      <c r="F2798" s="3" t="n">
        <f aca="false">YEAR(A2798)*100+MONTH(A2798)</f>
        <v>202607</v>
      </c>
    </row>
    <row r="2799" customFormat="false" ht="15" hidden="false" customHeight="false" outlineLevel="0" collapsed="false">
      <c r="A2799" s="2" t="n">
        <v>46218</v>
      </c>
      <c r="B2799" s="3" t="s">
        <v>203</v>
      </c>
      <c r="C2799" s="0" t="n">
        <v>81</v>
      </c>
      <c r="D2799" s="0" t="n">
        <v>1</v>
      </c>
      <c r="E2799" s="0" t="str">
        <f aca="false">INDEX(lot!$B$2:$B$1201,MATCH(B2799,lot!$A$2:$A$1201,0))</f>
        <v>SUP-E</v>
      </c>
      <c r="F2799" s="3" t="n">
        <f aca="false">YEAR(A2799)*100+MONTH(A2799)</f>
        <v>202607</v>
      </c>
    </row>
    <row r="2800" customFormat="false" ht="15" hidden="false" customHeight="false" outlineLevel="0" collapsed="false">
      <c r="A2800" s="2" t="n">
        <v>46218</v>
      </c>
      <c r="B2800" s="3" t="s">
        <v>203</v>
      </c>
      <c r="C2800" s="0" t="n">
        <v>80</v>
      </c>
      <c r="D2800" s="0" t="n">
        <v>0</v>
      </c>
      <c r="E2800" s="0" t="str">
        <f aca="false">INDEX(lot!$B$2:$B$1201,MATCH(B2800,lot!$A$2:$A$1201,0))</f>
        <v>SUP-E</v>
      </c>
      <c r="F2800" s="3" t="n">
        <f aca="false">YEAR(A2800)*100+MONTH(A2800)</f>
        <v>202607</v>
      </c>
    </row>
    <row r="2801" customFormat="false" ht="15" hidden="false" customHeight="false" outlineLevel="0" collapsed="false">
      <c r="A2801" s="2" t="n">
        <v>46218</v>
      </c>
      <c r="B2801" s="3" t="s">
        <v>338</v>
      </c>
      <c r="C2801" s="0" t="n">
        <v>179</v>
      </c>
      <c r="D2801" s="0" t="n">
        <v>3</v>
      </c>
      <c r="E2801" s="0" t="str">
        <f aca="false">INDEX(lot!$B$2:$B$1201,MATCH(B2801,lot!$A$2:$A$1201,0))</f>
        <v>SUP-D</v>
      </c>
      <c r="F2801" s="3" t="n">
        <f aca="false">YEAR(A2801)*100+MONTH(A2801)</f>
        <v>202607</v>
      </c>
    </row>
    <row r="2802" customFormat="false" ht="15" hidden="false" customHeight="false" outlineLevel="0" collapsed="false">
      <c r="A2802" s="2" t="n">
        <v>46218</v>
      </c>
      <c r="B2802" s="3" t="s">
        <v>338</v>
      </c>
      <c r="C2802" s="0" t="n">
        <v>226</v>
      </c>
      <c r="D2802" s="0" t="n">
        <v>3</v>
      </c>
      <c r="E2802" s="0" t="str">
        <f aca="false">INDEX(lot!$B$2:$B$1201,MATCH(B2802,lot!$A$2:$A$1201,0))</f>
        <v>SUP-D</v>
      </c>
      <c r="F2802" s="3" t="n">
        <f aca="false">YEAR(A2802)*100+MONTH(A2802)</f>
        <v>202607</v>
      </c>
    </row>
    <row r="2803" customFormat="false" ht="15" hidden="false" customHeight="false" outlineLevel="0" collapsed="false">
      <c r="A2803" s="2" t="n">
        <v>46218</v>
      </c>
      <c r="B2803" s="3" t="s">
        <v>521</v>
      </c>
      <c r="C2803" s="0" t="n">
        <v>110</v>
      </c>
      <c r="D2803" s="0" t="n">
        <v>0</v>
      </c>
      <c r="E2803" s="0" t="str">
        <f aca="false">INDEX(lot!$B$2:$B$1201,MATCH(B2803,lot!$A$2:$A$1201,0))</f>
        <v>SUP-D</v>
      </c>
      <c r="F2803" s="3" t="n">
        <f aca="false">YEAR(A2803)*100+MONTH(A2803)</f>
        <v>202607</v>
      </c>
    </row>
    <row r="2804" customFormat="false" ht="15" hidden="false" customHeight="false" outlineLevel="0" collapsed="false">
      <c r="A2804" s="2" t="n">
        <v>46218</v>
      </c>
      <c r="B2804" s="3" t="s">
        <v>521</v>
      </c>
      <c r="C2804" s="0" t="n">
        <v>63</v>
      </c>
      <c r="D2804" s="0" t="n">
        <v>0</v>
      </c>
      <c r="E2804" s="0" t="str">
        <f aca="false">INDEX(lot!$B$2:$B$1201,MATCH(B2804,lot!$A$2:$A$1201,0))</f>
        <v>SUP-D</v>
      </c>
      <c r="F2804" s="3" t="n">
        <f aca="false">YEAR(A2804)*100+MONTH(A2804)</f>
        <v>202607</v>
      </c>
    </row>
    <row r="2805" customFormat="false" ht="15" hidden="false" customHeight="false" outlineLevel="0" collapsed="false">
      <c r="A2805" s="2" t="n">
        <v>46218</v>
      </c>
      <c r="B2805" s="3" t="s">
        <v>541</v>
      </c>
      <c r="C2805" s="0" t="n">
        <v>197</v>
      </c>
      <c r="D2805" s="0" t="n">
        <v>4</v>
      </c>
      <c r="E2805" s="0" t="str">
        <f aca="false">INDEX(lot!$B$2:$B$1201,MATCH(B2805,lot!$A$2:$A$1201,0))</f>
        <v>SUP-A</v>
      </c>
      <c r="F2805" s="3" t="n">
        <f aca="false">YEAR(A2805)*100+MONTH(A2805)</f>
        <v>202607</v>
      </c>
    </row>
    <row r="2806" customFormat="false" ht="15" hidden="false" customHeight="false" outlineLevel="0" collapsed="false">
      <c r="A2806" s="2" t="n">
        <v>46218</v>
      </c>
      <c r="B2806" s="3" t="s">
        <v>541</v>
      </c>
      <c r="C2806" s="0" t="n">
        <v>226</v>
      </c>
      <c r="D2806" s="0" t="n">
        <v>3</v>
      </c>
      <c r="E2806" s="0" t="str">
        <f aca="false">INDEX(lot!$B$2:$B$1201,MATCH(B2806,lot!$A$2:$A$1201,0))</f>
        <v>SUP-A</v>
      </c>
      <c r="F2806" s="3" t="n">
        <f aca="false">YEAR(A2806)*100+MONTH(A2806)</f>
        <v>202607</v>
      </c>
    </row>
    <row r="2807" customFormat="false" ht="15" hidden="false" customHeight="false" outlineLevel="0" collapsed="false">
      <c r="A2807" s="2" t="n">
        <v>46218</v>
      </c>
      <c r="B2807" s="3" t="s">
        <v>644</v>
      </c>
      <c r="C2807" s="0" t="n">
        <v>158</v>
      </c>
      <c r="D2807" s="0" t="n">
        <v>4</v>
      </c>
      <c r="E2807" s="0" t="str">
        <f aca="false">INDEX(lot!$B$2:$B$1201,MATCH(B2807,lot!$A$2:$A$1201,0))</f>
        <v>SUP-C</v>
      </c>
      <c r="F2807" s="3" t="n">
        <f aca="false">YEAR(A2807)*100+MONTH(A2807)</f>
        <v>202607</v>
      </c>
    </row>
    <row r="2808" customFormat="false" ht="15" hidden="false" customHeight="false" outlineLevel="0" collapsed="false">
      <c r="A2808" s="2" t="n">
        <v>46218</v>
      </c>
      <c r="B2808" s="3" t="s">
        <v>644</v>
      </c>
      <c r="C2808" s="0" t="n">
        <v>160</v>
      </c>
      <c r="D2808" s="0" t="n">
        <v>3</v>
      </c>
      <c r="E2808" s="0" t="str">
        <f aca="false">INDEX(lot!$B$2:$B$1201,MATCH(B2808,lot!$A$2:$A$1201,0))</f>
        <v>SUP-C</v>
      </c>
      <c r="F2808" s="3" t="n">
        <f aca="false">YEAR(A2808)*100+MONTH(A2808)</f>
        <v>202607</v>
      </c>
    </row>
    <row r="2809" customFormat="false" ht="15" hidden="false" customHeight="false" outlineLevel="0" collapsed="false">
      <c r="A2809" s="2" t="n">
        <v>46218</v>
      </c>
      <c r="B2809" s="3" t="s">
        <v>647</v>
      </c>
      <c r="C2809" s="0" t="n">
        <v>149</v>
      </c>
      <c r="D2809" s="0" t="n">
        <v>1</v>
      </c>
      <c r="E2809" s="0" t="str">
        <f aca="false">INDEX(lot!$B$2:$B$1201,MATCH(B2809,lot!$A$2:$A$1201,0))</f>
        <v>SUP-D</v>
      </c>
      <c r="F2809" s="3" t="n">
        <f aca="false">YEAR(A2809)*100+MONTH(A2809)</f>
        <v>202607</v>
      </c>
    </row>
    <row r="2810" customFormat="false" ht="15" hidden="false" customHeight="false" outlineLevel="0" collapsed="false">
      <c r="A2810" s="2" t="n">
        <v>46218</v>
      </c>
      <c r="B2810" s="3" t="s">
        <v>647</v>
      </c>
      <c r="C2810" s="0" t="n">
        <v>156</v>
      </c>
      <c r="D2810" s="0" t="n">
        <v>3</v>
      </c>
      <c r="E2810" s="0" t="str">
        <f aca="false">INDEX(lot!$B$2:$B$1201,MATCH(B2810,lot!$A$2:$A$1201,0))</f>
        <v>SUP-D</v>
      </c>
      <c r="F2810" s="3" t="n">
        <f aca="false">YEAR(A2810)*100+MONTH(A2810)</f>
        <v>202607</v>
      </c>
    </row>
    <row r="2811" customFormat="false" ht="15" hidden="false" customHeight="false" outlineLevel="0" collapsed="false">
      <c r="A2811" s="2" t="n">
        <v>46218</v>
      </c>
      <c r="B2811" s="3" t="s">
        <v>669</v>
      </c>
      <c r="C2811" s="0" t="n">
        <v>115</v>
      </c>
      <c r="D2811" s="0" t="n">
        <v>0</v>
      </c>
      <c r="E2811" s="0" t="str">
        <f aca="false">INDEX(lot!$B$2:$B$1201,MATCH(B2811,lot!$A$2:$A$1201,0))</f>
        <v>SUP-E</v>
      </c>
      <c r="F2811" s="3" t="n">
        <f aca="false">YEAR(A2811)*100+MONTH(A2811)</f>
        <v>202607</v>
      </c>
    </row>
    <row r="2812" customFormat="false" ht="15" hidden="false" customHeight="false" outlineLevel="0" collapsed="false">
      <c r="A2812" s="2" t="n">
        <v>46218</v>
      </c>
      <c r="B2812" s="3" t="s">
        <v>669</v>
      </c>
      <c r="C2812" s="0" t="n">
        <v>226</v>
      </c>
      <c r="D2812" s="0" t="n">
        <v>0</v>
      </c>
      <c r="E2812" s="0" t="str">
        <f aca="false">INDEX(lot!$B$2:$B$1201,MATCH(B2812,lot!$A$2:$A$1201,0))</f>
        <v>SUP-E</v>
      </c>
      <c r="F2812" s="3" t="n">
        <f aca="false">YEAR(A2812)*100+MONTH(A2812)</f>
        <v>202607</v>
      </c>
    </row>
    <row r="2813" customFormat="false" ht="15" hidden="false" customHeight="false" outlineLevel="0" collapsed="false">
      <c r="A2813" s="2" t="n">
        <v>46218</v>
      </c>
      <c r="B2813" s="3" t="s">
        <v>686</v>
      </c>
      <c r="C2813" s="0" t="n">
        <v>66</v>
      </c>
      <c r="D2813" s="0" t="n">
        <v>2</v>
      </c>
      <c r="E2813" s="0" t="str">
        <f aca="false">INDEX(lot!$B$2:$B$1201,MATCH(B2813,lot!$A$2:$A$1201,0))</f>
        <v>SUP-B</v>
      </c>
      <c r="F2813" s="3" t="n">
        <f aca="false">YEAR(A2813)*100+MONTH(A2813)</f>
        <v>202607</v>
      </c>
    </row>
    <row r="2814" customFormat="false" ht="15" hidden="false" customHeight="false" outlineLevel="0" collapsed="false">
      <c r="A2814" s="2" t="n">
        <v>46218</v>
      </c>
      <c r="B2814" s="3" t="s">
        <v>700</v>
      </c>
      <c r="C2814" s="0" t="n">
        <v>144</v>
      </c>
      <c r="D2814" s="0" t="n">
        <v>1</v>
      </c>
      <c r="E2814" s="0" t="str">
        <f aca="false">INDEX(lot!$B$2:$B$1201,MATCH(B2814,lot!$A$2:$A$1201,0))</f>
        <v>SUP-D</v>
      </c>
      <c r="F2814" s="3" t="n">
        <f aca="false">YEAR(A2814)*100+MONTH(A2814)</f>
        <v>202607</v>
      </c>
    </row>
    <row r="2815" customFormat="false" ht="15" hidden="false" customHeight="false" outlineLevel="0" collapsed="false">
      <c r="A2815" s="2" t="n">
        <v>46218</v>
      </c>
      <c r="B2815" s="3" t="s">
        <v>725</v>
      </c>
      <c r="C2815" s="0" t="n">
        <v>213</v>
      </c>
      <c r="D2815" s="0" t="n">
        <v>2</v>
      </c>
      <c r="E2815" s="0" t="str">
        <f aca="false">INDEX(lot!$B$2:$B$1201,MATCH(B2815,lot!$A$2:$A$1201,0))</f>
        <v>SUP-A</v>
      </c>
      <c r="F2815" s="3" t="n">
        <f aca="false">YEAR(A2815)*100+MONTH(A2815)</f>
        <v>202607</v>
      </c>
    </row>
    <row r="2816" customFormat="false" ht="15" hidden="false" customHeight="false" outlineLevel="0" collapsed="false">
      <c r="A2816" s="2" t="n">
        <v>46218</v>
      </c>
      <c r="B2816" s="3" t="s">
        <v>844</v>
      </c>
      <c r="C2816" s="0" t="n">
        <v>83</v>
      </c>
      <c r="D2816" s="0" t="n">
        <v>1</v>
      </c>
      <c r="E2816" s="0" t="str">
        <f aca="false">INDEX(lot!$B$2:$B$1201,MATCH(B2816,lot!$A$2:$A$1201,0))</f>
        <v>SUP-A</v>
      </c>
      <c r="F2816" s="3" t="n">
        <f aca="false">YEAR(A2816)*100+MONTH(A2816)</f>
        <v>202607</v>
      </c>
    </row>
    <row r="2817" customFormat="false" ht="15" hidden="false" customHeight="false" outlineLevel="0" collapsed="false">
      <c r="A2817" s="2" t="n">
        <v>46218</v>
      </c>
      <c r="B2817" s="3" t="s">
        <v>855</v>
      </c>
      <c r="C2817" s="0" t="n">
        <v>139</v>
      </c>
      <c r="D2817" s="0" t="n">
        <v>5</v>
      </c>
      <c r="E2817" s="0" t="str">
        <f aca="false">INDEX(lot!$B$2:$B$1201,MATCH(B2817,lot!$A$2:$A$1201,0))</f>
        <v>SUP-C</v>
      </c>
      <c r="F2817" s="3" t="n">
        <f aca="false">YEAR(A2817)*100+MONTH(A2817)</f>
        <v>202607</v>
      </c>
    </row>
    <row r="2818" customFormat="false" ht="15" hidden="false" customHeight="false" outlineLevel="0" collapsed="false">
      <c r="A2818" s="2" t="n">
        <v>46218</v>
      </c>
      <c r="B2818" s="3" t="s">
        <v>914</v>
      </c>
      <c r="C2818" s="0" t="n">
        <v>178</v>
      </c>
      <c r="D2818" s="0" t="n">
        <v>2</v>
      </c>
      <c r="E2818" s="0" t="str">
        <f aca="false">INDEX(lot!$B$2:$B$1201,MATCH(B2818,lot!$A$2:$A$1201,0))</f>
        <v>SUP-D</v>
      </c>
      <c r="F2818" s="3" t="n">
        <f aca="false">YEAR(A2818)*100+MONTH(A2818)</f>
        <v>202607</v>
      </c>
    </row>
    <row r="2819" customFormat="false" ht="15" hidden="false" customHeight="false" outlineLevel="0" collapsed="false">
      <c r="A2819" s="2" t="n">
        <v>46218</v>
      </c>
      <c r="B2819" s="3" t="s">
        <v>933</v>
      </c>
      <c r="C2819" s="0" t="n">
        <v>220</v>
      </c>
      <c r="D2819" s="0" t="n">
        <v>1</v>
      </c>
      <c r="E2819" s="0" t="str">
        <f aca="false">INDEX(lot!$B$2:$B$1201,MATCH(B2819,lot!$A$2:$A$1201,0))</f>
        <v>SUP-E</v>
      </c>
      <c r="F2819" s="3" t="n">
        <f aca="false">YEAR(A2819)*100+MONTH(A2819)</f>
        <v>202607</v>
      </c>
    </row>
    <row r="2820" customFormat="false" ht="15" hidden="false" customHeight="false" outlineLevel="0" collapsed="false">
      <c r="A2820" s="2" t="n">
        <v>46218</v>
      </c>
      <c r="B2820" s="3" t="s">
        <v>933</v>
      </c>
      <c r="C2820" s="0" t="n">
        <v>185</v>
      </c>
      <c r="D2820" s="0" t="n">
        <v>0</v>
      </c>
      <c r="E2820" s="0" t="str">
        <f aca="false">INDEX(lot!$B$2:$B$1201,MATCH(B2820,lot!$A$2:$A$1201,0))</f>
        <v>SUP-E</v>
      </c>
      <c r="F2820" s="3" t="n">
        <f aca="false">YEAR(A2820)*100+MONTH(A2820)</f>
        <v>202607</v>
      </c>
    </row>
    <row r="2821" customFormat="false" ht="15" hidden="false" customHeight="false" outlineLevel="0" collapsed="false">
      <c r="A2821" s="2" t="n">
        <v>46218</v>
      </c>
      <c r="B2821" s="3" t="s">
        <v>956</v>
      </c>
      <c r="C2821" s="0" t="n">
        <v>75</v>
      </c>
      <c r="D2821" s="0" t="n">
        <v>0</v>
      </c>
      <c r="E2821" s="0" t="str">
        <f aca="false">INDEX(lot!$B$2:$B$1201,MATCH(B2821,lot!$A$2:$A$1201,0))</f>
        <v>SUP-D</v>
      </c>
      <c r="F2821" s="3" t="n">
        <f aca="false">YEAR(A2821)*100+MONTH(A2821)</f>
        <v>202607</v>
      </c>
    </row>
    <row r="2822" customFormat="false" ht="15" hidden="false" customHeight="false" outlineLevel="0" collapsed="false">
      <c r="A2822" s="2" t="n">
        <v>46218</v>
      </c>
      <c r="B2822" s="3" t="s">
        <v>956</v>
      </c>
      <c r="C2822" s="0" t="n">
        <v>72</v>
      </c>
      <c r="D2822" s="0" t="n">
        <v>0</v>
      </c>
      <c r="E2822" s="0" t="str">
        <f aca="false">INDEX(lot!$B$2:$B$1201,MATCH(B2822,lot!$A$2:$A$1201,0))</f>
        <v>SUP-D</v>
      </c>
      <c r="F2822" s="3" t="n">
        <f aca="false">YEAR(A2822)*100+MONTH(A2822)</f>
        <v>202607</v>
      </c>
    </row>
    <row r="2823" customFormat="false" ht="15" hidden="false" customHeight="false" outlineLevel="0" collapsed="false">
      <c r="A2823" s="2" t="n">
        <v>46218</v>
      </c>
      <c r="B2823" s="3" t="s">
        <v>989</v>
      </c>
      <c r="C2823" s="0" t="n">
        <v>176</v>
      </c>
      <c r="D2823" s="0" t="n">
        <v>11</v>
      </c>
      <c r="E2823" s="0" t="str">
        <f aca="false">INDEX(lot!$B$2:$B$1201,MATCH(B2823,lot!$A$2:$A$1201,0))</f>
        <v>SUP-D</v>
      </c>
      <c r="F2823" s="3" t="n">
        <f aca="false">YEAR(A2823)*100+MONTH(A2823)</f>
        <v>202607</v>
      </c>
    </row>
    <row r="2824" customFormat="false" ht="15" hidden="false" customHeight="false" outlineLevel="0" collapsed="false">
      <c r="A2824" s="2" t="n">
        <v>46218</v>
      </c>
      <c r="B2824" s="3" t="s">
        <v>1035</v>
      </c>
      <c r="C2824" s="0" t="n">
        <v>65</v>
      </c>
      <c r="D2824" s="0" t="n">
        <v>4</v>
      </c>
      <c r="E2824" s="0" t="str">
        <f aca="false">INDEX(lot!$B$2:$B$1201,MATCH(B2824,lot!$A$2:$A$1201,0))</f>
        <v>SUP-D</v>
      </c>
      <c r="F2824" s="3" t="n">
        <f aca="false">YEAR(A2824)*100+MONTH(A2824)</f>
        <v>202607</v>
      </c>
    </row>
    <row r="2825" customFormat="false" ht="15" hidden="false" customHeight="false" outlineLevel="0" collapsed="false">
      <c r="A2825" s="2" t="n">
        <v>46218</v>
      </c>
      <c r="B2825" s="3" t="s">
        <v>1127</v>
      </c>
      <c r="C2825" s="0" t="n">
        <v>89</v>
      </c>
      <c r="D2825" s="0" t="n">
        <v>3</v>
      </c>
      <c r="E2825" s="0" t="str">
        <f aca="false">INDEX(lot!$B$2:$B$1201,MATCH(B2825,lot!$A$2:$A$1201,0))</f>
        <v>SUP-A</v>
      </c>
      <c r="F2825" s="3" t="n">
        <f aca="false">YEAR(A2825)*100+MONTH(A2825)</f>
        <v>202607</v>
      </c>
    </row>
    <row r="2826" customFormat="false" ht="15" hidden="false" customHeight="false" outlineLevel="0" collapsed="false">
      <c r="A2826" s="2" t="n">
        <v>46218</v>
      </c>
      <c r="B2826" s="3" t="s">
        <v>1127</v>
      </c>
      <c r="C2826" s="0" t="n">
        <v>135</v>
      </c>
      <c r="D2826" s="0" t="n">
        <v>1</v>
      </c>
      <c r="E2826" s="0" t="str">
        <f aca="false">INDEX(lot!$B$2:$B$1201,MATCH(B2826,lot!$A$2:$A$1201,0))</f>
        <v>SUP-A</v>
      </c>
      <c r="F2826" s="3" t="n">
        <f aca="false">YEAR(A2826)*100+MONTH(A2826)</f>
        <v>202607</v>
      </c>
    </row>
    <row r="2827" customFormat="false" ht="15" hidden="false" customHeight="false" outlineLevel="0" collapsed="false">
      <c r="A2827" s="2" t="n">
        <v>46219</v>
      </c>
      <c r="B2827" s="3" t="s">
        <v>162</v>
      </c>
      <c r="C2827" s="0" t="n">
        <v>206</v>
      </c>
      <c r="D2827" s="0" t="n">
        <v>2</v>
      </c>
      <c r="E2827" s="0" t="str">
        <f aca="false">INDEX(lot!$B$2:$B$1201,MATCH(B2827,lot!$A$2:$A$1201,0))</f>
        <v>SUP-D</v>
      </c>
      <c r="F2827" s="3" t="n">
        <f aca="false">YEAR(A2827)*100+MONTH(A2827)</f>
        <v>202607</v>
      </c>
    </row>
    <row r="2828" customFormat="false" ht="15" hidden="false" customHeight="false" outlineLevel="0" collapsed="false">
      <c r="A2828" s="2" t="n">
        <v>46219</v>
      </c>
      <c r="B2828" s="3" t="s">
        <v>162</v>
      </c>
      <c r="C2828" s="0" t="n">
        <v>249</v>
      </c>
      <c r="D2828" s="0" t="n">
        <v>2</v>
      </c>
      <c r="E2828" s="0" t="str">
        <f aca="false">INDEX(lot!$B$2:$B$1201,MATCH(B2828,lot!$A$2:$A$1201,0))</f>
        <v>SUP-D</v>
      </c>
      <c r="F2828" s="3" t="n">
        <f aca="false">YEAR(A2828)*100+MONTH(A2828)</f>
        <v>202607</v>
      </c>
    </row>
    <row r="2829" customFormat="false" ht="15" hidden="false" customHeight="false" outlineLevel="0" collapsed="false">
      <c r="A2829" s="2" t="n">
        <v>46219</v>
      </c>
      <c r="B2829" s="3" t="s">
        <v>194</v>
      </c>
      <c r="C2829" s="0" t="n">
        <v>237</v>
      </c>
      <c r="D2829" s="0" t="n">
        <v>1</v>
      </c>
      <c r="E2829" s="0" t="str">
        <f aca="false">INDEX(lot!$B$2:$B$1201,MATCH(B2829,lot!$A$2:$A$1201,0))</f>
        <v>SUP-E</v>
      </c>
      <c r="F2829" s="3" t="n">
        <f aca="false">YEAR(A2829)*100+MONTH(A2829)</f>
        <v>202607</v>
      </c>
    </row>
    <row r="2830" customFormat="false" ht="15" hidden="false" customHeight="false" outlineLevel="0" collapsed="false">
      <c r="A2830" s="2" t="n">
        <v>46219</v>
      </c>
      <c r="B2830" s="3" t="s">
        <v>194</v>
      </c>
      <c r="C2830" s="0" t="n">
        <v>155</v>
      </c>
      <c r="D2830" s="0" t="n">
        <v>2</v>
      </c>
      <c r="E2830" s="0" t="str">
        <f aca="false">INDEX(lot!$B$2:$B$1201,MATCH(B2830,lot!$A$2:$A$1201,0))</f>
        <v>SUP-E</v>
      </c>
      <c r="F2830" s="3" t="n">
        <f aca="false">YEAR(A2830)*100+MONTH(A2830)</f>
        <v>202607</v>
      </c>
    </row>
    <row r="2831" customFormat="false" ht="15" hidden="false" customHeight="false" outlineLevel="0" collapsed="false">
      <c r="A2831" s="2" t="n">
        <v>46219</v>
      </c>
      <c r="B2831" s="3" t="s">
        <v>433</v>
      </c>
      <c r="C2831" s="0" t="n">
        <v>110</v>
      </c>
      <c r="D2831" s="0" t="n">
        <v>2</v>
      </c>
      <c r="E2831" s="0" t="str">
        <f aca="false">INDEX(lot!$B$2:$B$1201,MATCH(B2831,lot!$A$2:$A$1201,0))</f>
        <v>SUP-C</v>
      </c>
      <c r="F2831" s="3" t="n">
        <f aca="false">YEAR(A2831)*100+MONTH(A2831)</f>
        <v>202607</v>
      </c>
    </row>
    <row r="2832" customFormat="false" ht="15" hidden="false" customHeight="false" outlineLevel="0" collapsed="false">
      <c r="A2832" s="2" t="n">
        <v>46219</v>
      </c>
      <c r="B2832" s="3" t="s">
        <v>450</v>
      </c>
      <c r="C2832" s="0" t="n">
        <v>126</v>
      </c>
      <c r="D2832" s="0" t="n">
        <v>0</v>
      </c>
      <c r="E2832" s="0" t="str">
        <f aca="false">INDEX(lot!$B$2:$B$1201,MATCH(B2832,lot!$A$2:$A$1201,0))</f>
        <v>SUP-E</v>
      </c>
      <c r="F2832" s="3" t="n">
        <f aca="false">YEAR(A2832)*100+MONTH(A2832)</f>
        <v>202607</v>
      </c>
    </row>
    <row r="2833" customFormat="false" ht="15" hidden="false" customHeight="false" outlineLevel="0" collapsed="false">
      <c r="A2833" s="2" t="n">
        <v>46219</v>
      </c>
      <c r="B2833" s="3" t="s">
        <v>450</v>
      </c>
      <c r="C2833" s="0" t="n">
        <v>94</v>
      </c>
      <c r="D2833" s="0" t="n">
        <v>0</v>
      </c>
      <c r="E2833" s="0" t="str">
        <f aca="false">INDEX(lot!$B$2:$B$1201,MATCH(B2833,lot!$A$2:$A$1201,0))</f>
        <v>SUP-E</v>
      </c>
      <c r="F2833" s="3" t="n">
        <f aca="false">YEAR(A2833)*100+MONTH(A2833)</f>
        <v>202607</v>
      </c>
    </row>
    <row r="2834" customFormat="false" ht="15" hidden="false" customHeight="false" outlineLevel="0" collapsed="false">
      <c r="A2834" s="2" t="n">
        <v>46219</v>
      </c>
      <c r="B2834" s="3" t="s">
        <v>635</v>
      </c>
      <c r="C2834" s="0" t="n">
        <v>82</v>
      </c>
      <c r="D2834" s="0" t="n">
        <v>0</v>
      </c>
      <c r="E2834" s="0" t="str">
        <f aca="false">INDEX(lot!$B$2:$B$1201,MATCH(B2834,lot!$A$2:$A$1201,0))</f>
        <v>SUP-D</v>
      </c>
      <c r="F2834" s="3" t="n">
        <f aca="false">YEAR(A2834)*100+MONTH(A2834)</f>
        <v>202607</v>
      </c>
    </row>
    <row r="2835" customFormat="false" ht="15" hidden="false" customHeight="false" outlineLevel="0" collapsed="false">
      <c r="A2835" s="2" t="n">
        <v>46219</v>
      </c>
      <c r="B2835" s="3" t="s">
        <v>644</v>
      </c>
      <c r="C2835" s="0" t="n">
        <v>243</v>
      </c>
      <c r="D2835" s="0" t="n">
        <v>8</v>
      </c>
      <c r="E2835" s="0" t="str">
        <f aca="false">INDEX(lot!$B$2:$B$1201,MATCH(B2835,lot!$A$2:$A$1201,0))</f>
        <v>SUP-C</v>
      </c>
      <c r="F2835" s="3" t="n">
        <f aca="false">YEAR(A2835)*100+MONTH(A2835)</f>
        <v>202607</v>
      </c>
    </row>
    <row r="2836" customFormat="false" ht="15" hidden="false" customHeight="false" outlineLevel="0" collapsed="false">
      <c r="A2836" s="2" t="n">
        <v>46219</v>
      </c>
      <c r="B2836" s="3" t="s">
        <v>644</v>
      </c>
      <c r="C2836" s="0" t="n">
        <v>133</v>
      </c>
      <c r="D2836" s="0" t="n">
        <v>3</v>
      </c>
      <c r="E2836" s="0" t="str">
        <f aca="false">INDEX(lot!$B$2:$B$1201,MATCH(B2836,lot!$A$2:$A$1201,0))</f>
        <v>SUP-C</v>
      </c>
      <c r="F2836" s="3" t="n">
        <f aca="false">YEAR(A2836)*100+MONTH(A2836)</f>
        <v>202607</v>
      </c>
    </row>
    <row r="2837" customFormat="false" ht="15" hidden="false" customHeight="false" outlineLevel="0" collapsed="false">
      <c r="A2837" s="2" t="n">
        <v>46219</v>
      </c>
      <c r="B2837" s="3" t="s">
        <v>700</v>
      </c>
      <c r="C2837" s="0" t="n">
        <v>233</v>
      </c>
      <c r="D2837" s="0" t="n">
        <v>3</v>
      </c>
      <c r="E2837" s="0" t="str">
        <f aca="false">INDEX(lot!$B$2:$B$1201,MATCH(B2837,lot!$A$2:$A$1201,0))</f>
        <v>SUP-D</v>
      </c>
      <c r="F2837" s="3" t="n">
        <f aca="false">YEAR(A2837)*100+MONTH(A2837)</f>
        <v>202607</v>
      </c>
    </row>
    <row r="2838" customFormat="false" ht="15" hidden="false" customHeight="false" outlineLevel="0" collapsed="false">
      <c r="A2838" s="2" t="n">
        <v>46219</v>
      </c>
      <c r="B2838" s="3" t="s">
        <v>700</v>
      </c>
      <c r="C2838" s="0" t="n">
        <v>192</v>
      </c>
      <c r="D2838" s="0" t="n">
        <v>2</v>
      </c>
      <c r="E2838" s="0" t="str">
        <f aca="false">INDEX(lot!$B$2:$B$1201,MATCH(B2838,lot!$A$2:$A$1201,0))</f>
        <v>SUP-D</v>
      </c>
      <c r="F2838" s="3" t="n">
        <f aca="false">YEAR(A2838)*100+MONTH(A2838)</f>
        <v>202607</v>
      </c>
    </row>
    <row r="2839" customFormat="false" ht="15" hidden="false" customHeight="false" outlineLevel="0" collapsed="false">
      <c r="A2839" s="2" t="n">
        <v>46219</v>
      </c>
      <c r="B2839" s="3" t="s">
        <v>808</v>
      </c>
      <c r="C2839" s="0" t="n">
        <v>244</v>
      </c>
      <c r="D2839" s="0" t="n">
        <v>6</v>
      </c>
      <c r="E2839" s="0" t="str">
        <f aca="false">INDEX(lot!$B$2:$B$1201,MATCH(B2839,lot!$A$2:$A$1201,0))</f>
        <v>SUP-C</v>
      </c>
      <c r="F2839" s="3" t="n">
        <f aca="false">YEAR(A2839)*100+MONTH(A2839)</f>
        <v>202607</v>
      </c>
    </row>
    <row r="2840" customFormat="false" ht="15" hidden="false" customHeight="false" outlineLevel="0" collapsed="false">
      <c r="A2840" s="2" t="n">
        <v>46219</v>
      </c>
      <c r="B2840" s="3" t="s">
        <v>844</v>
      </c>
      <c r="C2840" s="0" t="n">
        <v>132</v>
      </c>
      <c r="D2840" s="0" t="n">
        <v>2</v>
      </c>
      <c r="E2840" s="0" t="str">
        <f aca="false">INDEX(lot!$B$2:$B$1201,MATCH(B2840,lot!$A$2:$A$1201,0))</f>
        <v>SUP-A</v>
      </c>
      <c r="F2840" s="3" t="n">
        <f aca="false">YEAR(A2840)*100+MONTH(A2840)</f>
        <v>202607</v>
      </c>
    </row>
    <row r="2841" customFormat="false" ht="15" hidden="false" customHeight="false" outlineLevel="0" collapsed="false">
      <c r="A2841" s="2" t="n">
        <v>46219</v>
      </c>
      <c r="B2841" s="3" t="s">
        <v>844</v>
      </c>
      <c r="C2841" s="0" t="n">
        <v>248</v>
      </c>
      <c r="D2841" s="0" t="n">
        <v>8</v>
      </c>
      <c r="E2841" s="0" t="str">
        <f aca="false">INDEX(lot!$B$2:$B$1201,MATCH(B2841,lot!$A$2:$A$1201,0))</f>
        <v>SUP-A</v>
      </c>
      <c r="F2841" s="3" t="n">
        <f aca="false">YEAR(A2841)*100+MONTH(A2841)</f>
        <v>202607</v>
      </c>
    </row>
    <row r="2842" customFormat="false" ht="15" hidden="false" customHeight="false" outlineLevel="0" collapsed="false">
      <c r="A2842" s="2" t="n">
        <v>46219</v>
      </c>
      <c r="B2842" s="3" t="s">
        <v>910</v>
      </c>
      <c r="C2842" s="0" t="n">
        <v>158</v>
      </c>
      <c r="D2842" s="0" t="n">
        <v>2</v>
      </c>
      <c r="E2842" s="0" t="str">
        <f aca="false">INDEX(lot!$B$2:$B$1201,MATCH(B2842,lot!$A$2:$A$1201,0))</f>
        <v>SUP-D</v>
      </c>
      <c r="F2842" s="3" t="n">
        <f aca="false">YEAR(A2842)*100+MONTH(A2842)</f>
        <v>202607</v>
      </c>
    </row>
    <row r="2843" customFormat="false" ht="15" hidden="false" customHeight="false" outlineLevel="0" collapsed="false">
      <c r="A2843" s="2" t="n">
        <v>46219</v>
      </c>
      <c r="B2843" s="3" t="s">
        <v>933</v>
      </c>
      <c r="C2843" s="0" t="n">
        <v>15</v>
      </c>
      <c r="D2843" s="0" t="n">
        <v>0</v>
      </c>
      <c r="E2843" s="0" t="str">
        <f aca="false">INDEX(lot!$B$2:$B$1201,MATCH(B2843,lot!$A$2:$A$1201,0))</f>
        <v>SUP-E</v>
      </c>
      <c r="F2843" s="3" t="n">
        <f aca="false">YEAR(A2843)*100+MONTH(A2843)</f>
        <v>202607</v>
      </c>
    </row>
    <row r="2844" customFormat="false" ht="15" hidden="false" customHeight="false" outlineLevel="0" collapsed="false">
      <c r="A2844" s="2" t="n">
        <v>46219</v>
      </c>
      <c r="B2844" s="3" t="s">
        <v>1035</v>
      </c>
      <c r="C2844" s="0" t="n">
        <v>189</v>
      </c>
      <c r="D2844" s="0" t="n">
        <v>8</v>
      </c>
      <c r="E2844" s="0" t="str">
        <f aca="false">INDEX(lot!$B$2:$B$1201,MATCH(B2844,lot!$A$2:$A$1201,0))</f>
        <v>SUP-D</v>
      </c>
      <c r="F2844" s="3" t="n">
        <f aca="false">YEAR(A2844)*100+MONTH(A2844)</f>
        <v>202607</v>
      </c>
    </row>
    <row r="2845" customFormat="false" ht="15" hidden="false" customHeight="false" outlineLevel="0" collapsed="false">
      <c r="A2845" s="2" t="n">
        <v>46219</v>
      </c>
      <c r="B2845" s="3" t="s">
        <v>1035</v>
      </c>
      <c r="C2845" s="0" t="n">
        <v>210</v>
      </c>
      <c r="D2845" s="0" t="n">
        <v>10</v>
      </c>
      <c r="E2845" s="0" t="str">
        <f aca="false">INDEX(lot!$B$2:$B$1201,MATCH(B2845,lot!$A$2:$A$1201,0))</f>
        <v>SUP-D</v>
      </c>
      <c r="F2845" s="3" t="n">
        <f aca="false">YEAR(A2845)*100+MONTH(A2845)</f>
        <v>202607</v>
      </c>
    </row>
    <row r="2846" customFormat="false" ht="15" hidden="false" customHeight="false" outlineLevel="0" collapsed="false">
      <c r="A2846" s="2" t="n">
        <v>46219</v>
      </c>
      <c r="B2846" s="3" t="s">
        <v>1127</v>
      </c>
      <c r="C2846" s="0" t="n">
        <v>147</v>
      </c>
      <c r="D2846" s="0" t="n">
        <v>2</v>
      </c>
      <c r="E2846" s="0" t="str">
        <f aca="false">INDEX(lot!$B$2:$B$1201,MATCH(B2846,lot!$A$2:$A$1201,0))</f>
        <v>SUP-A</v>
      </c>
      <c r="F2846" s="3" t="n">
        <f aca="false">YEAR(A2846)*100+MONTH(A2846)</f>
        <v>202607</v>
      </c>
    </row>
    <row r="2847" customFormat="false" ht="15" hidden="false" customHeight="false" outlineLevel="0" collapsed="false">
      <c r="A2847" s="2" t="n">
        <v>46219</v>
      </c>
      <c r="B2847" s="3" t="s">
        <v>1127</v>
      </c>
      <c r="C2847" s="0" t="n">
        <v>232</v>
      </c>
      <c r="D2847" s="0" t="n">
        <v>4</v>
      </c>
      <c r="E2847" s="0" t="str">
        <f aca="false">INDEX(lot!$B$2:$B$1201,MATCH(B2847,lot!$A$2:$A$1201,0))</f>
        <v>SUP-A</v>
      </c>
      <c r="F2847" s="3" t="n">
        <f aca="false">YEAR(A2847)*100+MONTH(A2847)</f>
        <v>202607</v>
      </c>
    </row>
    <row r="2848" customFormat="false" ht="15" hidden="false" customHeight="false" outlineLevel="0" collapsed="false">
      <c r="A2848" s="2" t="n">
        <v>46219</v>
      </c>
      <c r="B2848" s="3" t="s">
        <v>1170</v>
      </c>
      <c r="C2848" s="0" t="n">
        <v>68</v>
      </c>
      <c r="D2848" s="0" t="n">
        <v>0</v>
      </c>
      <c r="E2848" s="0" t="str">
        <f aca="false">INDEX(lot!$B$2:$B$1201,MATCH(B2848,lot!$A$2:$A$1201,0))</f>
        <v>SUP-E</v>
      </c>
      <c r="F2848" s="3" t="n">
        <f aca="false">YEAR(A2848)*100+MONTH(A2848)</f>
        <v>202607</v>
      </c>
    </row>
    <row r="2849" customFormat="false" ht="15" hidden="false" customHeight="false" outlineLevel="0" collapsed="false">
      <c r="A2849" s="2" t="n">
        <v>46219</v>
      </c>
      <c r="B2849" s="3" t="s">
        <v>1204</v>
      </c>
      <c r="C2849" s="0" t="n">
        <v>132</v>
      </c>
      <c r="D2849" s="0" t="n">
        <v>1</v>
      </c>
      <c r="E2849" s="0" t="str">
        <f aca="false">INDEX(lot!$B$2:$B$1201,MATCH(B2849,lot!$A$2:$A$1201,0))</f>
        <v>SUP-E</v>
      </c>
      <c r="F2849" s="3" t="n">
        <f aca="false">YEAR(A2849)*100+MONTH(A2849)</f>
        <v>202607</v>
      </c>
    </row>
    <row r="2850" customFormat="false" ht="15" hidden="false" customHeight="false" outlineLevel="0" collapsed="false">
      <c r="A2850" s="2" t="n">
        <v>46219</v>
      </c>
      <c r="B2850" s="3" t="s">
        <v>1204</v>
      </c>
      <c r="C2850" s="0" t="n">
        <v>117</v>
      </c>
      <c r="D2850" s="0" t="n">
        <v>2</v>
      </c>
      <c r="E2850" s="0" t="str">
        <f aca="false">INDEX(lot!$B$2:$B$1201,MATCH(B2850,lot!$A$2:$A$1201,0))</f>
        <v>SUP-E</v>
      </c>
      <c r="F2850" s="3" t="n">
        <f aca="false">YEAR(A2850)*100+MONTH(A2850)</f>
        <v>202607</v>
      </c>
    </row>
    <row r="2851" customFormat="false" ht="15" hidden="false" customHeight="false" outlineLevel="0" collapsed="false">
      <c r="A2851" s="2" t="n">
        <v>46220</v>
      </c>
      <c r="B2851" s="3" t="s">
        <v>162</v>
      </c>
      <c r="C2851" s="0" t="n">
        <v>226</v>
      </c>
      <c r="D2851" s="0" t="n">
        <v>2</v>
      </c>
      <c r="E2851" s="0" t="str">
        <f aca="false">INDEX(lot!$B$2:$B$1201,MATCH(B2851,lot!$A$2:$A$1201,0))</f>
        <v>SUP-D</v>
      </c>
      <c r="F2851" s="3" t="n">
        <f aca="false">YEAR(A2851)*100+MONTH(A2851)</f>
        <v>202607</v>
      </c>
    </row>
    <row r="2852" customFormat="false" ht="15" hidden="false" customHeight="false" outlineLevel="0" collapsed="false">
      <c r="A2852" s="2" t="n">
        <v>46220</v>
      </c>
      <c r="B2852" s="3" t="s">
        <v>502</v>
      </c>
      <c r="C2852" s="0" t="n">
        <v>247</v>
      </c>
      <c r="D2852" s="0" t="n">
        <v>2</v>
      </c>
      <c r="E2852" s="0" t="str">
        <f aca="false">INDEX(lot!$B$2:$B$1201,MATCH(B2852,lot!$A$2:$A$1201,0))</f>
        <v>SUP-E</v>
      </c>
      <c r="F2852" s="3" t="n">
        <f aca="false">YEAR(A2852)*100+MONTH(A2852)</f>
        <v>202607</v>
      </c>
    </row>
    <row r="2853" customFormat="false" ht="15" hidden="false" customHeight="false" outlineLevel="0" collapsed="false">
      <c r="A2853" s="2" t="n">
        <v>46220</v>
      </c>
      <c r="B2853" s="3" t="s">
        <v>502</v>
      </c>
      <c r="C2853" s="0" t="n">
        <v>151</v>
      </c>
      <c r="D2853" s="0" t="n">
        <v>1</v>
      </c>
      <c r="E2853" s="0" t="str">
        <f aca="false">INDEX(lot!$B$2:$B$1201,MATCH(B2853,lot!$A$2:$A$1201,0))</f>
        <v>SUP-E</v>
      </c>
      <c r="F2853" s="3" t="n">
        <f aca="false">YEAR(A2853)*100+MONTH(A2853)</f>
        <v>202607</v>
      </c>
    </row>
    <row r="2854" customFormat="false" ht="15" hidden="false" customHeight="false" outlineLevel="0" collapsed="false">
      <c r="A2854" s="2" t="n">
        <v>46220</v>
      </c>
      <c r="B2854" s="3" t="s">
        <v>525</v>
      </c>
      <c r="C2854" s="0" t="n">
        <v>238</v>
      </c>
      <c r="D2854" s="0" t="n">
        <v>3</v>
      </c>
      <c r="E2854" s="0" t="str">
        <f aca="false">INDEX(lot!$B$2:$B$1201,MATCH(B2854,lot!$A$2:$A$1201,0))</f>
        <v>SUP-D</v>
      </c>
      <c r="F2854" s="3" t="n">
        <f aca="false">YEAR(A2854)*100+MONTH(A2854)</f>
        <v>202607</v>
      </c>
    </row>
    <row r="2855" customFormat="false" ht="15" hidden="false" customHeight="false" outlineLevel="0" collapsed="false">
      <c r="A2855" s="2" t="n">
        <v>46220</v>
      </c>
      <c r="B2855" s="3" t="s">
        <v>525</v>
      </c>
      <c r="C2855" s="0" t="n">
        <v>233</v>
      </c>
      <c r="D2855" s="0" t="n">
        <v>1</v>
      </c>
      <c r="E2855" s="0" t="str">
        <f aca="false">INDEX(lot!$B$2:$B$1201,MATCH(B2855,lot!$A$2:$A$1201,0))</f>
        <v>SUP-D</v>
      </c>
      <c r="F2855" s="3" t="n">
        <f aca="false">YEAR(A2855)*100+MONTH(A2855)</f>
        <v>202607</v>
      </c>
    </row>
    <row r="2856" customFormat="false" ht="15" hidden="false" customHeight="false" outlineLevel="0" collapsed="false">
      <c r="A2856" s="2" t="n">
        <v>46220</v>
      </c>
      <c r="B2856" s="3" t="s">
        <v>535</v>
      </c>
      <c r="C2856" s="0" t="n">
        <v>137</v>
      </c>
      <c r="D2856" s="0" t="n">
        <v>5</v>
      </c>
      <c r="E2856" s="0" t="str">
        <f aca="false">INDEX(lot!$B$2:$B$1201,MATCH(B2856,lot!$A$2:$A$1201,0))</f>
        <v>SUP-A</v>
      </c>
      <c r="F2856" s="3" t="n">
        <f aca="false">YEAR(A2856)*100+MONTH(A2856)</f>
        <v>202607</v>
      </c>
    </row>
    <row r="2857" customFormat="false" ht="15" hidden="false" customHeight="false" outlineLevel="0" collapsed="false">
      <c r="A2857" s="2" t="n">
        <v>46220</v>
      </c>
      <c r="B2857" s="3" t="s">
        <v>552</v>
      </c>
      <c r="C2857" s="0" t="n">
        <v>120</v>
      </c>
      <c r="D2857" s="0" t="n">
        <v>1</v>
      </c>
      <c r="E2857" s="0" t="str">
        <f aca="false">INDEX(lot!$B$2:$B$1201,MATCH(B2857,lot!$A$2:$A$1201,0))</f>
        <v>SUP-D</v>
      </c>
      <c r="F2857" s="3" t="n">
        <f aca="false">YEAR(A2857)*100+MONTH(A2857)</f>
        <v>202607</v>
      </c>
    </row>
    <row r="2858" customFormat="false" ht="15" hidden="false" customHeight="false" outlineLevel="0" collapsed="false">
      <c r="A2858" s="2" t="n">
        <v>46220</v>
      </c>
      <c r="B2858" s="3" t="s">
        <v>635</v>
      </c>
      <c r="C2858" s="0" t="n">
        <v>168</v>
      </c>
      <c r="D2858" s="0" t="n">
        <v>3</v>
      </c>
      <c r="E2858" s="0" t="str">
        <f aca="false">INDEX(lot!$B$2:$B$1201,MATCH(B2858,lot!$A$2:$A$1201,0))</f>
        <v>SUP-D</v>
      </c>
      <c r="F2858" s="3" t="n">
        <f aca="false">YEAR(A2858)*100+MONTH(A2858)</f>
        <v>202607</v>
      </c>
    </row>
    <row r="2859" customFormat="false" ht="15" hidden="false" customHeight="false" outlineLevel="0" collapsed="false">
      <c r="A2859" s="2" t="n">
        <v>46220</v>
      </c>
      <c r="B2859" s="3" t="s">
        <v>743</v>
      </c>
      <c r="C2859" s="0" t="n">
        <v>64</v>
      </c>
      <c r="D2859" s="0" t="n">
        <v>0</v>
      </c>
      <c r="E2859" s="0" t="str">
        <f aca="false">INDEX(lot!$B$2:$B$1201,MATCH(B2859,lot!$A$2:$A$1201,0))</f>
        <v>SUP-D</v>
      </c>
      <c r="F2859" s="3" t="n">
        <f aca="false">YEAR(A2859)*100+MONTH(A2859)</f>
        <v>202607</v>
      </c>
    </row>
    <row r="2860" customFormat="false" ht="15" hidden="false" customHeight="false" outlineLevel="0" collapsed="false">
      <c r="A2860" s="2" t="n">
        <v>46220</v>
      </c>
      <c r="B2860" s="3" t="s">
        <v>743</v>
      </c>
      <c r="C2860" s="0" t="n">
        <v>74</v>
      </c>
      <c r="D2860" s="0" t="n">
        <v>1</v>
      </c>
      <c r="E2860" s="0" t="str">
        <f aca="false">INDEX(lot!$B$2:$B$1201,MATCH(B2860,lot!$A$2:$A$1201,0))</f>
        <v>SUP-D</v>
      </c>
      <c r="F2860" s="3" t="n">
        <f aca="false">YEAR(A2860)*100+MONTH(A2860)</f>
        <v>202607</v>
      </c>
    </row>
    <row r="2861" customFormat="false" ht="15" hidden="false" customHeight="false" outlineLevel="0" collapsed="false">
      <c r="A2861" s="2" t="n">
        <v>46220</v>
      </c>
      <c r="B2861" s="3" t="s">
        <v>808</v>
      </c>
      <c r="C2861" s="0" t="n">
        <v>101</v>
      </c>
      <c r="D2861" s="0" t="n">
        <v>5</v>
      </c>
      <c r="E2861" s="0" t="str">
        <f aca="false">INDEX(lot!$B$2:$B$1201,MATCH(B2861,lot!$A$2:$A$1201,0))</f>
        <v>SUP-C</v>
      </c>
      <c r="F2861" s="3" t="n">
        <f aca="false">YEAR(A2861)*100+MONTH(A2861)</f>
        <v>202607</v>
      </c>
    </row>
    <row r="2862" customFormat="false" ht="15" hidden="false" customHeight="false" outlineLevel="0" collapsed="false">
      <c r="A2862" s="2" t="n">
        <v>46220</v>
      </c>
      <c r="B2862" s="3" t="s">
        <v>808</v>
      </c>
      <c r="C2862" s="0" t="n">
        <v>229</v>
      </c>
      <c r="D2862" s="0" t="n">
        <v>10</v>
      </c>
      <c r="E2862" s="0" t="str">
        <f aca="false">INDEX(lot!$B$2:$B$1201,MATCH(B2862,lot!$A$2:$A$1201,0))</f>
        <v>SUP-C</v>
      </c>
      <c r="F2862" s="3" t="n">
        <f aca="false">YEAR(A2862)*100+MONTH(A2862)</f>
        <v>202607</v>
      </c>
    </row>
    <row r="2863" customFormat="false" ht="15" hidden="false" customHeight="false" outlineLevel="0" collapsed="false">
      <c r="A2863" s="2" t="n">
        <v>46220</v>
      </c>
      <c r="B2863" s="3" t="s">
        <v>910</v>
      </c>
      <c r="C2863" s="0" t="n">
        <v>219</v>
      </c>
      <c r="D2863" s="0" t="n">
        <v>3</v>
      </c>
      <c r="E2863" s="0" t="str">
        <f aca="false">INDEX(lot!$B$2:$B$1201,MATCH(B2863,lot!$A$2:$A$1201,0))</f>
        <v>SUP-D</v>
      </c>
      <c r="F2863" s="3" t="n">
        <f aca="false">YEAR(A2863)*100+MONTH(A2863)</f>
        <v>202607</v>
      </c>
    </row>
    <row r="2864" customFormat="false" ht="15" hidden="false" customHeight="false" outlineLevel="0" collapsed="false">
      <c r="A2864" s="2" t="n">
        <v>46220</v>
      </c>
      <c r="B2864" s="3" t="s">
        <v>910</v>
      </c>
      <c r="C2864" s="0" t="n">
        <v>127</v>
      </c>
      <c r="D2864" s="0" t="n">
        <v>2</v>
      </c>
      <c r="E2864" s="0" t="str">
        <f aca="false">INDEX(lot!$B$2:$B$1201,MATCH(B2864,lot!$A$2:$A$1201,0))</f>
        <v>SUP-D</v>
      </c>
      <c r="F2864" s="3" t="n">
        <f aca="false">YEAR(A2864)*100+MONTH(A2864)</f>
        <v>202607</v>
      </c>
    </row>
    <row r="2865" customFormat="false" ht="15" hidden="false" customHeight="false" outlineLevel="0" collapsed="false">
      <c r="A2865" s="2" t="n">
        <v>46220</v>
      </c>
      <c r="B2865" s="3" t="s">
        <v>954</v>
      </c>
      <c r="C2865" s="0" t="n">
        <v>90</v>
      </c>
      <c r="D2865" s="0" t="n">
        <v>0</v>
      </c>
      <c r="E2865" s="0" t="str">
        <f aca="false">INDEX(lot!$B$2:$B$1201,MATCH(B2865,lot!$A$2:$A$1201,0))</f>
        <v>SUP-D</v>
      </c>
      <c r="F2865" s="3" t="n">
        <f aca="false">YEAR(A2865)*100+MONTH(A2865)</f>
        <v>202607</v>
      </c>
    </row>
    <row r="2866" customFormat="false" ht="15" hidden="false" customHeight="false" outlineLevel="0" collapsed="false">
      <c r="A2866" s="2" t="n">
        <v>46220</v>
      </c>
      <c r="B2866" s="3" t="s">
        <v>954</v>
      </c>
      <c r="C2866" s="0" t="n">
        <v>242</v>
      </c>
      <c r="D2866" s="0" t="n">
        <v>1</v>
      </c>
      <c r="E2866" s="0" t="str">
        <f aca="false">INDEX(lot!$B$2:$B$1201,MATCH(B2866,lot!$A$2:$A$1201,0))</f>
        <v>SUP-D</v>
      </c>
      <c r="F2866" s="3" t="n">
        <f aca="false">YEAR(A2866)*100+MONTH(A2866)</f>
        <v>202607</v>
      </c>
    </row>
    <row r="2867" customFormat="false" ht="15" hidden="false" customHeight="false" outlineLevel="0" collapsed="false">
      <c r="A2867" s="2" t="n">
        <v>46220</v>
      </c>
      <c r="B2867" s="3" t="s">
        <v>1035</v>
      </c>
      <c r="C2867" s="0" t="n">
        <v>142</v>
      </c>
      <c r="D2867" s="0" t="n">
        <v>8</v>
      </c>
      <c r="E2867" s="0" t="str">
        <f aca="false">INDEX(lot!$B$2:$B$1201,MATCH(B2867,lot!$A$2:$A$1201,0))</f>
        <v>SUP-D</v>
      </c>
      <c r="F2867" s="3" t="n">
        <f aca="false">YEAR(A2867)*100+MONTH(A2867)</f>
        <v>202607</v>
      </c>
    </row>
    <row r="2868" customFormat="false" ht="15" hidden="false" customHeight="false" outlineLevel="0" collapsed="false">
      <c r="A2868" s="2" t="n">
        <v>46220</v>
      </c>
      <c r="B2868" s="3" t="s">
        <v>1170</v>
      </c>
      <c r="C2868" s="0" t="n">
        <v>129</v>
      </c>
      <c r="D2868" s="0" t="n">
        <v>1</v>
      </c>
      <c r="E2868" s="0" t="str">
        <f aca="false">INDEX(lot!$B$2:$B$1201,MATCH(B2868,lot!$A$2:$A$1201,0))</f>
        <v>SUP-E</v>
      </c>
      <c r="F2868" s="3" t="n">
        <f aca="false">YEAR(A2868)*100+MONTH(A2868)</f>
        <v>202607</v>
      </c>
    </row>
    <row r="2869" customFormat="false" ht="15" hidden="false" customHeight="false" outlineLevel="0" collapsed="false">
      <c r="A2869" s="2" t="n">
        <v>46220</v>
      </c>
      <c r="B2869" s="3" t="s">
        <v>1170</v>
      </c>
      <c r="C2869" s="0" t="n">
        <v>223</v>
      </c>
      <c r="D2869" s="0" t="n">
        <v>1</v>
      </c>
      <c r="E2869" s="0" t="str">
        <f aca="false">INDEX(lot!$B$2:$B$1201,MATCH(B2869,lot!$A$2:$A$1201,0))</f>
        <v>SUP-E</v>
      </c>
      <c r="F2869" s="3" t="n">
        <f aca="false">YEAR(A2869)*100+MONTH(A2869)</f>
        <v>202607</v>
      </c>
    </row>
    <row r="2870" customFormat="false" ht="15" hidden="false" customHeight="false" outlineLevel="0" collapsed="false">
      <c r="A2870" s="2" t="n">
        <v>46223</v>
      </c>
      <c r="B2870" s="3" t="s">
        <v>69</v>
      </c>
      <c r="C2870" s="0" t="n">
        <v>218</v>
      </c>
      <c r="D2870" s="0" t="n">
        <v>3</v>
      </c>
      <c r="E2870" s="0" t="str">
        <f aca="false">INDEX(lot!$B$2:$B$1201,MATCH(B2870,lot!$A$2:$A$1201,0))</f>
        <v>SUP-E</v>
      </c>
      <c r="F2870" s="3" t="n">
        <f aca="false">YEAR(A2870)*100+MONTH(A2870)</f>
        <v>202607</v>
      </c>
    </row>
    <row r="2871" customFormat="false" ht="15" hidden="false" customHeight="false" outlineLevel="0" collapsed="false">
      <c r="A2871" s="2" t="n">
        <v>46223</v>
      </c>
      <c r="B2871" s="3" t="s">
        <v>69</v>
      </c>
      <c r="C2871" s="0" t="n">
        <v>131</v>
      </c>
      <c r="D2871" s="0" t="n">
        <v>0</v>
      </c>
      <c r="E2871" s="0" t="str">
        <f aca="false">INDEX(lot!$B$2:$B$1201,MATCH(B2871,lot!$A$2:$A$1201,0))</f>
        <v>SUP-E</v>
      </c>
      <c r="F2871" s="3" t="n">
        <f aca="false">YEAR(A2871)*100+MONTH(A2871)</f>
        <v>202607</v>
      </c>
    </row>
    <row r="2872" customFormat="false" ht="15" hidden="false" customHeight="false" outlineLevel="0" collapsed="false">
      <c r="A2872" s="2" t="n">
        <v>46223</v>
      </c>
      <c r="B2872" s="3" t="s">
        <v>109</v>
      </c>
      <c r="C2872" s="0" t="n">
        <v>165</v>
      </c>
      <c r="D2872" s="0" t="n">
        <v>6</v>
      </c>
      <c r="E2872" s="0" t="str">
        <f aca="false">INDEX(lot!$B$2:$B$1201,MATCH(B2872,lot!$A$2:$A$1201,0))</f>
        <v>SUP-C</v>
      </c>
      <c r="F2872" s="3" t="n">
        <f aca="false">YEAR(A2872)*100+MONTH(A2872)</f>
        <v>202607</v>
      </c>
    </row>
    <row r="2873" customFormat="false" ht="15" hidden="false" customHeight="false" outlineLevel="0" collapsed="false">
      <c r="A2873" s="2" t="n">
        <v>46223</v>
      </c>
      <c r="B2873" s="3" t="s">
        <v>323</v>
      </c>
      <c r="C2873" s="0" t="n">
        <v>131</v>
      </c>
      <c r="D2873" s="0" t="n">
        <v>6</v>
      </c>
      <c r="E2873" s="0" t="str">
        <f aca="false">INDEX(lot!$B$2:$B$1201,MATCH(B2873,lot!$A$2:$A$1201,0))</f>
        <v>SUP-C</v>
      </c>
      <c r="F2873" s="3" t="n">
        <f aca="false">YEAR(A2873)*100+MONTH(A2873)</f>
        <v>202607</v>
      </c>
    </row>
    <row r="2874" customFormat="false" ht="15" hidden="false" customHeight="false" outlineLevel="0" collapsed="false">
      <c r="A2874" s="2" t="n">
        <v>46223</v>
      </c>
      <c r="B2874" s="3" t="s">
        <v>525</v>
      </c>
      <c r="C2874" s="0" t="n">
        <v>153</v>
      </c>
      <c r="D2874" s="0" t="n">
        <v>0</v>
      </c>
      <c r="E2874" s="0" t="str">
        <f aca="false">INDEX(lot!$B$2:$B$1201,MATCH(B2874,lot!$A$2:$A$1201,0))</f>
        <v>SUP-D</v>
      </c>
      <c r="F2874" s="3" t="n">
        <f aca="false">YEAR(A2874)*100+MONTH(A2874)</f>
        <v>202607</v>
      </c>
    </row>
    <row r="2875" customFormat="false" ht="15" hidden="false" customHeight="false" outlineLevel="0" collapsed="false">
      <c r="A2875" s="2" t="n">
        <v>46223</v>
      </c>
      <c r="B2875" s="3" t="s">
        <v>552</v>
      </c>
      <c r="C2875" s="0" t="n">
        <v>210</v>
      </c>
      <c r="D2875" s="0" t="n">
        <v>3</v>
      </c>
      <c r="E2875" s="0" t="str">
        <f aca="false">INDEX(lot!$B$2:$B$1201,MATCH(B2875,lot!$A$2:$A$1201,0))</f>
        <v>SUP-D</v>
      </c>
      <c r="F2875" s="3" t="n">
        <f aca="false">YEAR(A2875)*100+MONTH(A2875)</f>
        <v>202607</v>
      </c>
    </row>
    <row r="2876" customFormat="false" ht="15" hidden="false" customHeight="false" outlineLevel="0" collapsed="false">
      <c r="A2876" s="2" t="n">
        <v>46223</v>
      </c>
      <c r="B2876" s="3" t="s">
        <v>568</v>
      </c>
      <c r="C2876" s="0" t="n">
        <v>120</v>
      </c>
      <c r="D2876" s="0" t="n">
        <v>3</v>
      </c>
      <c r="E2876" s="0" t="str">
        <f aca="false">INDEX(lot!$B$2:$B$1201,MATCH(B2876,lot!$A$2:$A$1201,0))</f>
        <v>SUP-C</v>
      </c>
      <c r="F2876" s="3" t="n">
        <f aca="false">YEAR(A2876)*100+MONTH(A2876)</f>
        <v>202607</v>
      </c>
    </row>
    <row r="2877" customFormat="false" ht="15" hidden="false" customHeight="false" outlineLevel="0" collapsed="false">
      <c r="A2877" s="2" t="n">
        <v>46223</v>
      </c>
      <c r="B2877" s="3" t="s">
        <v>568</v>
      </c>
      <c r="C2877" s="0" t="n">
        <v>121</v>
      </c>
      <c r="D2877" s="0" t="n">
        <v>3</v>
      </c>
      <c r="E2877" s="0" t="str">
        <f aca="false">INDEX(lot!$B$2:$B$1201,MATCH(B2877,lot!$A$2:$A$1201,0))</f>
        <v>SUP-C</v>
      </c>
      <c r="F2877" s="3" t="n">
        <f aca="false">YEAR(A2877)*100+MONTH(A2877)</f>
        <v>202607</v>
      </c>
    </row>
    <row r="2878" customFormat="false" ht="15" hidden="false" customHeight="false" outlineLevel="0" collapsed="false">
      <c r="A2878" s="2" t="n">
        <v>46223</v>
      </c>
      <c r="B2878" s="3" t="s">
        <v>635</v>
      </c>
      <c r="C2878" s="0" t="n">
        <v>80</v>
      </c>
      <c r="D2878" s="0" t="n">
        <v>1</v>
      </c>
      <c r="E2878" s="0" t="str">
        <f aca="false">INDEX(lot!$B$2:$B$1201,MATCH(B2878,lot!$A$2:$A$1201,0))</f>
        <v>SUP-D</v>
      </c>
      <c r="F2878" s="3" t="n">
        <f aca="false">YEAR(A2878)*100+MONTH(A2878)</f>
        <v>202607</v>
      </c>
    </row>
    <row r="2879" customFormat="false" ht="15" hidden="false" customHeight="false" outlineLevel="0" collapsed="false">
      <c r="A2879" s="2" t="n">
        <v>46223</v>
      </c>
      <c r="B2879" s="3" t="s">
        <v>743</v>
      </c>
      <c r="C2879" s="0" t="n">
        <v>247</v>
      </c>
      <c r="D2879" s="0" t="n">
        <v>4</v>
      </c>
      <c r="E2879" s="0" t="str">
        <f aca="false">INDEX(lot!$B$2:$B$1201,MATCH(B2879,lot!$A$2:$A$1201,0))</f>
        <v>SUP-D</v>
      </c>
      <c r="F2879" s="3" t="n">
        <f aca="false">YEAR(A2879)*100+MONTH(A2879)</f>
        <v>202607</v>
      </c>
    </row>
    <row r="2880" customFormat="false" ht="15" hidden="false" customHeight="false" outlineLevel="0" collapsed="false">
      <c r="A2880" s="2" t="n">
        <v>46223</v>
      </c>
      <c r="B2880" s="3" t="s">
        <v>808</v>
      </c>
      <c r="C2880" s="0" t="n">
        <v>195</v>
      </c>
      <c r="D2880" s="0" t="n">
        <v>7</v>
      </c>
      <c r="E2880" s="0" t="str">
        <f aca="false">INDEX(lot!$B$2:$B$1201,MATCH(B2880,lot!$A$2:$A$1201,0))</f>
        <v>SUP-C</v>
      </c>
      <c r="F2880" s="3" t="n">
        <f aca="false">YEAR(A2880)*100+MONTH(A2880)</f>
        <v>202607</v>
      </c>
    </row>
    <row r="2881" customFormat="false" ht="15" hidden="false" customHeight="false" outlineLevel="0" collapsed="false">
      <c r="A2881" s="2" t="n">
        <v>46223</v>
      </c>
      <c r="B2881" s="3" t="s">
        <v>808</v>
      </c>
      <c r="C2881" s="0" t="n">
        <v>250</v>
      </c>
      <c r="D2881" s="0" t="n">
        <v>9</v>
      </c>
      <c r="E2881" s="0" t="str">
        <f aca="false">INDEX(lot!$B$2:$B$1201,MATCH(B2881,lot!$A$2:$A$1201,0))</f>
        <v>SUP-C</v>
      </c>
      <c r="F2881" s="3" t="n">
        <f aca="false">YEAR(A2881)*100+MONTH(A2881)</f>
        <v>202607</v>
      </c>
    </row>
    <row r="2882" customFormat="false" ht="15" hidden="false" customHeight="false" outlineLevel="0" collapsed="false">
      <c r="A2882" s="2" t="n">
        <v>46223</v>
      </c>
      <c r="B2882" s="3" t="s">
        <v>898</v>
      </c>
      <c r="C2882" s="0" t="n">
        <v>245</v>
      </c>
      <c r="D2882" s="0" t="n">
        <v>5</v>
      </c>
      <c r="E2882" s="0" t="str">
        <f aca="false">INDEX(lot!$B$2:$B$1201,MATCH(B2882,lot!$A$2:$A$1201,0))</f>
        <v>SUP-A</v>
      </c>
      <c r="F2882" s="3" t="n">
        <f aca="false">YEAR(A2882)*100+MONTH(A2882)</f>
        <v>202607</v>
      </c>
    </row>
    <row r="2883" customFormat="false" ht="15" hidden="false" customHeight="false" outlineLevel="0" collapsed="false">
      <c r="A2883" s="2" t="n">
        <v>46223</v>
      </c>
      <c r="B2883" s="3" t="s">
        <v>898</v>
      </c>
      <c r="C2883" s="0" t="n">
        <v>77</v>
      </c>
      <c r="D2883" s="0" t="n">
        <v>1</v>
      </c>
      <c r="E2883" s="0" t="str">
        <f aca="false">INDEX(lot!$B$2:$B$1201,MATCH(B2883,lot!$A$2:$A$1201,0))</f>
        <v>SUP-A</v>
      </c>
      <c r="F2883" s="3" t="n">
        <f aca="false">YEAR(A2883)*100+MONTH(A2883)</f>
        <v>202607</v>
      </c>
    </row>
    <row r="2884" customFormat="false" ht="15" hidden="false" customHeight="false" outlineLevel="0" collapsed="false">
      <c r="A2884" s="2" t="n">
        <v>46223</v>
      </c>
      <c r="B2884" s="3" t="s">
        <v>1009</v>
      </c>
      <c r="C2884" s="0" t="n">
        <v>239</v>
      </c>
      <c r="D2884" s="0" t="n">
        <v>2</v>
      </c>
      <c r="E2884" s="0" t="str">
        <f aca="false">INDEX(lot!$B$2:$B$1201,MATCH(B2884,lot!$A$2:$A$1201,0))</f>
        <v>SUP-D</v>
      </c>
      <c r="F2884" s="3" t="n">
        <f aca="false">YEAR(A2884)*100+MONTH(A2884)</f>
        <v>202607</v>
      </c>
    </row>
    <row r="2885" customFormat="false" ht="15" hidden="false" customHeight="false" outlineLevel="0" collapsed="false">
      <c r="A2885" s="2" t="n">
        <v>46223</v>
      </c>
      <c r="B2885" s="3" t="s">
        <v>1019</v>
      </c>
      <c r="C2885" s="0" t="n">
        <v>178</v>
      </c>
      <c r="D2885" s="0" t="n">
        <v>18</v>
      </c>
      <c r="E2885" s="0" t="str">
        <f aca="false">INDEX(lot!$B$2:$B$1201,MATCH(B2885,lot!$A$2:$A$1201,0))</f>
        <v>SUP-D</v>
      </c>
      <c r="F2885" s="3" t="n">
        <f aca="false">YEAR(A2885)*100+MONTH(A2885)</f>
        <v>202607</v>
      </c>
    </row>
    <row r="2886" customFormat="false" ht="15" hidden="false" customHeight="false" outlineLevel="0" collapsed="false">
      <c r="A2886" s="2" t="n">
        <v>46223</v>
      </c>
      <c r="B2886" s="3" t="s">
        <v>1019</v>
      </c>
      <c r="C2886" s="0" t="n">
        <v>107</v>
      </c>
      <c r="D2886" s="0" t="n">
        <v>6</v>
      </c>
      <c r="E2886" s="0" t="str">
        <f aca="false">INDEX(lot!$B$2:$B$1201,MATCH(B2886,lot!$A$2:$A$1201,0))</f>
        <v>SUP-D</v>
      </c>
      <c r="F2886" s="3" t="n">
        <f aca="false">YEAR(A2886)*100+MONTH(A2886)</f>
        <v>202607</v>
      </c>
    </row>
    <row r="2887" customFormat="false" ht="15" hidden="false" customHeight="false" outlineLevel="0" collapsed="false">
      <c r="A2887" s="2" t="n">
        <v>46223</v>
      </c>
      <c r="B2887" s="3" t="s">
        <v>1066</v>
      </c>
      <c r="C2887" s="0" t="n">
        <v>231</v>
      </c>
      <c r="D2887" s="0" t="n">
        <v>0</v>
      </c>
      <c r="E2887" s="0" t="str">
        <f aca="false">INDEX(lot!$B$2:$B$1201,MATCH(B2887,lot!$A$2:$A$1201,0))</f>
        <v>SUP-D</v>
      </c>
      <c r="F2887" s="3" t="n">
        <f aca="false">YEAR(A2887)*100+MONTH(A2887)</f>
        <v>202607</v>
      </c>
    </row>
    <row r="2888" customFormat="false" ht="15" hidden="false" customHeight="false" outlineLevel="0" collapsed="false">
      <c r="A2888" s="2" t="n">
        <v>46223</v>
      </c>
      <c r="B2888" s="3" t="s">
        <v>1073</v>
      </c>
      <c r="C2888" s="0" t="n">
        <v>198</v>
      </c>
      <c r="D2888" s="0" t="n">
        <v>0</v>
      </c>
      <c r="E2888" s="0" t="str">
        <f aca="false">INDEX(lot!$B$2:$B$1201,MATCH(B2888,lot!$A$2:$A$1201,0))</f>
        <v>SUP-D</v>
      </c>
      <c r="F2888" s="3" t="n">
        <f aca="false">YEAR(A2888)*100+MONTH(A2888)</f>
        <v>202607</v>
      </c>
    </row>
    <row r="2889" customFormat="false" ht="15" hidden="false" customHeight="false" outlineLevel="0" collapsed="false">
      <c r="A2889" s="2" t="n">
        <v>46223</v>
      </c>
      <c r="B2889" s="3" t="s">
        <v>1170</v>
      </c>
      <c r="C2889" s="0" t="n">
        <v>145</v>
      </c>
      <c r="D2889" s="0" t="n">
        <v>3</v>
      </c>
      <c r="E2889" s="0" t="str">
        <f aca="false">INDEX(lot!$B$2:$B$1201,MATCH(B2889,lot!$A$2:$A$1201,0))</f>
        <v>SUP-E</v>
      </c>
      <c r="F2889" s="3" t="n">
        <f aca="false">YEAR(A2889)*100+MONTH(A2889)</f>
        <v>202607</v>
      </c>
    </row>
    <row r="2890" customFormat="false" ht="15" hidden="false" customHeight="false" outlineLevel="0" collapsed="false">
      <c r="A2890" s="2" t="n">
        <v>46223</v>
      </c>
      <c r="B2890" s="3" t="s">
        <v>1170</v>
      </c>
      <c r="C2890" s="0" t="n">
        <v>178</v>
      </c>
      <c r="D2890" s="0" t="n">
        <v>0</v>
      </c>
      <c r="E2890" s="0" t="str">
        <f aca="false">INDEX(lot!$B$2:$B$1201,MATCH(B2890,lot!$A$2:$A$1201,0))</f>
        <v>SUP-E</v>
      </c>
      <c r="F2890" s="3" t="n">
        <f aca="false">YEAR(A2890)*100+MONTH(A2890)</f>
        <v>202607</v>
      </c>
    </row>
    <row r="2891" customFormat="false" ht="15" hidden="false" customHeight="false" outlineLevel="0" collapsed="false">
      <c r="A2891" s="2" t="n">
        <v>46224</v>
      </c>
      <c r="B2891" s="3" t="s">
        <v>69</v>
      </c>
      <c r="C2891" s="0" t="n">
        <v>110</v>
      </c>
      <c r="D2891" s="0" t="n">
        <v>0</v>
      </c>
      <c r="E2891" s="0" t="str">
        <f aca="false">INDEX(lot!$B$2:$B$1201,MATCH(B2891,lot!$A$2:$A$1201,0))</f>
        <v>SUP-E</v>
      </c>
      <c r="F2891" s="3" t="n">
        <f aca="false">YEAR(A2891)*100+MONTH(A2891)</f>
        <v>202607</v>
      </c>
    </row>
    <row r="2892" customFormat="false" ht="15" hidden="false" customHeight="false" outlineLevel="0" collapsed="false">
      <c r="A2892" s="2" t="n">
        <v>46224</v>
      </c>
      <c r="B2892" s="3" t="s">
        <v>69</v>
      </c>
      <c r="C2892" s="0" t="n">
        <v>129</v>
      </c>
      <c r="D2892" s="0" t="n">
        <v>0</v>
      </c>
      <c r="E2892" s="0" t="str">
        <f aca="false">INDEX(lot!$B$2:$B$1201,MATCH(B2892,lot!$A$2:$A$1201,0))</f>
        <v>SUP-E</v>
      </c>
      <c r="F2892" s="3" t="n">
        <f aca="false">YEAR(A2892)*100+MONTH(A2892)</f>
        <v>202607</v>
      </c>
    </row>
    <row r="2893" customFormat="false" ht="15" hidden="false" customHeight="false" outlineLevel="0" collapsed="false">
      <c r="A2893" s="2" t="n">
        <v>46224</v>
      </c>
      <c r="B2893" s="3" t="s">
        <v>135</v>
      </c>
      <c r="C2893" s="0" t="n">
        <v>104</v>
      </c>
      <c r="D2893" s="0" t="n">
        <v>4</v>
      </c>
      <c r="E2893" s="0" t="str">
        <f aca="false">INDEX(lot!$B$2:$B$1201,MATCH(B2893,lot!$A$2:$A$1201,0))</f>
        <v>SUP-C</v>
      </c>
      <c r="F2893" s="3" t="n">
        <f aca="false">YEAR(A2893)*100+MONTH(A2893)</f>
        <v>202607</v>
      </c>
    </row>
    <row r="2894" customFormat="false" ht="15" hidden="false" customHeight="false" outlineLevel="0" collapsed="false">
      <c r="A2894" s="2" t="n">
        <v>46224</v>
      </c>
      <c r="B2894" s="3" t="s">
        <v>135</v>
      </c>
      <c r="C2894" s="0" t="n">
        <v>68</v>
      </c>
      <c r="D2894" s="0" t="n">
        <v>1</v>
      </c>
      <c r="E2894" s="0" t="str">
        <f aca="false">INDEX(lot!$B$2:$B$1201,MATCH(B2894,lot!$A$2:$A$1201,0))</f>
        <v>SUP-C</v>
      </c>
      <c r="F2894" s="3" t="n">
        <f aca="false">YEAR(A2894)*100+MONTH(A2894)</f>
        <v>202607</v>
      </c>
    </row>
    <row r="2895" customFormat="false" ht="15" hidden="false" customHeight="false" outlineLevel="0" collapsed="false">
      <c r="A2895" s="2" t="n">
        <v>46224</v>
      </c>
      <c r="B2895" s="3" t="s">
        <v>323</v>
      </c>
      <c r="C2895" s="0" t="n">
        <v>155</v>
      </c>
      <c r="D2895" s="0" t="n">
        <v>5</v>
      </c>
      <c r="E2895" s="0" t="str">
        <f aca="false">INDEX(lot!$B$2:$B$1201,MATCH(B2895,lot!$A$2:$A$1201,0))</f>
        <v>SUP-C</v>
      </c>
      <c r="F2895" s="3" t="n">
        <f aca="false">YEAR(A2895)*100+MONTH(A2895)</f>
        <v>202607</v>
      </c>
    </row>
    <row r="2896" customFormat="false" ht="15" hidden="false" customHeight="false" outlineLevel="0" collapsed="false">
      <c r="A2896" s="2" t="n">
        <v>46224</v>
      </c>
      <c r="B2896" s="3" t="s">
        <v>323</v>
      </c>
      <c r="C2896" s="0" t="n">
        <v>240</v>
      </c>
      <c r="D2896" s="0" t="n">
        <v>8</v>
      </c>
      <c r="E2896" s="0" t="str">
        <f aca="false">INDEX(lot!$B$2:$B$1201,MATCH(B2896,lot!$A$2:$A$1201,0))</f>
        <v>SUP-C</v>
      </c>
      <c r="F2896" s="3" t="n">
        <f aca="false">YEAR(A2896)*100+MONTH(A2896)</f>
        <v>202607</v>
      </c>
    </row>
    <row r="2897" customFormat="false" ht="15" hidden="false" customHeight="false" outlineLevel="0" collapsed="false">
      <c r="A2897" s="2" t="n">
        <v>46224</v>
      </c>
      <c r="B2897" s="3" t="s">
        <v>425</v>
      </c>
      <c r="C2897" s="0" t="n">
        <v>94</v>
      </c>
      <c r="D2897" s="0" t="n">
        <v>1</v>
      </c>
      <c r="E2897" s="0" t="str">
        <f aca="false">INDEX(lot!$B$2:$B$1201,MATCH(B2897,lot!$A$2:$A$1201,0))</f>
        <v>SUP-E</v>
      </c>
      <c r="F2897" s="3" t="n">
        <f aca="false">YEAR(A2897)*100+MONTH(A2897)</f>
        <v>202607</v>
      </c>
    </row>
    <row r="2898" customFormat="false" ht="15" hidden="false" customHeight="false" outlineLevel="0" collapsed="false">
      <c r="A2898" s="2" t="n">
        <v>46224</v>
      </c>
      <c r="B2898" s="3" t="s">
        <v>552</v>
      </c>
      <c r="C2898" s="0" t="n">
        <v>110</v>
      </c>
      <c r="D2898" s="0" t="n">
        <v>2</v>
      </c>
      <c r="E2898" s="0" t="str">
        <f aca="false">INDEX(lot!$B$2:$B$1201,MATCH(B2898,lot!$A$2:$A$1201,0))</f>
        <v>SUP-D</v>
      </c>
      <c r="F2898" s="3" t="n">
        <f aca="false">YEAR(A2898)*100+MONTH(A2898)</f>
        <v>202607</v>
      </c>
    </row>
    <row r="2899" customFormat="false" ht="15" hidden="false" customHeight="false" outlineLevel="0" collapsed="false">
      <c r="A2899" s="2" t="n">
        <v>46224</v>
      </c>
      <c r="B2899" s="3" t="s">
        <v>552</v>
      </c>
      <c r="C2899" s="0" t="n">
        <v>249</v>
      </c>
      <c r="D2899" s="0" t="n">
        <v>3</v>
      </c>
      <c r="E2899" s="0" t="str">
        <f aca="false">INDEX(lot!$B$2:$B$1201,MATCH(B2899,lot!$A$2:$A$1201,0))</f>
        <v>SUP-D</v>
      </c>
      <c r="F2899" s="3" t="n">
        <f aca="false">YEAR(A2899)*100+MONTH(A2899)</f>
        <v>202607</v>
      </c>
    </row>
    <row r="2900" customFormat="false" ht="15" hidden="false" customHeight="false" outlineLevel="0" collapsed="false">
      <c r="A2900" s="2" t="n">
        <v>46224</v>
      </c>
      <c r="B2900" s="3" t="s">
        <v>568</v>
      </c>
      <c r="C2900" s="0" t="n">
        <v>245</v>
      </c>
      <c r="D2900" s="0" t="n">
        <v>6</v>
      </c>
      <c r="E2900" s="0" t="str">
        <f aca="false">INDEX(lot!$B$2:$B$1201,MATCH(B2900,lot!$A$2:$A$1201,0))</f>
        <v>SUP-C</v>
      </c>
      <c r="F2900" s="3" t="n">
        <f aca="false">YEAR(A2900)*100+MONTH(A2900)</f>
        <v>202607</v>
      </c>
    </row>
    <row r="2901" customFormat="false" ht="15" hidden="false" customHeight="false" outlineLevel="0" collapsed="false">
      <c r="A2901" s="2" t="n">
        <v>46224</v>
      </c>
      <c r="B2901" s="3" t="s">
        <v>595</v>
      </c>
      <c r="C2901" s="0" t="n">
        <v>233</v>
      </c>
      <c r="D2901" s="0" t="n">
        <v>2</v>
      </c>
      <c r="E2901" s="0" t="str">
        <f aca="false">INDEX(lot!$B$2:$B$1201,MATCH(B2901,lot!$A$2:$A$1201,0))</f>
        <v>SUP-D</v>
      </c>
      <c r="F2901" s="3" t="n">
        <f aca="false">YEAR(A2901)*100+MONTH(A2901)</f>
        <v>202607</v>
      </c>
    </row>
    <row r="2902" customFormat="false" ht="15" hidden="false" customHeight="false" outlineLevel="0" collapsed="false">
      <c r="A2902" s="2" t="n">
        <v>46224</v>
      </c>
      <c r="B2902" s="3" t="s">
        <v>595</v>
      </c>
      <c r="C2902" s="0" t="n">
        <v>66</v>
      </c>
      <c r="D2902" s="0" t="n">
        <v>0</v>
      </c>
      <c r="E2902" s="0" t="str">
        <f aca="false">INDEX(lot!$B$2:$B$1201,MATCH(B2902,lot!$A$2:$A$1201,0))</f>
        <v>SUP-D</v>
      </c>
      <c r="F2902" s="3" t="n">
        <f aca="false">YEAR(A2902)*100+MONTH(A2902)</f>
        <v>202607</v>
      </c>
    </row>
    <row r="2903" customFormat="false" ht="15" hidden="false" customHeight="false" outlineLevel="0" collapsed="false">
      <c r="A2903" s="2" t="n">
        <v>46224</v>
      </c>
      <c r="B2903" s="3" t="s">
        <v>730</v>
      </c>
      <c r="C2903" s="0" t="n">
        <v>251</v>
      </c>
      <c r="D2903" s="0" t="n">
        <v>3</v>
      </c>
      <c r="E2903" s="0" t="str">
        <f aca="false">INDEX(lot!$B$2:$B$1201,MATCH(B2903,lot!$A$2:$A$1201,0))</f>
        <v>SUP-D</v>
      </c>
      <c r="F2903" s="3" t="n">
        <f aca="false">YEAR(A2903)*100+MONTH(A2903)</f>
        <v>202607</v>
      </c>
    </row>
    <row r="2904" customFormat="false" ht="15" hidden="false" customHeight="false" outlineLevel="0" collapsed="false">
      <c r="A2904" s="2" t="n">
        <v>46224</v>
      </c>
      <c r="B2904" s="3" t="s">
        <v>730</v>
      </c>
      <c r="C2904" s="0" t="n">
        <v>127</v>
      </c>
      <c r="D2904" s="0" t="n">
        <v>1</v>
      </c>
      <c r="E2904" s="0" t="str">
        <f aca="false">INDEX(lot!$B$2:$B$1201,MATCH(B2904,lot!$A$2:$A$1201,0))</f>
        <v>SUP-D</v>
      </c>
      <c r="F2904" s="3" t="n">
        <f aca="false">YEAR(A2904)*100+MONTH(A2904)</f>
        <v>202607</v>
      </c>
    </row>
    <row r="2905" customFormat="false" ht="15" hidden="false" customHeight="false" outlineLevel="0" collapsed="false">
      <c r="A2905" s="2" t="n">
        <v>46224</v>
      </c>
      <c r="B2905" s="3" t="s">
        <v>743</v>
      </c>
      <c r="C2905" s="0" t="n">
        <v>129</v>
      </c>
      <c r="D2905" s="0" t="n">
        <v>2</v>
      </c>
      <c r="E2905" s="0" t="str">
        <f aca="false">INDEX(lot!$B$2:$B$1201,MATCH(B2905,lot!$A$2:$A$1201,0))</f>
        <v>SUP-D</v>
      </c>
      <c r="F2905" s="3" t="n">
        <f aca="false">YEAR(A2905)*100+MONTH(A2905)</f>
        <v>202607</v>
      </c>
    </row>
    <row r="2906" customFormat="false" ht="15" hidden="false" customHeight="false" outlineLevel="0" collapsed="false">
      <c r="A2906" s="2" t="n">
        <v>46224</v>
      </c>
      <c r="B2906" s="3" t="s">
        <v>769</v>
      </c>
      <c r="C2906" s="0" t="n">
        <v>220</v>
      </c>
      <c r="D2906" s="0" t="n">
        <v>2</v>
      </c>
      <c r="E2906" s="0" t="str">
        <f aca="false">INDEX(lot!$B$2:$B$1201,MATCH(B2906,lot!$A$2:$A$1201,0))</f>
        <v>SUP-D</v>
      </c>
      <c r="F2906" s="3" t="n">
        <f aca="false">YEAR(A2906)*100+MONTH(A2906)</f>
        <v>202607</v>
      </c>
    </row>
    <row r="2907" customFormat="false" ht="15" hidden="false" customHeight="false" outlineLevel="0" collapsed="false">
      <c r="A2907" s="2" t="n">
        <v>46224</v>
      </c>
      <c r="B2907" s="3" t="s">
        <v>771</v>
      </c>
      <c r="C2907" s="0" t="n">
        <v>84</v>
      </c>
      <c r="D2907" s="0" t="n">
        <v>2</v>
      </c>
      <c r="E2907" s="0" t="str">
        <f aca="false">INDEX(lot!$B$2:$B$1201,MATCH(B2907,lot!$A$2:$A$1201,0))</f>
        <v>SUP-E</v>
      </c>
      <c r="F2907" s="3" t="n">
        <f aca="false">YEAR(A2907)*100+MONTH(A2907)</f>
        <v>202607</v>
      </c>
    </row>
    <row r="2908" customFormat="false" ht="15" hidden="false" customHeight="false" outlineLevel="0" collapsed="false">
      <c r="A2908" s="2" t="n">
        <v>46224</v>
      </c>
      <c r="B2908" s="3" t="s">
        <v>815</v>
      </c>
      <c r="C2908" s="0" t="n">
        <v>105</v>
      </c>
      <c r="D2908" s="0" t="n">
        <v>3</v>
      </c>
      <c r="E2908" s="0" t="str">
        <f aca="false">INDEX(lot!$B$2:$B$1201,MATCH(B2908,lot!$A$2:$A$1201,0))</f>
        <v>SUP-E</v>
      </c>
      <c r="F2908" s="3" t="n">
        <f aca="false">YEAR(A2908)*100+MONTH(A2908)</f>
        <v>202607</v>
      </c>
    </row>
    <row r="2909" customFormat="false" ht="15" hidden="false" customHeight="false" outlineLevel="0" collapsed="false">
      <c r="A2909" s="2" t="n">
        <v>46224</v>
      </c>
      <c r="B2909" s="3" t="s">
        <v>1066</v>
      </c>
      <c r="C2909" s="0" t="n">
        <v>121</v>
      </c>
      <c r="D2909" s="0" t="n">
        <v>1</v>
      </c>
      <c r="E2909" s="0" t="str">
        <f aca="false">INDEX(lot!$B$2:$B$1201,MATCH(B2909,lot!$A$2:$A$1201,0))</f>
        <v>SUP-D</v>
      </c>
      <c r="F2909" s="3" t="n">
        <f aca="false">YEAR(A2909)*100+MONTH(A2909)</f>
        <v>202607</v>
      </c>
    </row>
    <row r="2910" customFormat="false" ht="15" hidden="false" customHeight="false" outlineLevel="0" collapsed="false">
      <c r="A2910" s="2" t="n">
        <v>46224</v>
      </c>
      <c r="B2910" s="3" t="s">
        <v>1073</v>
      </c>
      <c r="C2910" s="0" t="n">
        <v>101</v>
      </c>
      <c r="D2910" s="0" t="n">
        <v>0</v>
      </c>
      <c r="E2910" s="0" t="str">
        <f aca="false">INDEX(lot!$B$2:$B$1201,MATCH(B2910,lot!$A$2:$A$1201,0))</f>
        <v>SUP-D</v>
      </c>
      <c r="F2910" s="3" t="n">
        <f aca="false">YEAR(A2910)*100+MONTH(A2910)</f>
        <v>202607</v>
      </c>
    </row>
    <row r="2911" customFormat="false" ht="15" hidden="false" customHeight="false" outlineLevel="0" collapsed="false">
      <c r="A2911" s="2" t="n">
        <v>46224</v>
      </c>
      <c r="B2911" s="3" t="s">
        <v>1073</v>
      </c>
      <c r="C2911" s="0" t="n">
        <v>180</v>
      </c>
      <c r="D2911" s="0" t="n">
        <v>1</v>
      </c>
      <c r="E2911" s="0" t="str">
        <f aca="false">INDEX(lot!$B$2:$B$1201,MATCH(B2911,lot!$A$2:$A$1201,0))</f>
        <v>SUP-D</v>
      </c>
      <c r="F2911" s="3" t="n">
        <f aca="false">YEAR(A2911)*100+MONTH(A2911)</f>
        <v>202607</v>
      </c>
    </row>
    <row r="2912" customFormat="false" ht="15" hidden="false" customHeight="false" outlineLevel="0" collapsed="false">
      <c r="A2912" s="2" t="n">
        <v>46225</v>
      </c>
      <c r="B2912" s="3" t="s">
        <v>48</v>
      </c>
      <c r="C2912" s="0" t="n">
        <v>222</v>
      </c>
      <c r="D2912" s="0" t="n">
        <v>4</v>
      </c>
      <c r="E2912" s="0" t="str">
        <f aca="false">INDEX(lot!$B$2:$B$1201,MATCH(B2912,lot!$A$2:$A$1201,0))</f>
        <v>SUP-A</v>
      </c>
      <c r="F2912" s="3" t="n">
        <f aca="false">YEAR(A2912)*100+MONTH(A2912)</f>
        <v>202607</v>
      </c>
    </row>
    <row r="2913" customFormat="false" ht="15" hidden="false" customHeight="false" outlineLevel="0" collapsed="false">
      <c r="A2913" s="2" t="n">
        <v>46225</v>
      </c>
      <c r="B2913" s="3" t="s">
        <v>48</v>
      </c>
      <c r="C2913" s="0" t="n">
        <v>123</v>
      </c>
      <c r="D2913" s="0" t="n">
        <v>4</v>
      </c>
      <c r="E2913" s="0" t="str">
        <f aca="false">INDEX(lot!$B$2:$B$1201,MATCH(B2913,lot!$A$2:$A$1201,0))</f>
        <v>SUP-A</v>
      </c>
      <c r="F2913" s="3" t="n">
        <f aca="false">YEAR(A2913)*100+MONTH(A2913)</f>
        <v>202607</v>
      </c>
    </row>
    <row r="2914" customFormat="false" ht="15" hidden="false" customHeight="false" outlineLevel="0" collapsed="false">
      <c r="A2914" s="2" t="n">
        <v>46225</v>
      </c>
      <c r="B2914" s="3" t="s">
        <v>206</v>
      </c>
      <c r="C2914" s="0" t="n">
        <v>116</v>
      </c>
      <c r="D2914" s="0" t="n">
        <v>1</v>
      </c>
      <c r="E2914" s="0" t="str">
        <f aca="false">INDEX(lot!$B$2:$B$1201,MATCH(B2914,lot!$A$2:$A$1201,0))</f>
        <v>SUP-D</v>
      </c>
      <c r="F2914" s="3" t="n">
        <f aca="false">YEAR(A2914)*100+MONTH(A2914)</f>
        <v>202607</v>
      </c>
    </row>
    <row r="2915" customFormat="false" ht="15" hidden="false" customHeight="false" outlineLevel="0" collapsed="false">
      <c r="A2915" s="2" t="n">
        <v>46225</v>
      </c>
      <c r="B2915" s="3" t="s">
        <v>206</v>
      </c>
      <c r="C2915" s="0" t="n">
        <v>124</v>
      </c>
      <c r="D2915" s="0" t="n">
        <v>2</v>
      </c>
      <c r="E2915" s="0" t="str">
        <f aca="false">INDEX(lot!$B$2:$B$1201,MATCH(B2915,lot!$A$2:$A$1201,0))</f>
        <v>SUP-D</v>
      </c>
      <c r="F2915" s="3" t="n">
        <f aca="false">YEAR(A2915)*100+MONTH(A2915)</f>
        <v>202607</v>
      </c>
    </row>
    <row r="2916" customFormat="false" ht="15" hidden="false" customHeight="false" outlineLevel="0" collapsed="false">
      <c r="A2916" s="2" t="n">
        <v>46225</v>
      </c>
      <c r="B2916" s="3" t="s">
        <v>219</v>
      </c>
      <c r="C2916" s="0" t="n">
        <v>90</v>
      </c>
      <c r="D2916" s="0" t="n">
        <v>0</v>
      </c>
      <c r="E2916" s="0" t="str">
        <f aca="false">INDEX(lot!$B$2:$B$1201,MATCH(B2916,lot!$A$2:$A$1201,0))</f>
        <v>SUP-D</v>
      </c>
      <c r="F2916" s="3" t="n">
        <f aca="false">YEAR(A2916)*100+MONTH(A2916)</f>
        <v>202607</v>
      </c>
    </row>
    <row r="2917" customFormat="false" ht="15" hidden="false" customHeight="false" outlineLevel="0" collapsed="false">
      <c r="A2917" s="2" t="n">
        <v>46225</v>
      </c>
      <c r="B2917" s="3" t="s">
        <v>219</v>
      </c>
      <c r="C2917" s="0" t="n">
        <v>129</v>
      </c>
      <c r="D2917" s="0" t="n">
        <v>1</v>
      </c>
      <c r="E2917" s="0" t="str">
        <f aca="false">INDEX(lot!$B$2:$B$1201,MATCH(B2917,lot!$A$2:$A$1201,0))</f>
        <v>SUP-D</v>
      </c>
      <c r="F2917" s="3" t="n">
        <f aca="false">YEAR(A2917)*100+MONTH(A2917)</f>
        <v>202607</v>
      </c>
    </row>
    <row r="2918" customFormat="false" ht="15" hidden="false" customHeight="false" outlineLevel="0" collapsed="false">
      <c r="A2918" s="2" t="n">
        <v>46225</v>
      </c>
      <c r="B2918" s="3" t="s">
        <v>323</v>
      </c>
      <c r="C2918" s="0" t="n">
        <v>238</v>
      </c>
      <c r="D2918" s="0" t="n">
        <v>6</v>
      </c>
      <c r="E2918" s="0" t="str">
        <f aca="false">INDEX(lot!$B$2:$B$1201,MATCH(B2918,lot!$A$2:$A$1201,0))</f>
        <v>SUP-C</v>
      </c>
      <c r="F2918" s="3" t="n">
        <f aca="false">YEAR(A2918)*100+MONTH(A2918)</f>
        <v>202607</v>
      </c>
    </row>
    <row r="2919" customFormat="false" ht="15" hidden="false" customHeight="false" outlineLevel="0" collapsed="false">
      <c r="A2919" s="2" t="n">
        <v>46225</v>
      </c>
      <c r="B2919" s="3" t="s">
        <v>323</v>
      </c>
      <c r="C2919" s="0" t="n">
        <v>219</v>
      </c>
      <c r="D2919" s="0" t="n">
        <v>8</v>
      </c>
      <c r="E2919" s="0" t="str">
        <f aca="false">INDEX(lot!$B$2:$B$1201,MATCH(B2919,lot!$A$2:$A$1201,0))</f>
        <v>SUP-C</v>
      </c>
      <c r="F2919" s="3" t="n">
        <f aca="false">YEAR(A2919)*100+MONTH(A2919)</f>
        <v>202607</v>
      </c>
    </row>
    <row r="2920" customFormat="false" ht="15" hidden="false" customHeight="false" outlineLevel="0" collapsed="false">
      <c r="A2920" s="2" t="n">
        <v>46225</v>
      </c>
      <c r="B2920" s="3" t="s">
        <v>411</v>
      </c>
      <c r="C2920" s="0" t="n">
        <v>147</v>
      </c>
      <c r="D2920" s="0" t="n">
        <v>5</v>
      </c>
      <c r="E2920" s="0" t="str">
        <f aca="false">INDEX(lot!$B$2:$B$1201,MATCH(B2920,lot!$A$2:$A$1201,0))</f>
        <v>SUP-D</v>
      </c>
      <c r="F2920" s="3" t="n">
        <f aca="false">YEAR(A2920)*100+MONTH(A2920)</f>
        <v>202607</v>
      </c>
    </row>
    <row r="2921" customFormat="false" ht="15" hidden="false" customHeight="false" outlineLevel="0" collapsed="false">
      <c r="A2921" s="2" t="n">
        <v>46225</v>
      </c>
      <c r="B2921" s="3" t="s">
        <v>411</v>
      </c>
      <c r="C2921" s="0" t="n">
        <v>178</v>
      </c>
      <c r="D2921" s="0" t="n">
        <v>5</v>
      </c>
      <c r="E2921" s="0" t="str">
        <f aca="false">INDEX(lot!$B$2:$B$1201,MATCH(B2921,lot!$A$2:$A$1201,0))</f>
        <v>SUP-D</v>
      </c>
      <c r="F2921" s="3" t="n">
        <f aca="false">YEAR(A2921)*100+MONTH(A2921)</f>
        <v>202607</v>
      </c>
    </row>
    <row r="2922" customFormat="false" ht="15" hidden="false" customHeight="false" outlineLevel="0" collapsed="false">
      <c r="A2922" s="2" t="n">
        <v>46225</v>
      </c>
      <c r="B2922" s="3" t="s">
        <v>557</v>
      </c>
      <c r="C2922" s="0" t="n">
        <v>90</v>
      </c>
      <c r="D2922" s="0" t="n">
        <v>8</v>
      </c>
      <c r="E2922" s="0" t="str">
        <f aca="false">INDEX(lot!$B$2:$B$1201,MATCH(B2922,lot!$A$2:$A$1201,0))</f>
        <v>SUP-A</v>
      </c>
      <c r="F2922" s="3" t="n">
        <f aca="false">YEAR(A2922)*100+MONTH(A2922)</f>
        <v>202607</v>
      </c>
    </row>
    <row r="2923" customFormat="false" ht="15" hidden="false" customHeight="false" outlineLevel="0" collapsed="false">
      <c r="A2923" s="2" t="n">
        <v>46225</v>
      </c>
      <c r="B2923" s="3" t="s">
        <v>557</v>
      </c>
      <c r="C2923" s="0" t="n">
        <v>88</v>
      </c>
      <c r="D2923" s="0" t="n">
        <v>14</v>
      </c>
      <c r="E2923" s="0" t="str">
        <f aca="false">INDEX(lot!$B$2:$B$1201,MATCH(B2923,lot!$A$2:$A$1201,0))</f>
        <v>SUP-A</v>
      </c>
      <c r="F2923" s="3" t="n">
        <f aca="false">YEAR(A2923)*100+MONTH(A2923)</f>
        <v>202607</v>
      </c>
    </row>
    <row r="2924" customFormat="false" ht="15" hidden="false" customHeight="false" outlineLevel="0" collapsed="false">
      <c r="A2924" s="2" t="n">
        <v>46225</v>
      </c>
      <c r="B2924" s="3" t="s">
        <v>568</v>
      </c>
      <c r="C2924" s="0" t="n">
        <v>163</v>
      </c>
      <c r="D2924" s="0" t="n">
        <v>6</v>
      </c>
      <c r="E2924" s="0" t="str">
        <f aca="false">INDEX(lot!$B$2:$B$1201,MATCH(B2924,lot!$A$2:$A$1201,0))</f>
        <v>SUP-C</v>
      </c>
      <c r="F2924" s="3" t="n">
        <f aca="false">YEAR(A2924)*100+MONTH(A2924)</f>
        <v>202607</v>
      </c>
    </row>
    <row r="2925" customFormat="false" ht="15" hidden="false" customHeight="false" outlineLevel="0" collapsed="false">
      <c r="A2925" s="2" t="n">
        <v>46225</v>
      </c>
      <c r="B2925" s="3" t="s">
        <v>568</v>
      </c>
      <c r="C2925" s="0" t="n">
        <v>236</v>
      </c>
      <c r="D2925" s="0" t="n">
        <v>5</v>
      </c>
      <c r="E2925" s="0" t="str">
        <f aca="false">INDEX(lot!$B$2:$B$1201,MATCH(B2925,lot!$A$2:$A$1201,0))</f>
        <v>SUP-C</v>
      </c>
      <c r="F2925" s="3" t="n">
        <f aca="false">YEAR(A2925)*100+MONTH(A2925)</f>
        <v>202607</v>
      </c>
    </row>
    <row r="2926" customFormat="false" ht="15" hidden="false" customHeight="false" outlineLevel="0" collapsed="false">
      <c r="A2926" s="2" t="n">
        <v>46225</v>
      </c>
      <c r="B2926" s="3" t="s">
        <v>591</v>
      </c>
      <c r="C2926" s="0" t="n">
        <v>164</v>
      </c>
      <c r="D2926" s="0" t="n">
        <v>6</v>
      </c>
      <c r="E2926" s="0" t="str">
        <f aca="false">INDEX(lot!$B$2:$B$1201,MATCH(B2926,lot!$A$2:$A$1201,0))</f>
        <v>SUP-C</v>
      </c>
      <c r="F2926" s="3" t="n">
        <f aca="false">YEAR(A2926)*100+MONTH(A2926)</f>
        <v>202607</v>
      </c>
    </row>
    <row r="2927" customFormat="false" ht="15" hidden="false" customHeight="false" outlineLevel="0" collapsed="false">
      <c r="A2927" s="2" t="n">
        <v>46225</v>
      </c>
      <c r="B2927" s="3" t="s">
        <v>591</v>
      </c>
      <c r="C2927" s="0" t="n">
        <v>213</v>
      </c>
      <c r="D2927" s="0" t="n">
        <v>5</v>
      </c>
      <c r="E2927" s="0" t="str">
        <f aca="false">INDEX(lot!$B$2:$B$1201,MATCH(B2927,lot!$A$2:$A$1201,0))</f>
        <v>SUP-C</v>
      </c>
      <c r="F2927" s="3" t="n">
        <f aca="false">YEAR(A2927)*100+MONTH(A2927)</f>
        <v>202607</v>
      </c>
    </row>
    <row r="2928" customFormat="false" ht="15" hidden="false" customHeight="false" outlineLevel="0" collapsed="false">
      <c r="A2928" s="2" t="n">
        <v>46225</v>
      </c>
      <c r="B2928" s="3" t="s">
        <v>595</v>
      </c>
      <c r="C2928" s="0" t="n">
        <v>80</v>
      </c>
      <c r="D2928" s="0" t="n">
        <v>0</v>
      </c>
      <c r="E2928" s="0" t="str">
        <f aca="false">INDEX(lot!$B$2:$B$1201,MATCH(B2928,lot!$A$2:$A$1201,0))</f>
        <v>SUP-D</v>
      </c>
      <c r="F2928" s="3" t="n">
        <f aca="false">YEAR(A2928)*100+MONTH(A2928)</f>
        <v>202607</v>
      </c>
    </row>
    <row r="2929" customFormat="false" ht="15" hidden="false" customHeight="false" outlineLevel="0" collapsed="false">
      <c r="A2929" s="2" t="n">
        <v>46225</v>
      </c>
      <c r="B2929" s="3" t="s">
        <v>598</v>
      </c>
      <c r="C2929" s="0" t="n">
        <v>121</v>
      </c>
      <c r="D2929" s="0" t="n">
        <v>0</v>
      </c>
      <c r="E2929" s="0" t="str">
        <f aca="false">INDEX(lot!$B$2:$B$1201,MATCH(B2929,lot!$A$2:$A$1201,0))</f>
        <v>SUP-E</v>
      </c>
      <c r="F2929" s="3" t="n">
        <f aca="false">YEAR(A2929)*100+MONTH(A2929)</f>
        <v>202607</v>
      </c>
    </row>
    <row r="2930" customFormat="false" ht="15" hidden="false" customHeight="false" outlineLevel="0" collapsed="false">
      <c r="A2930" s="2" t="n">
        <v>46225</v>
      </c>
      <c r="B2930" s="3" t="s">
        <v>598</v>
      </c>
      <c r="C2930" s="0" t="n">
        <v>186</v>
      </c>
      <c r="D2930" s="0" t="n">
        <v>1</v>
      </c>
      <c r="E2930" s="0" t="str">
        <f aca="false">INDEX(lot!$B$2:$B$1201,MATCH(B2930,lot!$A$2:$A$1201,0))</f>
        <v>SUP-E</v>
      </c>
      <c r="F2930" s="3" t="n">
        <f aca="false">YEAR(A2930)*100+MONTH(A2930)</f>
        <v>202607</v>
      </c>
    </row>
    <row r="2931" customFormat="false" ht="15" hidden="false" customHeight="false" outlineLevel="0" collapsed="false">
      <c r="A2931" s="2" t="n">
        <v>46225</v>
      </c>
      <c r="B2931" s="3" t="s">
        <v>699</v>
      </c>
      <c r="C2931" s="0" t="n">
        <v>238</v>
      </c>
      <c r="D2931" s="0" t="n">
        <v>3</v>
      </c>
      <c r="E2931" s="0" t="str">
        <f aca="false">INDEX(lot!$B$2:$B$1201,MATCH(B2931,lot!$A$2:$A$1201,0))</f>
        <v>SUP-D</v>
      </c>
      <c r="F2931" s="3" t="n">
        <f aca="false">YEAR(A2931)*100+MONTH(A2931)</f>
        <v>202607</v>
      </c>
    </row>
    <row r="2932" customFormat="false" ht="15" hidden="false" customHeight="false" outlineLevel="0" collapsed="false">
      <c r="A2932" s="2" t="n">
        <v>46225</v>
      </c>
      <c r="B2932" s="3" t="s">
        <v>730</v>
      </c>
      <c r="C2932" s="0" t="n">
        <v>243</v>
      </c>
      <c r="D2932" s="0" t="n">
        <v>1</v>
      </c>
      <c r="E2932" s="0" t="str">
        <f aca="false">INDEX(lot!$B$2:$B$1201,MATCH(B2932,lot!$A$2:$A$1201,0))</f>
        <v>SUP-D</v>
      </c>
      <c r="F2932" s="3" t="n">
        <f aca="false">YEAR(A2932)*100+MONTH(A2932)</f>
        <v>202607</v>
      </c>
    </row>
    <row r="2933" customFormat="false" ht="15" hidden="false" customHeight="false" outlineLevel="0" collapsed="false">
      <c r="A2933" s="2" t="n">
        <v>46225</v>
      </c>
      <c r="B2933" s="3" t="s">
        <v>730</v>
      </c>
      <c r="C2933" s="0" t="n">
        <v>214</v>
      </c>
      <c r="D2933" s="0" t="n">
        <v>2</v>
      </c>
      <c r="E2933" s="0" t="str">
        <f aca="false">INDEX(lot!$B$2:$B$1201,MATCH(B2933,lot!$A$2:$A$1201,0))</f>
        <v>SUP-D</v>
      </c>
      <c r="F2933" s="3" t="n">
        <f aca="false">YEAR(A2933)*100+MONTH(A2933)</f>
        <v>202607</v>
      </c>
    </row>
    <row r="2934" customFormat="false" ht="15" hidden="false" customHeight="false" outlineLevel="0" collapsed="false">
      <c r="A2934" s="2" t="n">
        <v>46225</v>
      </c>
      <c r="B2934" s="3" t="s">
        <v>771</v>
      </c>
      <c r="C2934" s="0" t="n">
        <v>68</v>
      </c>
      <c r="D2934" s="0" t="n">
        <v>2</v>
      </c>
      <c r="E2934" s="0" t="str">
        <f aca="false">INDEX(lot!$B$2:$B$1201,MATCH(B2934,lot!$A$2:$A$1201,0))</f>
        <v>SUP-E</v>
      </c>
      <c r="F2934" s="3" t="n">
        <f aca="false">YEAR(A2934)*100+MONTH(A2934)</f>
        <v>202607</v>
      </c>
    </row>
    <row r="2935" customFormat="false" ht="15" hidden="false" customHeight="false" outlineLevel="0" collapsed="false">
      <c r="A2935" s="2" t="n">
        <v>46225</v>
      </c>
      <c r="B2935" s="3" t="s">
        <v>802</v>
      </c>
      <c r="C2935" s="0" t="n">
        <v>126</v>
      </c>
      <c r="D2935" s="0" t="n">
        <v>1</v>
      </c>
      <c r="E2935" s="0" t="str">
        <f aca="false">INDEX(lot!$B$2:$B$1201,MATCH(B2935,lot!$A$2:$A$1201,0))</f>
        <v>SUP-A</v>
      </c>
      <c r="F2935" s="3" t="n">
        <f aca="false">YEAR(A2935)*100+MONTH(A2935)</f>
        <v>202607</v>
      </c>
    </row>
    <row r="2936" customFormat="false" ht="15" hidden="false" customHeight="false" outlineLevel="0" collapsed="false">
      <c r="A2936" s="2" t="n">
        <v>46225</v>
      </c>
      <c r="B2936" s="3" t="s">
        <v>815</v>
      </c>
      <c r="C2936" s="0" t="n">
        <v>110</v>
      </c>
      <c r="D2936" s="0" t="n">
        <v>4</v>
      </c>
      <c r="E2936" s="0" t="str">
        <f aca="false">INDEX(lot!$B$2:$B$1201,MATCH(B2936,lot!$A$2:$A$1201,0))</f>
        <v>SUP-E</v>
      </c>
      <c r="F2936" s="3" t="n">
        <f aca="false">YEAR(A2936)*100+MONTH(A2936)</f>
        <v>202607</v>
      </c>
    </row>
    <row r="2937" customFormat="false" ht="15" hidden="false" customHeight="false" outlineLevel="0" collapsed="false">
      <c r="A2937" s="2" t="n">
        <v>46225</v>
      </c>
      <c r="B2937" s="3" t="s">
        <v>815</v>
      </c>
      <c r="C2937" s="0" t="n">
        <v>165</v>
      </c>
      <c r="D2937" s="0" t="n">
        <v>9</v>
      </c>
      <c r="E2937" s="0" t="str">
        <f aca="false">INDEX(lot!$B$2:$B$1201,MATCH(B2937,lot!$A$2:$A$1201,0))</f>
        <v>SUP-E</v>
      </c>
      <c r="F2937" s="3" t="n">
        <f aca="false">YEAR(A2937)*100+MONTH(A2937)</f>
        <v>202607</v>
      </c>
    </row>
    <row r="2938" customFormat="false" ht="15" hidden="false" customHeight="false" outlineLevel="0" collapsed="false">
      <c r="A2938" s="2" t="n">
        <v>46225</v>
      </c>
      <c r="B2938" s="3" t="s">
        <v>861</v>
      </c>
      <c r="C2938" s="0" t="n">
        <v>207</v>
      </c>
      <c r="D2938" s="0" t="n">
        <v>0</v>
      </c>
      <c r="E2938" s="0" t="str">
        <f aca="false">INDEX(lot!$B$2:$B$1201,MATCH(B2938,lot!$A$2:$A$1201,0))</f>
        <v>SUP-D</v>
      </c>
      <c r="F2938" s="3" t="n">
        <f aca="false">YEAR(A2938)*100+MONTH(A2938)</f>
        <v>202607</v>
      </c>
    </row>
    <row r="2939" customFormat="false" ht="15" hidden="false" customHeight="false" outlineLevel="0" collapsed="false">
      <c r="A2939" s="2" t="n">
        <v>46225</v>
      </c>
      <c r="B2939" s="3" t="s">
        <v>861</v>
      </c>
      <c r="C2939" s="0" t="n">
        <v>84</v>
      </c>
      <c r="D2939" s="0" t="n">
        <v>1</v>
      </c>
      <c r="E2939" s="0" t="str">
        <f aca="false">INDEX(lot!$B$2:$B$1201,MATCH(B2939,lot!$A$2:$A$1201,0))</f>
        <v>SUP-D</v>
      </c>
      <c r="F2939" s="3" t="n">
        <f aca="false">YEAR(A2939)*100+MONTH(A2939)</f>
        <v>202607</v>
      </c>
    </row>
    <row r="2940" customFormat="false" ht="15" hidden="false" customHeight="false" outlineLevel="0" collapsed="false">
      <c r="A2940" s="2" t="n">
        <v>46225</v>
      </c>
      <c r="B2940" s="3" t="s">
        <v>871</v>
      </c>
      <c r="C2940" s="0" t="n">
        <v>186</v>
      </c>
      <c r="D2940" s="0" t="n">
        <v>5</v>
      </c>
      <c r="E2940" s="0" t="str">
        <f aca="false">INDEX(lot!$B$2:$B$1201,MATCH(B2940,lot!$A$2:$A$1201,0))</f>
        <v>SUP-C</v>
      </c>
      <c r="F2940" s="3" t="n">
        <f aca="false">YEAR(A2940)*100+MONTH(A2940)</f>
        <v>202607</v>
      </c>
    </row>
    <row r="2941" customFormat="false" ht="15" hidden="false" customHeight="false" outlineLevel="0" collapsed="false">
      <c r="A2941" s="2" t="n">
        <v>46225</v>
      </c>
      <c r="B2941" s="3" t="s">
        <v>871</v>
      </c>
      <c r="C2941" s="0" t="n">
        <v>243</v>
      </c>
      <c r="D2941" s="0" t="n">
        <v>9</v>
      </c>
      <c r="E2941" s="0" t="str">
        <f aca="false">INDEX(lot!$B$2:$B$1201,MATCH(B2941,lot!$A$2:$A$1201,0))</f>
        <v>SUP-C</v>
      </c>
      <c r="F2941" s="3" t="n">
        <f aca="false">YEAR(A2941)*100+MONTH(A2941)</f>
        <v>202607</v>
      </c>
    </row>
    <row r="2942" customFormat="false" ht="15" hidden="false" customHeight="false" outlineLevel="0" collapsed="false">
      <c r="A2942" s="2" t="n">
        <v>46225</v>
      </c>
      <c r="B2942" s="3" t="s">
        <v>918</v>
      </c>
      <c r="C2942" s="0" t="n">
        <v>150</v>
      </c>
      <c r="D2942" s="0" t="n">
        <v>5</v>
      </c>
      <c r="E2942" s="0" t="str">
        <f aca="false">INDEX(lot!$B$2:$B$1201,MATCH(B2942,lot!$A$2:$A$1201,0))</f>
        <v>SUP-C</v>
      </c>
      <c r="F2942" s="3" t="n">
        <f aca="false">YEAR(A2942)*100+MONTH(A2942)</f>
        <v>202607</v>
      </c>
    </row>
    <row r="2943" customFormat="false" ht="15" hidden="false" customHeight="false" outlineLevel="0" collapsed="false">
      <c r="A2943" s="2" t="n">
        <v>46225</v>
      </c>
      <c r="B2943" s="3" t="s">
        <v>918</v>
      </c>
      <c r="C2943" s="0" t="n">
        <v>214</v>
      </c>
      <c r="D2943" s="0" t="n">
        <v>9</v>
      </c>
      <c r="E2943" s="0" t="str">
        <f aca="false">INDEX(lot!$B$2:$B$1201,MATCH(B2943,lot!$A$2:$A$1201,0))</f>
        <v>SUP-C</v>
      </c>
      <c r="F2943" s="3" t="n">
        <f aca="false">YEAR(A2943)*100+MONTH(A2943)</f>
        <v>202607</v>
      </c>
    </row>
    <row r="2944" customFormat="false" ht="15" hidden="false" customHeight="false" outlineLevel="0" collapsed="false">
      <c r="A2944" s="2" t="n">
        <v>46225</v>
      </c>
      <c r="B2944" s="3" t="s">
        <v>1036</v>
      </c>
      <c r="C2944" s="0" t="n">
        <v>151</v>
      </c>
      <c r="D2944" s="0" t="n">
        <v>24</v>
      </c>
      <c r="E2944" s="0" t="str">
        <f aca="false">INDEX(lot!$B$2:$B$1201,MATCH(B2944,lot!$A$2:$A$1201,0))</f>
        <v>SUP-C</v>
      </c>
      <c r="F2944" s="3" t="n">
        <f aca="false">YEAR(A2944)*100+MONTH(A2944)</f>
        <v>202607</v>
      </c>
    </row>
    <row r="2945" customFormat="false" ht="15" hidden="false" customHeight="false" outlineLevel="0" collapsed="false">
      <c r="A2945" s="2" t="n">
        <v>46225</v>
      </c>
      <c r="B2945" s="3" t="s">
        <v>1036</v>
      </c>
      <c r="C2945" s="0" t="n">
        <v>218</v>
      </c>
      <c r="D2945" s="0" t="n">
        <v>37</v>
      </c>
      <c r="E2945" s="0" t="str">
        <f aca="false">INDEX(lot!$B$2:$B$1201,MATCH(B2945,lot!$A$2:$A$1201,0))</f>
        <v>SUP-C</v>
      </c>
      <c r="F2945" s="3" t="n">
        <f aca="false">YEAR(A2945)*100+MONTH(A2945)</f>
        <v>202607</v>
      </c>
    </row>
    <row r="2946" customFormat="false" ht="15" hidden="false" customHeight="false" outlineLevel="0" collapsed="false">
      <c r="A2946" s="2" t="n">
        <v>46225</v>
      </c>
      <c r="B2946" s="3" t="s">
        <v>1066</v>
      </c>
      <c r="C2946" s="0" t="n">
        <v>222</v>
      </c>
      <c r="D2946" s="0" t="n">
        <v>1</v>
      </c>
      <c r="E2946" s="0" t="str">
        <f aca="false">INDEX(lot!$B$2:$B$1201,MATCH(B2946,lot!$A$2:$A$1201,0))</f>
        <v>SUP-D</v>
      </c>
      <c r="F2946" s="3" t="n">
        <f aca="false">YEAR(A2946)*100+MONTH(A2946)</f>
        <v>202607</v>
      </c>
    </row>
    <row r="2947" customFormat="false" ht="15" hidden="false" customHeight="false" outlineLevel="0" collapsed="false">
      <c r="A2947" s="2" t="n">
        <v>46225</v>
      </c>
      <c r="B2947" s="3" t="s">
        <v>1073</v>
      </c>
      <c r="C2947" s="0" t="n">
        <v>185</v>
      </c>
      <c r="D2947" s="0" t="n">
        <v>1</v>
      </c>
      <c r="E2947" s="0" t="str">
        <f aca="false">INDEX(lot!$B$2:$B$1201,MATCH(B2947,lot!$A$2:$A$1201,0))</f>
        <v>SUP-D</v>
      </c>
      <c r="F2947" s="3" t="n">
        <f aca="false">YEAR(A2947)*100+MONTH(A2947)</f>
        <v>202607</v>
      </c>
    </row>
    <row r="2948" customFormat="false" ht="15" hidden="false" customHeight="false" outlineLevel="0" collapsed="false">
      <c r="A2948" s="2" t="n">
        <v>46225</v>
      </c>
      <c r="B2948" s="3" t="s">
        <v>1130</v>
      </c>
      <c r="C2948" s="0" t="n">
        <v>124</v>
      </c>
      <c r="D2948" s="0" t="n">
        <v>3</v>
      </c>
      <c r="E2948" s="0" t="str">
        <f aca="false">INDEX(lot!$B$2:$B$1201,MATCH(B2948,lot!$A$2:$A$1201,0))</f>
        <v>SUP-A</v>
      </c>
      <c r="F2948" s="3" t="n">
        <f aca="false">YEAR(A2948)*100+MONTH(A2948)</f>
        <v>202607</v>
      </c>
    </row>
    <row r="2949" customFormat="false" ht="15" hidden="false" customHeight="false" outlineLevel="0" collapsed="false">
      <c r="A2949" s="2" t="n">
        <v>46225</v>
      </c>
      <c r="B2949" s="3" t="s">
        <v>1130</v>
      </c>
      <c r="C2949" s="0" t="n">
        <v>128</v>
      </c>
      <c r="D2949" s="0" t="n">
        <v>3</v>
      </c>
      <c r="E2949" s="0" t="str">
        <f aca="false">INDEX(lot!$B$2:$B$1201,MATCH(B2949,lot!$A$2:$A$1201,0))</f>
        <v>SUP-A</v>
      </c>
      <c r="F2949" s="3" t="n">
        <f aca="false">YEAR(A2949)*100+MONTH(A2949)</f>
        <v>202607</v>
      </c>
    </row>
    <row r="2950" customFormat="false" ht="15" hidden="false" customHeight="false" outlineLevel="0" collapsed="false">
      <c r="A2950" s="2" t="n">
        <v>46225</v>
      </c>
      <c r="B2950" s="3" t="s">
        <v>1176</v>
      </c>
      <c r="C2950" s="0" t="n">
        <v>194</v>
      </c>
      <c r="D2950" s="0" t="n">
        <v>4</v>
      </c>
      <c r="E2950" s="0" t="str">
        <f aca="false">INDEX(lot!$B$2:$B$1201,MATCH(B2950,lot!$A$2:$A$1201,0))</f>
        <v>SUP-A</v>
      </c>
      <c r="F2950" s="3" t="n">
        <f aca="false">YEAR(A2950)*100+MONTH(A2950)</f>
        <v>202607</v>
      </c>
    </row>
    <row r="2951" customFormat="false" ht="15" hidden="false" customHeight="false" outlineLevel="0" collapsed="false">
      <c r="A2951" s="2" t="n">
        <v>46225</v>
      </c>
      <c r="B2951" s="3" t="s">
        <v>1185</v>
      </c>
      <c r="C2951" s="0" t="n">
        <v>152</v>
      </c>
      <c r="D2951" s="0" t="n">
        <v>30</v>
      </c>
      <c r="E2951" s="0" t="str">
        <f aca="false">INDEX(lot!$B$2:$B$1201,MATCH(B2951,lot!$A$2:$A$1201,0))</f>
        <v>SUP-C</v>
      </c>
      <c r="F2951" s="3" t="n">
        <f aca="false">YEAR(A2951)*100+MONTH(A2951)</f>
        <v>202607</v>
      </c>
    </row>
    <row r="2952" customFormat="false" ht="15" hidden="false" customHeight="false" outlineLevel="0" collapsed="false">
      <c r="A2952" s="2" t="n">
        <v>46225</v>
      </c>
      <c r="B2952" s="3" t="s">
        <v>1185</v>
      </c>
      <c r="C2952" s="0" t="n">
        <v>178</v>
      </c>
      <c r="D2952" s="0" t="n">
        <v>32</v>
      </c>
      <c r="E2952" s="0" t="str">
        <f aca="false">INDEX(lot!$B$2:$B$1201,MATCH(B2952,lot!$A$2:$A$1201,0))</f>
        <v>SUP-C</v>
      </c>
      <c r="F2952" s="3" t="n">
        <f aca="false">YEAR(A2952)*100+MONTH(A2952)</f>
        <v>202607</v>
      </c>
    </row>
    <row r="2953" customFormat="false" ht="15" hidden="false" customHeight="false" outlineLevel="0" collapsed="false">
      <c r="A2953" s="2" t="n">
        <v>46225</v>
      </c>
      <c r="B2953" s="3" t="s">
        <v>1188</v>
      </c>
      <c r="C2953" s="0" t="n">
        <v>200</v>
      </c>
      <c r="D2953" s="0" t="n">
        <v>3</v>
      </c>
      <c r="E2953" s="0" t="str">
        <f aca="false">INDEX(lot!$B$2:$B$1201,MATCH(B2953,lot!$A$2:$A$1201,0))</f>
        <v>SUP-A</v>
      </c>
      <c r="F2953" s="3" t="n">
        <f aca="false">YEAR(A2953)*100+MONTH(A2953)</f>
        <v>202607</v>
      </c>
    </row>
    <row r="2954" customFormat="false" ht="15" hidden="false" customHeight="false" outlineLevel="0" collapsed="false">
      <c r="A2954" s="2" t="n">
        <v>46225</v>
      </c>
      <c r="B2954" s="3" t="s">
        <v>1188</v>
      </c>
      <c r="C2954" s="0" t="n">
        <v>100</v>
      </c>
      <c r="D2954" s="0" t="n">
        <v>4</v>
      </c>
      <c r="E2954" s="0" t="str">
        <f aca="false">INDEX(lot!$B$2:$B$1201,MATCH(B2954,lot!$A$2:$A$1201,0))</f>
        <v>SUP-A</v>
      </c>
      <c r="F2954" s="3" t="n">
        <f aca="false">YEAR(A2954)*100+MONTH(A2954)</f>
        <v>202607</v>
      </c>
    </row>
    <row r="2955" customFormat="false" ht="15" hidden="false" customHeight="false" outlineLevel="0" collapsed="false">
      <c r="A2955" s="2" t="n">
        <v>46226</v>
      </c>
      <c r="B2955" s="3" t="s">
        <v>33</v>
      </c>
      <c r="C2955" s="0" t="n">
        <v>174</v>
      </c>
      <c r="D2955" s="0" t="n">
        <v>8</v>
      </c>
      <c r="E2955" s="0" t="str">
        <f aca="false">INDEX(lot!$B$2:$B$1201,MATCH(B2955,lot!$A$2:$A$1201,0))</f>
        <v>SUP-C</v>
      </c>
      <c r="F2955" s="3" t="n">
        <f aca="false">YEAR(A2955)*100+MONTH(A2955)</f>
        <v>202607</v>
      </c>
    </row>
    <row r="2956" customFormat="false" ht="15" hidden="false" customHeight="false" outlineLevel="0" collapsed="false">
      <c r="A2956" s="2" t="n">
        <v>46226</v>
      </c>
      <c r="B2956" s="3" t="s">
        <v>33</v>
      </c>
      <c r="C2956" s="0" t="n">
        <v>164</v>
      </c>
      <c r="D2956" s="0" t="n">
        <v>6</v>
      </c>
      <c r="E2956" s="0" t="str">
        <f aca="false">INDEX(lot!$B$2:$B$1201,MATCH(B2956,lot!$A$2:$A$1201,0))</f>
        <v>SUP-C</v>
      </c>
      <c r="F2956" s="3" t="n">
        <f aca="false">YEAR(A2956)*100+MONTH(A2956)</f>
        <v>202607</v>
      </c>
    </row>
    <row r="2957" customFormat="false" ht="15" hidden="false" customHeight="false" outlineLevel="0" collapsed="false">
      <c r="A2957" s="2" t="n">
        <v>46226</v>
      </c>
      <c r="B2957" s="3" t="s">
        <v>48</v>
      </c>
      <c r="C2957" s="0" t="n">
        <v>137</v>
      </c>
      <c r="D2957" s="0" t="n">
        <v>1</v>
      </c>
      <c r="E2957" s="0" t="str">
        <f aca="false">INDEX(lot!$B$2:$B$1201,MATCH(B2957,lot!$A$2:$A$1201,0))</f>
        <v>SUP-A</v>
      </c>
      <c r="F2957" s="3" t="n">
        <f aca="false">YEAR(A2957)*100+MONTH(A2957)</f>
        <v>202607</v>
      </c>
    </row>
    <row r="2958" customFormat="false" ht="15" hidden="false" customHeight="false" outlineLevel="0" collapsed="false">
      <c r="A2958" s="2" t="n">
        <v>46226</v>
      </c>
      <c r="B2958" s="3" t="s">
        <v>48</v>
      </c>
      <c r="C2958" s="0" t="n">
        <v>218</v>
      </c>
      <c r="D2958" s="0" t="n">
        <v>4</v>
      </c>
      <c r="E2958" s="0" t="str">
        <f aca="false">INDEX(lot!$B$2:$B$1201,MATCH(B2958,lot!$A$2:$A$1201,0))</f>
        <v>SUP-A</v>
      </c>
      <c r="F2958" s="3" t="n">
        <f aca="false">YEAR(A2958)*100+MONTH(A2958)</f>
        <v>202607</v>
      </c>
    </row>
    <row r="2959" customFormat="false" ht="15" hidden="false" customHeight="false" outlineLevel="0" collapsed="false">
      <c r="A2959" s="2" t="n">
        <v>46226</v>
      </c>
      <c r="B2959" s="3" t="s">
        <v>195</v>
      </c>
      <c r="C2959" s="0" t="n">
        <v>79</v>
      </c>
      <c r="D2959" s="0" t="n">
        <v>0</v>
      </c>
      <c r="E2959" s="0" t="str">
        <f aca="false">INDEX(lot!$B$2:$B$1201,MATCH(B2959,lot!$A$2:$A$1201,0))</f>
        <v>SUP-D</v>
      </c>
      <c r="F2959" s="3" t="n">
        <f aca="false">YEAR(A2959)*100+MONTH(A2959)</f>
        <v>202607</v>
      </c>
    </row>
    <row r="2960" customFormat="false" ht="15" hidden="false" customHeight="false" outlineLevel="0" collapsed="false">
      <c r="A2960" s="2" t="n">
        <v>46226</v>
      </c>
      <c r="B2960" s="3" t="s">
        <v>219</v>
      </c>
      <c r="C2960" s="0" t="n">
        <v>138</v>
      </c>
      <c r="D2960" s="0" t="n">
        <v>2</v>
      </c>
      <c r="E2960" s="0" t="str">
        <f aca="false">INDEX(lot!$B$2:$B$1201,MATCH(B2960,lot!$A$2:$A$1201,0))</f>
        <v>SUP-D</v>
      </c>
      <c r="F2960" s="3" t="n">
        <f aca="false">YEAR(A2960)*100+MONTH(A2960)</f>
        <v>202607</v>
      </c>
    </row>
    <row r="2961" customFormat="false" ht="15" hidden="false" customHeight="false" outlineLevel="0" collapsed="false">
      <c r="A2961" s="2" t="n">
        <v>46226</v>
      </c>
      <c r="B2961" s="3" t="s">
        <v>219</v>
      </c>
      <c r="C2961" s="0" t="n">
        <v>179</v>
      </c>
      <c r="D2961" s="0" t="n">
        <v>1</v>
      </c>
      <c r="E2961" s="0" t="str">
        <f aca="false">INDEX(lot!$B$2:$B$1201,MATCH(B2961,lot!$A$2:$A$1201,0))</f>
        <v>SUP-D</v>
      </c>
      <c r="F2961" s="3" t="n">
        <f aca="false">YEAR(A2961)*100+MONTH(A2961)</f>
        <v>202607</v>
      </c>
    </row>
    <row r="2962" customFormat="false" ht="15" hidden="false" customHeight="false" outlineLevel="0" collapsed="false">
      <c r="A2962" s="2" t="n">
        <v>46226</v>
      </c>
      <c r="B2962" s="3" t="s">
        <v>411</v>
      </c>
      <c r="C2962" s="0" t="n">
        <v>90</v>
      </c>
      <c r="D2962" s="0" t="n">
        <v>1</v>
      </c>
      <c r="E2962" s="0" t="str">
        <f aca="false">INDEX(lot!$B$2:$B$1201,MATCH(B2962,lot!$A$2:$A$1201,0))</f>
        <v>SUP-D</v>
      </c>
      <c r="F2962" s="3" t="n">
        <f aca="false">YEAR(A2962)*100+MONTH(A2962)</f>
        <v>202607</v>
      </c>
    </row>
    <row r="2963" customFormat="false" ht="15" hidden="false" customHeight="false" outlineLevel="0" collapsed="false">
      <c r="A2963" s="2" t="n">
        <v>46226</v>
      </c>
      <c r="B2963" s="3" t="s">
        <v>411</v>
      </c>
      <c r="C2963" s="0" t="n">
        <v>247</v>
      </c>
      <c r="D2963" s="0" t="n">
        <v>18</v>
      </c>
      <c r="E2963" s="0" t="str">
        <f aca="false">INDEX(lot!$B$2:$B$1201,MATCH(B2963,lot!$A$2:$A$1201,0))</f>
        <v>SUP-D</v>
      </c>
      <c r="F2963" s="3" t="n">
        <f aca="false">YEAR(A2963)*100+MONTH(A2963)</f>
        <v>202607</v>
      </c>
    </row>
    <row r="2964" customFormat="false" ht="15" hidden="false" customHeight="false" outlineLevel="0" collapsed="false">
      <c r="A2964" s="2" t="n">
        <v>46226</v>
      </c>
      <c r="B2964" s="3" t="s">
        <v>557</v>
      </c>
      <c r="C2964" s="0" t="n">
        <v>180</v>
      </c>
      <c r="D2964" s="0" t="n">
        <v>31</v>
      </c>
      <c r="E2964" s="0" t="str">
        <f aca="false">INDEX(lot!$B$2:$B$1201,MATCH(B2964,lot!$A$2:$A$1201,0))</f>
        <v>SUP-A</v>
      </c>
      <c r="F2964" s="3" t="n">
        <f aca="false">YEAR(A2964)*100+MONTH(A2964)</f>
        <v>202607</v>
      </c>
    </row>
    <row r="2965" customFormat="false" ht="15" hidden="false" customHeight="false" outlineLevel="0" collapsed="false">
      <c r="A2965" s="2" t="n">
        <v>46226</v>
      </c>
      <c r="B2965" s="3" t="s">
        <v>557</v>
      </c>
      <c r="C2965" s="0" t="n">
        <v>118</v>
      </c>
      <c r="D2965" s="0" t="n">
        <v>14</v>
      </c>
      <c r="E2965" s="0" t="str">
        <f aca="false">INDEX(lot!$B$2:$B$1201,MATCH(B2965,lot!$A$2:$A$1201,0))</f>
        <v>SUP-A</v>
      </c>
      <c r="F2965" s="3" t="n">
        <f aca="false">YEAR(A2965)*100+MONTH(A2965)</f>
        <v>202607</v>
      </c>
    </row>
    <row r="2966" customFormat="false" ht="15" hidden="false" customHeight="false" outlineLevel="0" collapsed="false">
      <c r="A2966" s="2" t="n">
        <v>46226</v>
      </c>
      <c r="B2966" s="3" t="s">
        <v>591</v>
      </c>
      <c r="C2966" s="0" t="n">
        <v>133</v>
      </c>
      <c r="D2966" s="0" t="n">
        <v>3</v>
      </c>
      <c r="E2966" s="0" t="str">
        <f aca="false">INDEX(lot!$B$2:$B$1201,MATCH(B2966,lot!$A$2:$A$1201,0))</f>
        <v>SUP-C</v>
      </c>
      <c r="F2966" s="3" t="n">
        <f aca="false">YEAR(A2966)*100+MONTH(A2966)</f>
        <v>202607</v>
      </c>
    </row>
    <row r="2967" customFormat="false" ht="15" hidden="false" customHeight="false" outlineLevel="0" collapsed="false">
      <c r="A2967" s="2" t="n">
        <v>46226</v>
      </c>
      <c r="B2967" s="3" t="s">
        <v>591</v>
      </c>
      <c r="C2967" s="0" t="n">
        <v>159</v>
      </c>
      <c r="D2967" s="0" t="n">
        <v>5</v>
      </c>
      <c r="E2967" s="0" t="str">
        <f aca="false">INDEX(lot!$B$2:$B$1201,MATCH(B2967,lot!$A$2:$A$1201,0))</f>
        <v>SUP-C</v>
      </c>
      <c r="F2967" s="3" t="n">
        <f aca="false">YEAR(A2967)*100+MONTH(A2967)</f>
        <v>202607</v>
      </c>
    </row>
    <row r="2968" customFormat="false" ht="15" hidden="false" customHeight="false" outlineLevel="0" collapsed="false">
      <c r="A2968" s="2" t="n">
        <v>46226</v>
      </c>
      <c r="B2968" s="3" t="s">
        <v>815</v>
      </c>
      <c r="C2968" s="0" t="n">
        <v>171</v>
      </c>
      <c r="D2968" s="0" t="n">
        <v>13</v>
      </c>
      <c r="E2968" s="0" t="str">
        <f aca="false">INDEX(lot!$B$2:$B$1201,MATCH(B2968,lot!$A$2:$A$1201,0))</f>
        <v>SUP-E</v>
      </c>
      <c r="F2968" s="3" t="n">
        <f aca="false">YEAR(A2968)*100+MONTH(A2968)</f>
        <v>202607</v>
      </c>
    </row>
    <row r="2969" customFormat="false" ht="15" hidden="false" customHeight="false" outlineLevel="0" collapsed="false">
      <c r="A2969" s="2" t="n">
        <v>46226</v>
      </c>
      <c r="B2969" s="3" t="s">
        <v>861</v>
      </c>
      <c r="C2969" s="0" t="n">
        <v>236</v>
      </c>
      <c r="D2969" s="0" t="n">
        <v>0</v>
      </c>
      <c r="E2969" s="0" t="str">
        <f aca="false">INDEX(lot!$B$2:$B$1201,MATCH(B2969,lot!$A$2:$A$1201,0))</f>
        <v>SUP-D</v>
      </c>
      <c r="F2969" s="3" t="n">
        <f aca="false">YEAR(A2969)*100+MONTH(A2969)</f>
        <v>202607</v>
      </c>
    </row>
    <row r="2970" customFormat="false" ht="15" hidden="false" customHeight="false" outlineLevel="0" collapsed="false">
      <c r="A2970" s="2" t="n">
        <v>46226</v>
      </c>
      <c r="B2970" s="3" t="s">
        <v>861</v>
      </c>
      <c r="C2970" s="0" t="n">
        <v>146</v>
      </c>
      <c r="D2970" s="0" t="n">
        <v>3</v>
      </c>
      <c r="E2970" s="0" t="str">
        <f aca="false">INDEX(lot!$B$2:$B$1201,MATCH(B2970,lot!$A$2:$A$1201,0))</f>
        <v>SUP-D</v>
      </c>
      <c r="F2970" s="3" t="n">
        <f aca="false">YEAR(A2970)*100+MONTH(A2970)</f>
        <v>202607</v>
      </c>
    </row>
    <row r="2971" customFormat="false" ht="15" hidden="false" customHeight="false" outlineLevel="0" collapsed="false">
      <c r="A2971" s="2" t="n">
        <v>46226</v>
      </c>
      <c r="B2971" s="3" t="s">
        <v>918</v>
      </c>
      <c r="C2971" s="0" t="n">
        <v>127</v>
      </c>
      <c r="D2971" s="0" t="n">
        <v>4</v>
      </c>
      <c r="E2971" s="0" t="str">
        <f aca="false">INDEX(lot!$B$2:$B$1201,MATCH(B2971,lot!$A$2:$A$1201,0))</f>
        <v>SUP-C</v>
      </c>
      <c r="F2971" s="3" t="n">
        <f aca="false">YEAR(A2971)*100+MONTH(A2971)</f>
        <v>202607</v>
      </c>
    </row>
    <row r="2972" customFormat="false" ht="15" hidden="false" customHeight="false" outlineLevel="0" collapsed="false">
      <c r="A2972" s="2" t="n">
        <v>46226</v>
      </c>
      <c r="B2972" s="3" t="s">
        <v>918</v>
      </c>
      <c r="C2972" s="0" t="n">
        <v>202</v>
      </c>
      <c r="D2972" s="0" t="n">
        <v>5</v>
      </c>
      <c r="E2972" s="0" t="str">
        <f aca="false">INDEX(lot!$B$2:$B$1201,MATCH(B2972,lot!$A$2:$A$1201,0))</f>
        <v>SUP-C</v>
      </c>
      <c r="F2972" s="3" t="n">
        <f aca="false">YEAR(A2972)*100+MONTH(A2972)</f>
        <v>202607</v>
      </c>
    </row>
    <row r="2973" customFormat="false" ht="15" hidden="false" customHeight="false" outlineLevel="0" collapsed="false">
      <c r="A2973" s="2" t="n">
        <v>46226</v>
      </c>
      <c r="B2973" s="3" t="s">
        <v>934</v>
      </c>
      <c r="C2973" s="0" t="n">
        <v>108</v>
      </c>
      <c r="D2973" s="0" t="n">
        <v>3</v>
      </c>
      <c r="E2973" s="0" t="str">
        <f aca="false">INDEX(lot!$B$2:$B$1201,MATCH(B2973,lot!$A$2:$A$1201,0))</f>
        <v>SUP-A</v>
      </c>
      <c r="F2973" s="3" t="n">
        <f aca="false">YEAR(A2973)*100+MONTH(A2973)</f>
        <v>202607</v>
      </c>
    </row>
    <row r="2974" customFormat="false" ht="15" hidden="false" customHeight="false" outlineLevel="0" collapsed="false">
      <c r="A2974" s="2" t="n">
        <v>46226</v>
      </c>
      <c r="B2974" s="3" t="s">
        <v>934</v>
      </c>
      <c r="C2974" s="0" t="n">
        <v>155</v>
      </c>
      <c r="D2974" s="0" t="n">
        <v>2</v>
      </c>
      <c r="E2974" s="0" t="str">
        <f aca="false">INDEX(lot!$B$2:$B$1201,MATCH(B2974,lot!$A$2:$A$1201,0))</f>
        <v>SUP-A</v>
      </c>
      <c r="F2974" s="3" t="n">
        <f aca="false">YEAR(A2974)*100+MONTH(A2974)</f>
        <v>202607</v>
      </c>
    </row>
    <row r="2975" customFormat="false" ht="15" hidden="false" customHeight="false" outlineLevel="0" collapsed="false">
      <c r="A2975" s="2" t="n">
        <v>46226</v>
      </c>
      <c r="B2975" s="3" t="s">
        <v>1013</v>
      </c>
      <c r="C2975" s="0" t="n">
        <v>172</v>
      </c>
      <c r="D2975" s="0" t="n">
        <v>2</v>
      </c>
      <c r="E2975" s="0" t="str">
        <f aca="false">INDEX(lot!$B$2:$B$1201,MATCH(B2975,lot!$A$2:$A$1201,0))</f>
        <v>SUP-E</v>
      </c>
      <c r="F2975" s="3" t="n">
        <f aca="false">YEAR(A2975)*100+MONTH(A2975)</f>
        <v>202607</v>
      </c>
    </row>
    <row r="2976" customFormat="false" ht="15" hidden="false" customHeight="false" outlineLevel="0" collapsed="false">
      <c r="A2976" s="2" t="n">
        <v>46226</v>
      </c>
      <c r="B2976" s="3" t="s">
        <v>1013</v>
      </c>
      <c r="C2976" s="0" t="n">
        <v>68</v>
      </c>
      <c r="D2976" s="0" t="n">
        <v>0</v>
      </c>
      <c r="E2976" s="0" t="str">
        <f aca="false">INDEX(lot!$B$2:$B$1201,MATCH(B2976,lot!$A$2:$A$1201,0))</f>
        <v>SUP-E</v>
      </c>
      <c r="F2976" s="3" t="n">
        <f aca="false">YEAR(A2976)*100+MONTH(A2976)</f>
        <v>202607</v>
      </c>
    </row>
    <row r="2977" customFormat="false" ht="15" hidden="false" customHeight="false" outlineLevel="0" collapsed="false">
      <c r="A2977" s="2" t="n">
        <v>46226</v>
      </c>
      <c r="B2977" s="3" t="s">
        <v>1086</v>
      </c>
      <c r="C2977" s="0" t="n">
        <v>150</v>
      </c>
      <c r="D2977" s="0" t="n">
        <v>3</v>
      </c>
      <c r="E2977" s="0" t="str">
        <f aca="false">INDEX(lot!$B$2:$B$1201,MATCH(B2977,lot!$A$2:$A$1201,0))</f>
        <v>SUP-A</v>
      </c>
      <c r="F2977" s="3" t="n">
        <f aca="false">YEAR(A2977)*100+MONTH(A2977)</f>
        <v>202607</v>
      </c>
    </row>
    <row r="2978" customFormat="false" ht="15" hidden="false" customHeight="false" outlineLevel="0" collapsed="false">
      <c r="A2978" s="2" t="n">
        <v>46226</v>
      </c>
      <c r="B2978" s="3" t="s">
        <v>1115</v>
      </c>
      <c r="C2978" s="0" t="n">
        <v>105</v>
      </c>
      <c r="D2978" s="0" t="n">
        <v>2</v>
      </c>
      <c r="E2978" s="0" t="str">
        <f aca="false">INDEX(lot!$B$2:$B$1201,MATCH(B2978,lot!$A$2:$A$1201,0))</f>
        <v>SUP-C</v>
      </c>
      <c r="F2978" s="3" t="n">
        <f aca="false">YEAR(A2978)*100+MONTH(A2978)</f>
        <v>202607</v>
      </c>
    </row>
    <row r="2979" customFormat="false" ht="15" hidden="false" customHeight="false" outlineLevel="0" collapsed="false">
      <c r="A2979" s="2" t="n">
        <v>46226</v>
      </c>
      <c r="B2979" s="3" t="s">
        <v>1124</v>
      </c>
      <c r="C2979" s="0" t="n">
        <v>189</v>
      </c>
      <c r="D2979" s="0" t="n">
        <v>3</v>
      </c>
      <c r="E2979" s="0" t="str">
        <f aca="false">INDEX(lot!$B$2:$B$1201,MATCH(B2979,lot!$A$2:$A$1201,0))</f>
        <v>SUP-A</v>
      </c>
      <c r="F2979" s="3" t="n">
        <f aca="false">YEAR(A2979)*100+MONTH(A2979)</f>
        <v>202607</v>
      </c>
    </row>
    <row r="2980" customFormat="false" ht="15" hidden="false" customHeight="false" outlineLevel="0" collapsed="false">
      <c r="A2980" s="2" t="n">
        <v>46226</v>
      </c>
      <c r="B2980" s="3" t="s">
        <v>1124</v>
      </c>
      <c r="C2980" s="0" t="n">
        <v>148</v>
      </c>
      <c r="D2980" s="0" t="n">
        <v>4</v>
      </c>
      <c r="E2980" s="0" t="str">
        <f aca="false">INDEX(lot!$B$2:$B$1201,MATCH(B2980,lot!$A$2:$A$1201,0))</f>
        <v>SUP-A</v>
      </c>
      <c r="F2980" s="3" t="n">
        <f aca="false">YEAR(A2980)*100+MONTH(A2980)</f>
        <v>202607</v>
      </c>
    </row>
    <row r="2981" customFormat="false" ht="15" hidden="false" customHeight="false" outlineLevel="0" collapsed="false">
      <c r="A2981" s="2" t="n">
        <v>46226</v>
      </c>
      <c r="B2981" s="3" t="s">
        <v>1130</v>
      </c>
      <c r="C2981" s="0" t="n">
        <v>126</v>
      </c>
      <c r="D2981" s="0" t="n">
        <v>2</v>
      </c>
      <c r="E2981" s="0" t="str">
        <f aca="false">INDEX(lot!$B$2:$B$1201,MATCH(B2981,lot!$A$2:$A$1201,0))</f>
        <v>SUP-A</v>
      </c>
      <c r="F2981" s="3" t="n">
        <f aca="false">YEAR(A2981)*100+MONTH(A2981)</f>
        <v>202607</v>
      </c>
    </row>
    <row r="2982" customFormat="false" ht="15" hidden="false" customHeight="false" outlineLevel="0" collapsed="false">
      <c r="A2982" s="2" t="n">
        <v>46226</v>
      </c>
      <c r="B2982" s="3" t="s">
        <v>1165</v>
      </c>
      <c r="C2982" s="0" t="n">
        <v>208</v>
      </c>
      <c r="D2982" s="0" t="n">
        <v>1</v>
      </c>
      <c r="E2982" s="0" t="str">
        <f aca="false">INDEX(lot!$B$2:$B$1201,MATCH(B2982,lot!$A$2:$A$1201,0))</f>
        <v>SUP-E</v>
      </c>
      <c r="F2982" s="3" t="n">
        <f aca="false">YEAR(A2982)*100+MONTH(A2982)</f>
        <v>202607</v>
      </c>
    </row>
    <row r="2983" customFormat="false" ht="15" hidden="false" customHeight="false" outlineLevel="0" collapsed="false">
      <c r="A2983" s="2" t="n">
        <v>46226</v>
      </c>
      <c r="B2983" s="3" t="s">
        <v>1165</v>
      </c>
      <c r="C2983" s="0" t="n">
        <v>116</v>
      </c>
      <c r="D2983" s="0" t="n">
        <v>0</v>
      </c>
      <c r="E2983" s="0" t="str">
        <f aca="false">INDEX(lot!$B$2:$B$1201,MATCH(B2983,lot!$A$2:$A$1201,0))</f>
        <v>SUP-E</v>
      </c>
      <c r="F2983" s="3" t="n">
        <f aca="false">YEAR(A2983)*100+MONTH(A2983)</f>
        <v>202607</v>
      </c>
    </row>
    <row r="2984" customFormat="false" ht="15" hidden="false" customHeight="false" outlineLevel="0" collapsed="false">
      <c r="A2984" s="2" t="n">
        <v>46226</v>
      </c>
      <c r="B2984" s="3" t="s">
        <v>1176</v>
      </c>
      <c r="C2984" s="0" t="n">
        <v>178</v>
      </c>
      <c r="D2984" s="0" t="n">
        <v>6</v>
      </c>
      <c r="E2984" s="0" t="str">
        <f aca="false">INDEX(lot!$B$2:$B$1201,MATCH(B2984,lot!$A$2:$A$1201,0))</f>
        <v>SUP-A</v>
      </c>
      <c r="F2984" s="3" t="n">
        <f aca="false">YEAR(A2984)*100+MONTH(A2984)</f>
        <v>202607</v>
      </c>
    </row>
    <row r="2985" customFormat="false" ht="15" hidden="false" customHeight="false" outlineLevel="0" collapsed="false">
      <c r="A2985" s="2" t="n">
        <v>46226</v>
      </c>
      <c r="B2985" s="3" t="s">
        <v>1176</v>
      </c>
      <c r="C2985" s="0" t="n">
        <v>233</v>
      </c>
      <c r="D2985" s="0" t="n">
        <v>4</v>
      </c>
      <c r="E2985" s="0" t="str">
        <f aca="false">INDEX(lot!$B$2:$B$1201,MATCH(B2985,lot!$A$2:$A$1201,0))</f>
        <v>SUP-A</v>
      </c>
      <c r="F2985" s="3" t="n">
        <f aca="false">YEAR(A2985)*100+MONTH(A2985)</f>
        <v>202607</v>
      </c>
    </row>
    <row r="2986" customFormat="false" ht="15" hidden="false" customHeight="false" outlineLevel="0" collapsed="false">
      <c r="A2986" s="2" t="n">
        <v>46226</v>
      </c>
      <c r="B2986" s="3" t="s">
        <v>1188</v>
      </c>
      <c r="C2986" s="0" t="n">
        <v>197</v>
      </c>
      <c r="D2986" s="0" t="n">
        <v>5</v>
      </c>
      <c r="E2986" s="0" t="str">
        <f aca="false">INDEX(lot!$B$2:$B$1201,MATCH(B2986,lot!$A$2:$A$1201,0))</f>
        <v>SUP-A</v>
      </c>
      <c r="F2986" s="3" t="n">
        <f aca="false">YEAR(A2986)*100+MONTH(A2986)</f>
        <v>202607</v>
      </c>
    </row>
    <row r="2987" customFormat="false" ht="15" hidden="false" customHeight="false" outlineLevel="0" collapsed="false">
      <c r="A2987" s="2" t="n">
        <v>46227</v>
      </c>
      <c r="B2987" s="3" t="s">
        <v>33</v>
      </c>
      <c r="C2987" s="0" t="n">
        <v>79</v>
      </c>
      <c r="D2987" s="0" t="n">
        <v>3</v>
      </c>
      <c r="E2987" s="0" t="str">
        <f aca="false">INDEX(lot!$B$2:$B$1201,MATCH(B2987,lot!$A$2:$A$1201,0))</f>
        <v>SUP-C</v>
      </c>
      <c r="F2987" s="3" t="n">
        <f aca="false">YEAR(A2987)*100+MONTH(A2987)</f>
        <v>202607</v>
      </c>
    </row>
    <row r="2988" customFormat="false" ht="15" hidden="false" customHeight="false" outlineLevel="0" collapsed="false">
      <c r="A2988" s="2" t="n">
        <v>46227</v>
      </c>
      <c r="B2988" s="3" t="s">
        <v>48</v>
      </c>
      <c r="C2988" s="0" t="n">
        <v>115</v>
      </c>
      <c r="D2988" s="0" t="n">
        <v>2</v>
      </c>
      <c r="E2988" s="0" t="str">
        <f aca="false">INDEX(lot!$B$2:$B$1201,MATCH(B2988,lot!$A$2:$A$1201,0))</f>
        <v>SUP-A</v>
      </c>
      <c r="F2988" s="3" t="n">
        <f aca="false">YEAR(A2988)*100+MONTH(A2988)</f>
        <v>202607</v>
      </c>
    </row>
    <row r="2989" customFormat="false" ht="15" hidden="false" customHeight="false" outlineLevel="0" collapsed="false">
      <c r="A2989" s="2" t="n">
        <v>46227</v>
      </c>
      <c r="B2989" s="3" t="s">
        <v>48</v>
      </c>
      <c r="C2989" s="0" t="n">
        <v>165</v>
      </c>
      <c r="D2989" s="0" t="n">
        <v>5</v>
      </c>
      <c r="E2989" s="0" t="str">
        <f aca="false">INDEX(lot!$B$2:$B$1201,MATCH(B2989,lot!$A$2:$A$1201,0))</f>
        <v>SUP-A</v>
      </c>
      <c r="F2989" s="3" t="n">
        <f aca="false">YEAR(A2989)*100+MONTH(A2989)</f>
        <v>202607</v>
      </c>
    </row>
    <row r="2990" customFormat="false" ht="15" hidden="false" customHeight="false" outlineLevel="0" collapsed="false">
      <c r="A2990" s="2" t="n">
        <v>46227</v>
      </c>
      <c r="B2990" s="3" t="s">
        <v>137</v>
      </c>
      <c r="C2990" s="0" t="n">
        <v>139</v>
      </c>
      <c r="D2990" s="0" t="n">
        <v>2</v>
      </c>
      <c r="E2990" s="0" t="str">
        <f aca="false">INDEX(lot!$B$2:$B$1201,MATCH(B2990,lot!$A$2:$A$1201,0))</f>
        <v>SUP-A</v>
      </c>
      <c r="F2990" s="3" t="n">
        <f aca="false">YEAR(A2990)*100+MONTH(A2990)</f>
        <v>202607</v>
      </c>
    </row>
    <row r="2991" customFormat="false" ht="15" hidden="false" customHeight="false" outlineLevel="0" collapsed="false">
      <c r="A2991" s="2" t="n">
        <v>46227</v>
      </c>
      <c r="B2991" s="3" t="s">
        <v>137</v>
      </c>
      <c r="C2991" s="0" t="n">
        <v>138</v>
      </c>
      <c r="D2991" s="0" t="n">
        <v>3</v>
      </c>
      <c r="E2991" s="0" t="str">
        <f aca="false">INDEX(lot!$B$2:$B$1201,MATCH(B2991,lot!$A$2:$A$1201,0))</f>
        <v>SUP-A</v>
      </c>
      <c r="F2991" s="3" t="n">
        <f aca="false">YEAR(A2991)*100+MONTH(A2991)</f>
        <v>202607</v>
      </c>
    </row>
    <row r="2992" customFormat="false" ht="15" hidden="false" customHeight="false" outlineLevel="0" collapsed="false">
      <c r="A2992" s="2" t="n">
        <v>46227</v>
      </c>
      <c r="B2992" s="3" t="s">
        <v>176</v>
      </c>
      <c r="C2992" s="0" t="n">
        <v>241</v>
      </c>
      <c r="D2992" s="0" t="n">
        <v>5</v>
      </c>
      <c r="E2992" s="0" t="str">
        <f aca="false">INDEX(lot!$B$2:$B$1201,MATCH(B2992,lot!$A$2:$A$1201,0))</f>
        <v>SUP-A</v>
      </c>
      <c r="F2992" s="3" t="n">
        <f aca="false">YEAR(A2992)*100+MONTH(A2992)</f>
        <v>202607</v>
      </c>
    </row>
    <row r="2993" customFormat="false" ht="15" hidden="false" customHeight="false" outlineLevel="0" collapsed="false">
      <c r="A2993" s="2" t="n">
        <v>46227</v>
      </c>
      <c r="B2993" s="3" t="s">
        <v>195</v>
      </c>
      <c r="C2993" s="0" t="n">
        <v>63</v>
      </c>
      <c r="D2993" s="0" t="n">
        <v>0</v>
      </c>
      <c r="E2993" s="0" t="str">
        <f aca="false">INDEX(lot!$B$2:$B$1201,MATCH(B2993,lot!$A$2:$A$1201,0))</f>
        <v>SUP-D</v>
      </c>
      <c r="F2993" s="3" t="n">
        <f aca="false">YEAR(A2993)*100+MONTH(A2993)</f>
        <v>202607</v>
      </c>
    </row>
    <row r="2994" customFormat="false" ht="15" hidden="false" customHeight="false" outlineLevel="0" collapsed="false">
      <c r="A2994" s="2" t="n">
        <v>46227</v>
      </c>
      <c r="B2994" s="3" t="s">
        <v>401</v>
      </c>
      <c r="C2994" s="0" t="n">
        <v>132</v>
      </c>
      <c r="D2994" s="0" t="n">
        <v>5</v>
      </c>
      <c r="E2994" s="0" t="str">
        <f aca="false">INDEX(lot!$B$2:$B$1201,MATCH(B2994,lot!$A$2:$A$1201,0))</f>
        <v>SUP-A</v>
      </c>
      <c r="F2994" s="3" t="n">
        <f aca="false">YEAR(A2994)*100+MONTH(A2994)</f>
        <v>202607</v>
      </c>
    </row>
    <row r="2995" customFormat="false" ht="15" hidden="false" customHeight="false" outlineLevel="0" collapsed="false">
      <c r="A2995" s="2" t="n">
        <v>46227</v>
      </c>
      <c r="B2995" s="3" t="s">
        <v>401</v>
      </c>
      <c r="C2995" s="0" t="n">
        <v>249</v>
      </c>
      <c r="D2995" s="0" t="n">
        <v>7</v>
      </c>
      <c r="E2995" s="0" t="str">
        <f aca="false">INDEX(lot!$B$2:$B$1201,MATCH(B2995,lot!$A$2:$A$1201,0))</f>
        <v>SUP-A</v>
      </c>
      <c r="F2995" s="3" t="n">
        <f aca="false">YEAR(A2995)*100+MONTH(A2995)</f>
        <v>202607</v>
      </c>
    </row>
    <row r="2996" customFormat="false" ht="15" hidden="false" customHeight="false" outlineLevel="0" collapsed="false">
      <c r="A2996" s="2" t="n">
        <v>46227</v>
      </c>
      <c r="B2996" s="3" t="s">
        <v>411</v>
      </c>
      <c r="C2996" s="0" t="n">
        <v>155</v>
      </c>
      <c r="D2996" s="0" t="n">
        <v>8</v>
      </c>
      <c r="E2996" s="0" t="str">
        <f aca="false">INDEX(lot!$B$2:$B$1201,MATCH(B2996,lot!$A$2:$A$1201,0))</f>
        <v>SUP-D</v>
      </c>
      <c r="F2996" s="3" t="n">
        <f aca="false">YEAR(A2996)*100+MONTH(A2996)</f>
        <v>202607</v>
      </c>
    </row>
    <row r="2997" customFormat="false" ht="15" hidden="false" customHeight="false" outlineLevel="0" collapsed="false">
      <c r="A2997" s="2" t="n">
        <v>46227</v>
      </c>
      <c r="B2997" s="3" t="s">
        <v>455</v>
      </c>
      <c r="C2997" s="0" t="n">
        <v>150</v>
      </c>
      <c r="D2997" s="0" t="n">
        <v>1</v>
      </c>
      <c r="E2997" s="0" t="str">
        <f aca="false">INDEX(lot!$B$2:$B$1201,MATCH(B2997,lot!$A$2:$A$1201,0))</f>
        <v>SUP-D</v>
      </c>
      <c r="F2997" s="3" t="n">
        <f aca="false">YEAR(A2997)*100+MONTH(A2997)</f>
        <v>202607</v>
      </c>
    </row>
    <row r="2998" customFormat="false" ht="15" hidden="false" customHeight="false" outlineLevel="0" collapsed="false">
      <c r="A2998" s="2" t="n">
        <v>46227</v>
      </c>
      <c r="B2998" s="3" t="s">
        <v>515</v>
      </c>
      <c r="C2998" s="0" t="n">
        <v>119</v>
      </c>
      <c r="D2998" s="0" t="n">
        <v>0</v>
      </c>
      <c r="E2998" s="0" t="str">
        <f aca="false">INDEX(lot!$B$2:$B$1201,MATCH(B2998,lot!$A$2:$A$1201,0))</f>
        <v>SUP-D</v>
      </c>
      <c r="F2998" s="3" t="n">
        <f aca="false">YEAR(A2998)*100+MONTH(A2998)</f>
        <v>202607</v>
      </c>
    </row>
    <row r="2999" customFormat="false" ht="15" hidden="false" customHeight="false" outlineLevel="0" collapsed="false">
      <c r="A2999" s="2" t="n">
        <v>46227</v>
      </c>
      <c r="B2999" s="3" t="s">
        <v>515</v>
      </c>
      <c r="C2999" s="0" t="n">
        <v>93</v>
      </c>
      <c r="D2999" s="0" t="n">
        <v>1</v>
      </c>
      <c r="E2999" s="0" t="str">
        <f aca="false">INDEX(lot!$B$2:$B$1201,MATCH(B2999,lot!$A$2:$A$1201,0))</f>
        <v>SUP-D</v>
      </c>
      <c r="F2999" s="3" t="n">
        <f aca="false">YEAR(A2999)*100+MONTH(A2999)</f>
        <v>202607</v>
      </c>
    </row>
    <row r="3000" customFormat="false" ht="15" hidden="false" customHeight="false" outlineLevel="0" collapsed="false">
      <c r="A3000" s="2" t="n">
        <v>46227</v>
      </c>
      <c r="B3000" s="3" t="s">
        <v>553</v>
      </c>
      <c r="C3000" s="0" t="n">
        <v>158</v>
      </c>
      <c r="D3000" s="0" t="n">
        <v>3</v>
      </c>
      <c r="E3000" s="0" t="str">
        <f aca="false">INDEX(lot!$B$2:$B$1201,MATCH(B3000,lot!$A$2:$A$1201,0))</f>
        <v>SUP-C</v>
      </c>
      <c r="F3000" s="3" t="n">
        <f aca="false">YEAR(A3000)*100+MONTH(A3000)</f>
        <v>202607</v>
      </c>
    </row>
    <row r="3001" customFormat="false" ht="15" hidden="false" customHeight="false" outlineLevel="0" collapsed="false">
      <c r="A3001" s="2" t="n">
        <v>46227</v>
      </c>
      <c r="B3001" s="3" t="s">
        <v>557</v>
      </c>
      <c r="C3001" s="0" t="n">
        <v>204</v>
      </c>
      <c r="D3001" s="0" t="n">
        <v>21</v>
      </c>
      <c r="E3001" s="0" t="str">
        <f aca="false">INDEX(lot!$B$2:$B$1201,MATCH(B3001,lot!$A$2:$A$1201,0))</f>
        <v>SUP-A</v>
      </c>
      <c r="F3001" s="3" t="n">
        <f aca="false">YEAR(A3001)*100+MONTH(A3001)</f>
        <v>202607</v>
      </c>
    </row>
    <row r="3002" customFormat="false" ht="15" hidden="false" customHeight="false" outlineLevel="0" collapsed="false">
      <c r="A3002" s="2" t="n">
        <v>46227</v>
      </c>
      <c r="B3002" s="3" t="s">
        <v>684</v>
      </c>
      <c r="C3002" s="0" t="n">
        <v>251</v>
      </c>
      <c r="D3002" s="0" t="n">
        <v>9</v>
      </c>
      <c r="E3002" s="0" t="str">
        <f aca="false">INDEX(lot!$B$2:$B$1201,MATCH(B3002,lot!$A$2:$A$1201,0))</f>
        <v>SUP-C</v>
      </c>
      <c r="F3002" s="3" t="n">
        <f aca="false">YEAR(A3002)*100+MONTH(A3002)</f>
        <v>202607</v>
      </c>
    </row>
    <row r="3003" customFormat="false" ht="15" hidden="false" customHeight="false" outlineLevel="0" collapsed="false">
      <c r="A3003" s="2" t="n">
        <v>46227</v>
      </c>
      <c r="B3003" s="3" t="s">
        <v>684</v>
      </c>
      <c r="C3003" s="0" t="n">
        <v>218</v>
      </c>
      <c r="D3003" s="0" t="n">
        <v>6</v>
      </c>
      <c r="E3003" s="0" t="str">
        <f aca="false">INDEX(lot!$B$2:$B$1201,MATCH(B3003,lot!$A$2:$A$1201,0))</f>
        <v>SUP-C</v>
      </c>
      <c r="F3003" s="3" t="n">
        <f aca="false">YEAR(A3003)*100+MONTH(A3003)</f>
        <v>202607</v>
      </c>
    </row>
    <row r="3004" customFormat="false" ht="15" hidden="false" customHeight="false" outlineLevel="0" collapsed="false">
      <c r="A3004" s="2" t="n">
        <v>46227</v>
      </c>
      <c r="B3004" s="3" t="s">
        <v>719</v>
      </c>
      <c r="C3004" s="0" t="n">
        <v>229</v>
      </c>
      <c r="D3004" s="0" t="n">
        <v>3</v>
      </c>
      <c r="E3004" s="0" t="str">
        <f aca="false">INDEX(lot!$B$2:$B$1201,MATCH(B3004,lot!$A$2:$A$1201,0))</f>
        <v>SUP-D</v>
      </c>
      <c r="F3004" s="3" t="n">
        <f aca="false">YEAR(A3004)*100+MONTH(A3004)</f>
        <v>202607</v>
      </c>
    </row>
    <row r="3005" customFormat="false" ht="15" hidden="false" customHeight="false" outlineLevel="0" collapsed="false">
      <c r="A3005" s="2" t="n">
        <v>46227</v>
      </c>
      <c r="B3005" s="3" t="s">
        <v>821</v>
      </c>
      <c r="C3005" s="0" t="n">
        <v>234</v>
      </c>
      <c r="D3005" s="0" t="n">
        <v>2</v>
      </c>
      <c r="E3005" s="0" t="str">
        <f aca="false">INDEX(lot!$B$2:$B$1201,MATCH(B3005,lot!$A$2:$A$1201,0))</f>
        <v>SUP-C</v>
      </c>
      <c r="F3005" s="3" t="n">
        <f aca="false">YEAR(A3005)*100+MONTH(A3005)</f>
        <v>202607</v>
      </c>
    </row>
    <row r="3006" customFormat="false" ht="15" hidden="false" customHeight="false" outlineLevel="0" collapsed="false">
      <c r="A3006" s="2" t="n">
        <v>46227</v>
      </c>
      <c r="B3006" s="3" t="s">
        <v>824</v>
      </c>
      <c r="C3006" s="0" t="n">
        <v>88</v>
      </c>
      <c r="D3006" s="0" t="n">
        <v>0</v>
      </c>
      <c r="E3006" s="0" t="str">
        <f aca="false">INDEX(lot!$B$2:$B$1201,MATCH(B3006,lot!$A$2:$A$1201,0))</f>
        <v>SUP-E</v>
      </c>
      <c r="F3006" s="3" t="n">
        <f aca="false">YEAR(A3006)*100+MONTH(A3006)</f>
        <v>202607</v>
      </c>
    </row>
    <row r="3007" customFormat="false" ht="15" hidden="false" customHeight="false" outlineLevel="0" collapsed="false">
      <c r="A3007" s="2" t="n">
        <v>46227</v>
      </c>
      <c r="B3007" s="3" t="s">
        <v>829</v>
      </c>
      <c r="C3007" s="0" t="n">
        <v>229</v>
      </c>
      <c r="D3007" s="0" t="n">
        <v>6</v>
      </c>
      <c r="E3007" s="0" t="str">
        <f aca="false">INDEX(lot!$B$2:$B$1201,MATCH(B3007,lot!$A$2:$A$1201,0))</f>
        <v>SUP-C</v>
      </c>
      <c r="F3007" s="3" t="n">
        <f aca="false">YEAR(A3007)*100+MONTH(A3007)</f>
        <v>202607</v>
      </c>
    </row>
    <row r="3008" customFormat="false" ht="15" hidden="false" customHeight="false" outlineLevel="0" collapsed="false">
      <c r="A3008" s="2" t="n">
        <v>46227</v>
      </c>
      <c r="B3008" s="3" t="s">
        <v>829</v>
      </c>
      <c r="C3008" s="0" t="n">
        <v>194</v>
      </c>
      <c r="D3008" s="0" t="n">
        <v>7</v>
      </c>
      <c r="E3008" s="0" t="str">
        <f aca="false">INDEX(lot!$B$2:$B$1201,MATCH(B3008,lot!$A$2:$A$1201,0))</f>
        <v>SUP-C</v>
      </c>
      <c r="F3008" s="3" t="n">
        <f aca="false">YEAR(A3008)*100+MONTH(A3008)</f>
        <v>202607</v>
      </c>
    </row>
    <row r="3009" customFormat="false" ht="15" hidden="false" customHeight="false" outlineLevel="0" collapsed="false">
      <c r="A3009" s="2" t="n">
        <v>46227</v>
      </c>
      <c r="B3009" s="3" t="s">
        <v>872</v>
      </c>
      <c r="C3009" s="0" t="n">
        <v>225</v>
      </c>
      <c r="D3009" s="0" t="n">
        <v>1</v>
      </c>
      <c r="E3009" s="0" t="str">
        <f aca="false">INDEX(lot!$B$2:$B$1201,MATCH(B3009,lot!$A$2:$A$1201,0))</f>
        <v>SUP-E</v>
      </c>
      <c r="F3009" s="3" t="n">
        <f aca="false">YEAR(A3009)*100+MONTH(A3009)</f>
        <v>202607</v>
      </c>
    </row>
    <row r="3010" customFormat="false" ht="15" hidden="false" customHeight="false" outlineLevel="0" collapsed="false">
      <c r="A3010" s="2" t="n">
        <v>46227</v>
      </c>
      <c r="B3010" s="3" t="s">
        <v>918</v>
      </c>
      <c r="C3010" s="0" t="n">
        <v>127</v>
      </c>
      <c r="D3010" s="0" t="n">
        <v>3</v>
      </c>
      <c r="E3010" s="0" t="str">
        <f aca="false">INDEX(lot!$B$2:$B$1201,MATCH(B3010,lot!$A$2:$A$1201,0))</f>
        <v>SUP-C</v>
      </c>
      <c r="F3010" s="3" t="n">
        <f aca="false">YEAR(A3010)*100+MONTH(A3010)</f>
        <v>202607</v>
      </c>
    </row>
    <row r="3011" customFormat="false" ht="15" hidden="false" customHeight="false" outlineLevel="0" collapsed="false">
      <c r="A3011" s="2" t="n">
        <v>46227</v>
      </c>
      <c r="B3011" s="3" t="s">
        <v>929</v>
      </c>
      <c r="C3011" s="0" t="n">
        <v>223</v>
      </c>
      <c r="D3011" s="0" t="n">
        <v>2</v>
      </c>
      <c r="E3011" s="0" t="str">
        <f aca="false">INDEX(lot!$B$2:$B$1201,MATCH(B3011,lot!$A$2:$A$1201,0))</f>
        <v>SUP-D</v>
      </c>
      <c r="F3011" s="3" t="n">
        <f aca="false">YEAR(A3011)*100+MONTH(A3011)</f>
        <v>202607</v>
      </c>
    </row>
    <row r="3012" customFormat="false" ht="15" hidden="false" customHeight="false" outlineLevel="0" collapsed="false">
      <c r="A3012" s="2" t="n">
        <v>46227</v>
      </c>
      <c r="B3012" s="3" t="s">
        <v>934</v>
      </c>
      <c r="C3012" s="0" t="n">
        <v>212</v>
      </c>
      <c r="D3012" s="0" t="n">
        <v>4</v>
      </c>
      <c r="E3012" s="0" t="str">
        <f aca="false">INDEX(lot!$B$2:$B$1201,MATCH(B3012,lot!$A$2:$A$1201,0))</f>
        <v>SUP-A</v>
      </c>
      <c r="F3012" s="3" t="n">
        <f aca="false">YEAR(A3012)*100+MONTH(A3012)</f>
        <v>202607</v>
      </c>
    </row>
    <row r="3013" customFormat="false" ht="15" hidden="false" customHeight="false" outlineLevel="0" collapsed="false">
      <c r="A3013" s="2" t="n">
        <v>46227</v>
      </c>
      <c r="B3013" s="3" t="s">
        <v>934</v>
      </c>
      <c r="C3013" s="0" t="n">
        <v>207</v>
      </c>
      <c r="D3013" s="0" t="n">
        <v>3</v>
      </c>
      <c r="E3013" s="0" t="str">
        <f aca="false">INDEX(lot!$B$2:$B$1201,MATCH(B3013,lot!$A$2:$A$1201,0))</f>
        <v>SUP-A</v>
      </c>
      <c r="F3013" s="3" t="n">
        <f aca="false">YEAR(A3013)*100+MONTH(A3013)</f>
        <v>202607</v>
      </c>
    </row>
    <row r="3014" customFormat="false" ht="15" hidden="false" customHeight="false" outlineLevel="0" collapsed="false">
      <c r="A3014" s="2" t="n">
        <v>46227</v>
      </c>
      <c r="B3014" s="3" t="s">
        <v>1056</v>
      </c>
      <c r="C3014" s="0" t="n">
        <v>68</v>
      </c>
      <c r="D3014" s="0" t="n">
        <v>3</v>
      </c>
      <c r="E3014" s="0" t="str">
        <f aca="false">INDEX(lot!$B$2:$B$1201,MATCH(B3014,lot!$A$2:$A$1201,0))</f>
        <v>SUP-C</v>
      </c>
      <c r="F3014" s="3" t="n">
        <f aca="false">YEAR(A3014)*100+MONTH(A3014)</f>
        <v>202607</v>
      </c>
    </row>
    <row r="3015" customFormat="false" ht="15" hidden="false" customHeight="false" outlineLevel="0" collapsed="false">
      <c r="A3015" s="2" t="n">
        <v>46227</v>
      </c>
      <c r="B3015" s="3" t="s">
        <v>1056</v>
      </c>
      <c r="C3015" s="0" t="n">
        <v>216</v>
      </c>
      <c r="D3015" s="0" t="n">
        <v>2</v>
      </c>
      <c r="E3015" s="0" t="str">
        <f aca="false">INDEX(lot!$B$2:$B$1201,MATCH(B3015,lot!$A$2:$A$1201,0))</f>
        <v>SUP-C</v>
      </c>
      <c r="F3015" s="3" t="n">
        <f aca="false">YEAR(A3015)*100+MONTH(A3015)</f>
        <v>202607</v>
      </c>
    </row>
    <row r="3016" customFormat="false" ht="15" hidden="false" customHeight="false" outlineLevel="0" collapsed="false">
      <c r="A3016" s="2" t="n">
        <v>46227</v>
      </c>
      <c r="B3016" s="3" t="s">
        <v>1078</v>
      </c>
      <c r="C3016" s="0" t="n">
        <v>149</v>
      </c>
      <c r="D3016" s="0" t="n">
        <v>1</v>
      </c>
      <c r="E3016" s="0" t="str">
        <f aca="false">INDEX(lot!$B$2:$B$1201,MATCH(B3016,lot!$A$2:$A$1201,0))</f>
        <v>SUP-D</v>
      </c>
      <c r="F3016" s="3" t="n">
        <f aca="false">YEAR(A3016)*100+MONTH(A3016)</f>
        <v>202607</v>
      </c>
    </row>
    <row r="3017" customFormat="false" ht="15" hidden="false" customHeight="false" outlineLevel="0" collapsed="false">
      <c r="A3017" s="2" t="n">
        <v>46227</v>
      </c>
      <c r="B3017" s="3" t="s">
        <v>1078</v>
      </c>
      <c r="C3017" s="0" t="n">
        <v>189</v>
      </c>
      <c r="D3017" s="0" t="n">
        <v>2</v>
      </c>
      <c r="E3017" s="0" t="str">
        <f aca="false">INDEX(lot!$B$2:$B$1201,MATCH(B3017,lot!$A$2:$A$1201,0))</f>
        <v>SUP-D</v>
      </c>
      <c r="F3017" s="3" t="n">
        <f aca="false">YEAR(A3017)*100+MONTH(A3017)</f>
        <v>202607</v>
      </c>
    </row>
    <row r="3018" customFormat="false" ht="15" hidden="false" customHeight="false" outlineLevel="0" collapsed="false">
      <c r="A3018" s="2" t="n">
        <v>46227</v>
      </c>
      <c r="B3018" s="3" t="s">
        <v>1086</v>
      </c>
      <c r="C3018" s="0" t="n">
        <v>189</v>
      </c>
      <c r="D3018" s="0" t="n">
        <v>6</v>
      </c>
      <c r="E3018" s="0" t="str">
        <f aca="false">INDEX(lot!$B$2:$B$1201,MATCH(B3018,lot!$A$2:$A$1201,0))</f>
        <v>SUP-A</v>
      </c>
      <c r="F3018" s="3" t="n">
        <f aca="false">YEAR(A3018)*100+MONTH(A3018)</f>
        <v>202607</v>
      </c>
    </row>
    <row r="3019" customFormat="false" ht="15" hidden="false" customHeight="false" outlineLevel="0" collapsed="false">
      <c r="A3019" s="2" t="n">
        <v>46227</v>
      </c>
      <c r="B3019" s="3" t="s">
        <v>1086</v>
      </c>
      <c r="C3019" s="0" t="n">
        <v>196</v>
      </c>
      <c r="D3019" s="0" t="n">
        <v>5</v>
      </c>
      <c r="E3019" s="0" t="str">
        <f aca="false">INDEX(lot!$B$2:$B$1201,MATCH(B3019,lot!$A$2:$A$1201,0))</f>
        <v>SUP-A</v>
      </c>
      <c r="F3019" s="3" t="n">
        <f aca="false">YEAR(A3019)*100+MONTH(A3019)</f>
        <v>202607</v>
      </c>
    </row>
    <row r="3020" customFormat="false" ht="15" hidden="false" customHeight="false" outlineLevel="0" collapsed="false">
      <c r="A3020" s="2" t="n">
        <v>46227</v>
      </c>
      <c r="B3020" s="3" t="s">
        <v>1102</v>
      </c>
      <c r="C3020" s="0" t="n">
        <v>189</v>
      </c>
      <c r="D3020" s="0" t="n">
        <v>1</v>
      </c>
      <c r="E3020" s="0" t="str">
        <f aca="false">INDEX(lot!$B$2:$B$1201,MATCH(B3020,lot!$A$2:$A$1201,0))</f>
        <v>SUP-E</v>
      </c>
      <c r="F3020" s="3" t="n">
        <f aca="false">YEAR(A3020)*100+MONTH(A3020)</f>
        <v>202607</v>
      </c>
    </row>
    <row r="3021" customFormat="false" ht="15" hidden="false" customHeight="false" outlineLevel="0" collapsed="false">
      <c r="A3021" s="2" t="n">
        <v>46227</v>
      </c>
      <c r="B3021" s="3" t="s">
        <v>1124</v>
      </c>
      <c r="C3021" s="0" t="n">
        <v>135</v>
      </c>
      <c r="D3021" s="0" t="n">
        <v>6</v>
      </c>
      <c r="E3021" s="0" t="str">
        <f aca="false">INDEX(lot!$B$2:$B$1201,MATCH(B3021,lot!$A$2:$A$1201,0))</f>
        <v>SUP-A</v>
      </c>
      <c r="F3021" s="3" t="n">
        <f aca="false">YEAR(A3021)*100+MONTH(A3021)</f>
        <v>202607</v>
      </c>
    </row>
    <row r="3022" customFormat="false" ht="15" hidden="false" customHeight="false" outlineLevel="0" collapsed="false">
      <c r="A3022" s="2" t="n">
        <v>46227</v>
      </c>
      <c r="B3022" s="3" t="s">
        <v>1175</v>
      </c>
      <c r="C3022" s="0" t="n">
        <v>65</v>
      </c>
      <c r="D3022" s="0" t="n">
        <v>1</v>
      </c>
      <c r="E3022" s="0" t="str">
        <f aca="false">INDEX(lot!$B$2:$B$1201,MATCH(B3022,lot!$A$2:$A$1201,0))</f>
        <v>SUP-A</v>
      </c>
      <c r="F3022" s="3" t="n">
        <f aca="false">YEAR(A3022)*100+MONTH(A3022)</f>
        <v>202607</v>
      </c>
    </row>
    <row r="3023" customFormat="false" ht="15" hidden="false" customHeight="false" outlineLevel="0" collapsed="false">
      <c r="A3023" s="2" t="n">
        <v>46227</v>
      </c>
      <c r="B3023" s="3" t="s">
        <v>1175</v>
      </c>
      <c r="C3023" s="0" t="n">
        <v>84</v>
      </c>
      <c r="D3023" s="0" t="n">
        <v>3</v>
      </c>
      <c r="E3023" s="0" t="str">
        <f aca="false">INDEX(lot!$B$2:$B$1201,MATCH(B3023,lot!$A$2:$A$1201,0))</f>
        <v>SUP-A</v>
      </c>
      <c r="F3023" s="3" t="n">
        <f aca="false">YEAR(A3023)*100+MONTH(A3023)</f>
        <v>202607</v>
      </c>
    </row>
    <row r="3024" customFormat="false" ht="15" hidden="false" customHeight="false" outlineLevel="0" collapsed="false">
      <c r="A3024" s="2" t="n">
        <v>46227</v>
      </c>
      <c r="B3024" s="3" t="s">
        <v>1183</v>
      </c>
      <c r="C3024" s="0" t="n">
        <v>248</v>
      </c>
      <c r="D3024" s="0" t="n">
        <v>8</v>
      </c>
      <c r="E3024" s="0" t="str">
        <f aca="false">INDEX(lot!$B$2:$B$1201,MATCH(B3024,lot!$A$2:$A$1201,0))</f>
        <v>SUP-C</v>
      </c>
      <c r="F3024" s="3" t="n">
        <f aca="false">YEAR(A3024)*100+MONTH(A3024)</f>
        <v>202607</v>
      </c>
    </row>
    <row r="3025" customFormat="false" ht="15" hidden="false" customHeight="false" outlineLevel="0" collapsed="false">
      <c r="A3025" s="2" t="n">
        <v>46227</v>
      </c>
      <c r="B3025" s="3" t="s">
        <v>1183</v>
      </c>
      <c r="C3025" s="0" t="n">
        <v>120</v>
      </c>
      <c r="D3025" s="0" t="n">
        <v>5</v>
      </c>
      <c r="E3025" s="0" t="str">
        <f aca="false">INDEX(lot!$B$2:$B$1201,MATCH(B3025,lot!$A$2:$A$1201,0))</f>
        <v>SUP-C</v>
      </c>
      <c r="F3025" s="3" t="n">
        <f aca="false">YEAR(A3025)*100+MONTH(A3025)</f>
        <v>202607</v>
      </c>
    </row>
    <row r="3026" customFormat="false" ht="15" hidden="false" customHeight="false" outlineLevel="0" collapsed="false">
      <c r="A3026" s="2" t="n">
        <v>46227</v>
      </c>
      <c r="B3026" s="3" t="s">
        <v>1188</v>
      </c>
      <c r="C3026" s="0" t="n">
        <v>120</v>
      </c>
      <c r="D3026" s="0" t="n">
        <v>0</v>
      </c>
      <c r="E3026" s="0" t="str">
        <f aca="false">INDEX(lot!$B$2:$B$1201,MATCH(B3026,lot!$A$2:$A$1201,0))</f>
        <v>SUP-A</v>
      </c>
      <c r="F3026" s="3" t="n">
        <f aca="false">YEAR(A3026)*100+MONTH(A3026)</f>
        <v>202607</v>
      </c>
    </row>
    <row r="3027" customFormat="false" ht="15" hidden="false" customHeight="false" outlineLevel="0" collapsed="false">
      <c r="A3027" s="2" t="n">
        <v>46230</v>
      </c>
      <c r="B3027" s="3" t="s">
        <v>30</v>
      </c>
      <c r="C3027" s="0" t="n">
        <v>118</v>
      </c>
      <c r="D3027" s="0" t="n">
        <v>1</v>
      </c>
      <c r="E3027" s="0" t="str">
        <f aca="false">INDEX(lot!$B$2:$B$1201,MATCH(B3027,lot!$A$2:$A$1201,0))</f>
        <v>SUP-A</v>
      </c>
      <c r="F3027" s="3" t="n">
        <f aca="false">YEAR(A3027)*100+MONTH(A3027)</f>
        <v>202607</v>
      </c>
    </row>
    <row r="3028" customFormat="false" ht="15" hidden="false" customHeight="false" outlineLevel="0" collapsed="false">
      <c r="A3028" s="2" t="n">
        <v>46230</v>
      </c>
      <c r="B3028" s="3" t="s">
        <v>30</v>
      </c>
      <c r="C3028" s="0" t="n">
        <v>117</v>
      </c>
      <c r="D3028" s="0" t="n">
        <v>1</v>
      </c>
      <c r="E3028" s="0" t="str">
        <f aca="false">INDEX(lot!$B$2:$B$1201,MATCH(B3028,lot!$A$2:$A$1201,0))</f>
        <v>SUP-A</v>
      </c>
      <c r="F3028" s="3" t="n">
        <f aca="false">YEAR(A3028)*100+MONTH(A3028)</f>
        <v>202607</v>
      </c>
    </row>
    <row r="3029" customFormat="false" ht="15" hidden="false" customHeight="false" outlineLevel="0" collapsed="false">
      <c r="A3029" s="2" t="n">
        <v>46230</v>
      </c>
      <c r="B3029" s="3" t="s">
        <v>137</v>
      </c>
      <c r="C3029" s="0" t="n">
        <v>105</v>
      </c>
      <c r="D3029" s="0" t="n">
        <v>2</v>
      </c>
      <c r="E3029" s="0" t="str">
        <f aca="false">INDEX(lot!$B$2:$B$1201,MATCH(B3029,lot!$A$2:$A$1201,0))</f>
        <v>SUP-A</v>
      </c>
      <c r="F3029" s="3" t="n">
        <f aca="false">YEAR(A3029)*100+MONTH(A3029)</f>
        <v>202607</v>
      </c>
    </row>
    <row r="3030" customFormat="false" ht="15" hidden="false" customHeight="false" outlineLevel="0" collapsed="false">
      <c r="A3030" s="2" t="n">
        <v>46230</v>
      </c>
      <c r="B3030" s="3" t="s">
        <v>137</v>
      </c>
      <c r="C3030" s="0" t="n">
        <v>147</v>
      </c>
      <c r="D3030" s="0" t="n">
        <v>3</v>
      </c>
      <c r="E3030" s="0" t="str">
        <f aca="false">INDEX(lot!$B$2:$B$1201,MATCH(B3030,lot!$A$2:$A$1201,0))</f>
        <v>SUP-A</v>
      </c>
      <c r="F3030" s="3" t="n">
        <f aca="false">YEAR(A3030)*100+MONTH(A3030)</f>
        <v>202607</v>
      </c>
    </row>
    <row r="3031" customFormat="false" ht="15" hidden="false" customHeight="false" outlineLevel="0" collapsed="false">
      <c r="A3031" s="2" t="n">
        <v>46230</v>
      </c>
      <c r="B3031" s="3" t="s">
        <v>176</v>
      </c>
      <c r="C3031" s="0" t="n">
        <v>240</v>
      </c>
      <c r="D3031" s="0" t="n">
        <v>8</v>
      </c>
      <c r="E3031" s="0" t="str">
        <f aca="false">INDEX(lot!$B$2:$B$1201,MATCH(B3031,lot!$A$2:$A$1201,0))</f>
        <v>SUP-A</v>
      </c>
      <c r="F3031" s="3" t="n">
        <f aca="false">YEAR(A3031)*100+MONTH(A3031)</f>
        <v>202607</v>
      </c>
    </row>
    <row r="3032" customFormat="false" ht="15" hidden="false" customHeight="false" outlineLevel="0" collapsed="false">
      <c r="A3032" s="2" t="n">
        <v>46230</v>
      </c>
      <c r="B3032" s="3" t="s">
        <v>195</v>
      </c>
      <c r="C3032" s="0" t="n">
        <v>121</v>
      </c>
      <c r="D3032" s="0" t="n">
        <v>0</v>
      </c>
      <c r="E3032" s="0" t="str">
        <f aca="false">INDEX(lot!$B$2:$B$1201,MATCH(B3032,lot!$A$2:$A$1201,0))</f>
        <v>SUP-D</v>
      </c>
      <c r="F3032" s="3" t="n">
        <f aca="false">YEAR(A3032)*100+MONTH(A3032)</f>
        <v>202607</v>
      </c>
    </row>
    <row r="3033" customFormat="false" ht="15" hidden="false" customHeight="false" outlineLevel="0" collapsed="false">
      <c r="A3033" s="2" t="n">
        <v>46230</v>
      </c>
      <c r="B3033" s="3" t="s">
        <v>195</v>
      </c>
      <c r="C3033" s="0" t="n">
        <v>88</v>
      </c>
      <c r="D3033" s="0" t="n">
        <v>1</v>
      </c>
      <c r="E3033" s="0" t="str">
        <f aca="false">INDEX(lot!$B$2:$B$1201,MATCH(B3033,lot!$A$2:$A$1201,0))</f>
        <v>SUP-D</v>
      </c>
      <c r="F3033" s="3" t="n">
        <f aca="false">YEAR(A3033)*100+MONTH(A3033)</f>
        <v>202607</v>
      </c>
    </row>
    <row r="3034" customFormat="false" ht="15" hidden="false" customHeight="false" outlineLevel="0" collapsed="false">
      <c r="A3034" s="2" t="n">
        <v>46230</v>
      </c>
      <c r="B3034" s="3" t="s">
        <v>227</v>
      </c>
      <c r="C3034" s="0" t="n">
        <v>189</v>
      </c>
      <c r="D3034" s="0" t="n">
        <v>1</v>
      </c>
      <c r="E3034" s="0" t="str">
        <f aca="false">INDEX(lot!$B$2:$B$1201,MATCH(B3034,lot!$A$2:$A$1201,0))</f>
        <v>SUP-D</v>
      </c>
      <c r="F3034" s="3" t="n">
        <f aca="false">YEAR(A3034)*100+MONTH(A3034)</f>
        <v>202607</v>
      </c>
    </row>
    <row r="3035" customFormat="false" ht="15" hidden="false" customHeight="false" outlineLevel="0" collapsed="false">
      <c r="A3035" s="2" t="n">
        <v>46230</v>
      </c>
      <c r="B3035" s="3" t="s">
        <v>227</v>
      </c>
      <c r="C3035" s="0" t="n">
        <v>104</v>
      </c>
      <c r="D3035" s="0" t="n">
        <v>0</v>
      </c>
      <c r="E3035" s="0" t="str">
        <f aca="false">INDEX(lot!$B$2:$B$1201,MATCH(B3035,lot!$A$2:$A$1201,0))</f>
        <v>SUP-D</v>
      </c>
      <c r="F3035" s="3" t="n">
        <f aca="false">YEAR(A3035)*100+MONTH(A3035)</f>
        <v>202607</v>
      </c>
    </row>
    <row r="3036" customFormat="false" ht="15" hidden="false" customHeight="false" outlineLevel="0" collapsed="false">
      <c r="A3036" s="2" t="n">
        <v>46230</v>
      </c>
      <c r="B3036" s="3" t="s">
        <v>298</v>
      </c>
      <c r="C3036" s="0" t="n">
        <v>234</v>
      </c>
      <c r="D3036" s="0" t="n">
        <v>2</v>
      </c>
      <c r="E3036" s="0" t="str">
        <f aca="false">INDEX(lot!$B$2:$B$1201,MATCH(B3036,lot!$A$2:$A$1201,0))</f>
        <v>SUP-D</v>
      </c>
      <c r="F3036" s="3" t="n">
        <f aca="false">YEAR(A3036)*100+MONTH(A3036)</f>
        <v>202607</v>
      </c>
    </row>
    <row r="3037" customFormat="false" ht="15" hidden="false" customHeight="false" outlineLevel="0" collapsed="false">
      <c r="A3037" s="2" t="n">
        <v>46230</v>
      </c>
      <c r="B3037" s="3" t="s">
        <v>298</v>
      </c>
      <c r="C3037" s="0" t="n">
        <v>158</v>
      </c>
      <c r="D3037" s="0" t="n">
        <v>0</v>
      </c>
      <c r="E3037" s="0" t="str">
        <f aca="false">INDEX(lot!$B$2:$B$1201,MATCH(B3037,lot!$A$2:$A$1201,0))</f>
        <v>SUP-D</v>
      </c>
      <c r="F3037" s="3" t="n">
        <f aca="false">YEAR(A3037)*100+MONTH(A3037)</f>
        <v>202607</v>
      </c>
    </row>
    <row r="3038" customFormat="false" ht="15" hidden="false" customHeight="false" outlineLevel="0" collapsed="false">
      <c r="A3038" s="2" t="n">
        <v>46230</v>
      </c>
      <c r="B3038" s="3" t="s">
        <v>401</v>
      </c>
      <c r="C3038" s="0" t="n">
        <v>120</v>
      </c>
      <c r="D3038" s="0" t="n">
        <v>3</v>
      </c>
      <c r="E3038" s="0" t="str">
        <f aca="false">INDEX(lot!$B$2:$B$1201,MATCH(B3038,lot!$A$2:$A$1201,0))</f>
        <v>SUP-A</v>
      </c>
      <c r="F3038" s="3" t="n">
        <f aca="false">YEAR(A3038)*100+MONTH(A3038)</f>
        <v>202607</v>
      </c>
    </row>
    <row r="3039" customFormat="false" ht="15" hidden="false" customHeight="false" outlineLevel="0" collapsed="false">
      <c r="A3039" s="2" t="n">
        <v>46230</v>
      </c>
      <c r="B3039" s="3" t="s">
        <v>410</v>
      </c>
      <c r="C3039" s="0" t="n">
        <v>210</v>
      </c>
      <c r="D3039" s="0" t="n">
        <v>1</v>
      </c>
      <c r="E3039" s="0" t="str">
        <f aca="false">INDEX(lot!$B$2:$B$1201,MATCH(B3039,lot!$A$2:$A$1201,0))</f>
        <v>SUP-D</v>
      </c>
      <c r="F3039" s="3" t="n">
        <f aca="false">YEAR(A3039)*100+MONTH(A3039)</f>
        <v>202607</v>
      </c>
    </row>
    <row r="3040" customFormat="false" ht="15" hidden="false" customHeight="false" outlineLevel="0" collapsed="false">
      <c r="A3040" s="2" t="n">
        <v>46230</v>
      </c>
      <c r="B3040" s="3" t="s">
        <v>410</v>
      </c>
      <c r="C3040" s="0" t="n">
        <v>94</v>
      </c>
      <c r="D3040" s="0" t="n">
        <v>0</v>
      </c>
      <c r="E3040" s="0" t="str">
        <f aca="false">INDEX(lot!$B$2:$B$1201,MATCH(B3040,lot!$A$2:$A$1201,0))</f>
        <v>SUP-D</v>
      </c>
      <c r="F3040" s="3" t="n">
        <f aca="false">YEAR(A3040)*100+MONTH(A3040)</f>
        <v>202607</v>
      </c>
    </row>
    <row r="3041" customFormat="false" ht="15" hidden="false" customHeight="false" outlineLevel="0" collapsed="false">
      <c r="A3041" s="2" t="n">
        <v>46230</v>
      </c>
      <c r="B3041" s="3" t="s">
        <v>455</v>
      </c>
      <c r="C3041" s="0" t="n">
        <v>202</v>
      </c>
      <c r="D3041" s="0" t="n">
        <v>1</v>
      </c>
      <c r="E3041" s="0" t="str">
        <f aca="false">INDEX(lot!$B$2:$B$1201,MATCH(B3041,lot!$A$2:$A$1201,0))</f>
        <v>SUP-D</v>
      </c>
      <c r="F3041" s="3" t="n">
        <f aca="false">YEAR(A3041)*100+MONTH(A3041)</f>
        <v>202607</v>
      </c>
    </row>
    <row r="3042" customFormat="false" ht="15" hidden="false" customHeight="false" outlineLevel="0" collapsed="false">
      <c r="A3042" s="2" t="n">
        <v>46230</v>
      </c>
      <c r="B3042" s="3" t="s">
        <v>455</v>
      </c>
      <c r="C3042" s="0" t="n">
        <v>165</v>
      </c>
      <c r="D3042" s="0" t="n">
        <v>3</v>
      </c>
      <c r="E3042" s="0" t="str">
        <f aca="false">INDEX(lot!$B$2:$B$1201,MATCH(B3042,lot!$A$2:$A$1201,0))</f>
        <v>SUP-D</v>
      </c>
      <c r="F3042" s="3" t="n">
        <f aca="false">YEAR(A3042)*100+MONTH(A3042)</f>
        <v>202607</v>
      </c>
    </row>
    <row r="3043" customFormat="false" ht="15" hidden="false" customHeight="false" outlineLevel="0" collapsed="false">
      <c r="A3043" s="2" t="n">
        <v>46230</v>
      </c>
      <c r="B3043" s="3" t="s">
        <v>475</v>
      </c>
      <c r="C3043" s="0" t="n">
        <v>186</v>
      </c>
      <c r="D3043" s="0" t="n">
        <v>1</v>
      </c>
      <c r="E3043" s="0" t="str">
        <f aca="false">INDEX(lot!$B$2:$B$1201,MATCH(B3043,lot!$A$2:$A$1201,0))</f>
        <v>SUP-D</v>
      </c>
      <c r="F3043" s="3" t="n">
        <f aca="false">YEAR(A3043)*100+MONTH(A3043)</f>
        <v>202607</v>
      </c>
    </row>
    <row r="3044" customFormat="false" ht="15" hidden="false" customHeight="false" outlineLevel="0" collapsed="false">
      <c r="A3044" s="2" t="n">
        <v>46230</v>
      </c>
      <c r="B3044" s="3" t="s">
        <v>475</v>
      </c>
      <c r="C3044" s="0" t="n">
        <v>130</v>
      </c>
      <c r="D3044" s="0" t="n">
        <v>1</v>
      </c>
      <c r="E3044" s="0" t="str">
        <f aca="false">INDEX(lot!$B$2:$B$1201,MATCH(B3044,lot!$A$2:$A$1201,0))</f>
        <v>SUP-D</v>
      </c>
      <c r="F3044" s="3" t="n">
        <f aca="false">YEAR(A3044)*100+MONTH(A3044)</f>
        <v>202607</v>
      </c>
    </row>
    <row r="3045" customFormat="false" ht="15" hidden="false" customHeight="false" outlineLevel="0" collapsed="false">
      <c r="A3045" s="2" t="n">
        <v>46230</v>
      </c>
      <c r="B3045" s="3" t="s">
        <v>553</v>
      </c>
      <c r="C3045" s="0" t="n">
        <v>129</v>
      </c>
      <c r="D3045" s="0" t="n">
        <v>4</v>
      </c>
      <c r="E3045" s="0" t="str">
        <f aca="false">INDEX(lot!$B$2:$B$1201,MATCH(B3045,lot!$A$2:$A$1201,0))</f>
        <v>SUP-C</v>
      </c>
      <c r="F3045" s="3" t="n">
        <f aca="false">YEAR(A3045)*100+MONTH(A3045)</f>
        <v>202607</v>
      </c>
    </row>
    <row r="3046" customFormat="false" ht="15" hidden="false" customHeight="false" outlineLevel="0" collapsed="false">
      <c r="A3046" s="2" t="n">
        <v>46230</v>
      </c>
      <c r="B3046" s="3" t="s">
        <v>684</v>
      </c>
      <c r="C3046" s="0" t="n">
        <v>119</v>
      </c>
      <c r="D3046" s="0" t="n">
        <v>5</v>
      </c>
      <c r="E3046" s="0" t="str">
        <f aca="false">INDEX(lot!$B$2:$B$1201,MATCH(B3046,lot!$A$2:$A$1201,0))</f>
        <v>SUP-C</v>
      </c>
      <c r="F3046" s="3" t="n">
        <f aca="false">YEAR(A3046)*100+MONTH(A3046)</f>
        <v>202607</v>
      </c>
    </row>
    <row r="3047" customFormat="false" ht="15" hidden="false" customHeight="false" outlineLevel="0" collapsed="false">
      <c r="A3047" s="2" t="n">
        <v>46230</v>
      </c>
      <c r="B3047" s="3" t="s">
        <v>719</v>
      </c>
      <c r="C3047" s="0" t="n">
        <v>207</v>
      </c>
      <c r="D3047" s="0" t="n">
        <v>3</v>
      </c>
      <c r="E3047" s="0" t="str">
        <f aca="false">INDEX(lot!$B$2:$B$1201,MATCH(B3047,lot!$A$2:$A$1201,0))</f>
        <v>SUP-D</v>
      </c>
      <c r="F3047" s="3" t="n">
        <f aca="false">YEAR(A3047)*100+MONTH(A3047)</f>
        <v>202607</v>
      </c>
    </row>
    <row r="3048" customFormat="false" ht="15" hidden="false" customHeight="false" outlineLevel="0" collapsed="false">
      <c r="A3048" s="2" t="n">
        <v>46230</v>
      </c>
      <c r="B3048" s="3" t="s">
        <v>719</v>
      </c>
      <c r="C3048" s="0" t="n">
        <v>101</v>
      </c>
      <c r="D3048" s="0" t="n">
        <v>3</v>
      </c>
      <c r="E3048" s="0" t="str">
        <f aca="false">INDEX(lot!$B$2:$B$1201,MATCH(B3048,lot!$A$2:$A$1201,0))</f>
        <v>SUP-D</v>
      </c>
      <c r="F3048" s="3" t="n">
        <f aca="false">YEAR(A3048)*100+MONTH(A3048)</f>
        <v>202607</v>
      </c>
    </row>
    <row r="3049" customFormat="false" ht="15" hidden="false" customHeight="false" outlineLevel="0" collapsed="false">
      <c r="A3049" s="2" t="n">
        <v>46230</v>
      </c>
      <c r="B3049" s="3" t="s">
        <v>824</v>
      </c>
      <c r="C3049" s="0" t="n">
        <v>85</v>
      </c>
      <c r="D3049" s="0" t="n">
        <v>1</v>
      </c>
      <c r="E3049" s="0" t="str">
        <f aca="false">INDEX(lot!$B$2:$B$1201,MATCH(B3049,lot!$A$2:$A$1201,0))</f>
        <v>SUP-E</v>
      </c>
      <c r="F3049" s="3" t="n">
        <f aca="false">YEAR(A3049)*100+MONTH(A3049)</f>
        <v>202607</v>
      </c>
    </row>
    <row r="3050" customFormat="false" ht="15" hidden="false" customHeight="false" outlineLevel="0" collapsed="false">
      <c r="A3050" s="2" t="n">
        <v>46230</v>
      </c>
      <c r="B3050" s="3" t="s">
        <v>872</v>
      </c>
      <c r="C3050" s="0" t="n">
        <v>201</v>
      </c>
      <c r="D3050" s="0" t="n">
        <v>3</v>
      </c>
      <c r="E3050" s="0" t="str">
        <f aca="false">INDEX(lot!$B$2:$B$1201,MATCH(B3050,lot!$A$2:$A$1201,0))</f>
        <v>SUP-E</v>
      </c>
      <c r="F3050" s="3" t="n">
        <f aca="false">YEAR(A3050)*100+MONTH(A3050)</f>
        <v>202607</v>
      </c>
    </row>
    <row r="3051" customFormat="false" ht="15" hidden="false" customHeight="false" outlineLevel="0" collapsed="false">
      <c r="A3051" s="2" t="n">
        <v>46230</v>
      </c>
      <c r="B3051" s="3" t="s">
        <v>872</v>
      </c>
      <c r="C3051" s="0" t="n">
        <v>251</v>
      </c>
      <c r="D3051" s="0" t="n">
        <v>2</v>
      </c>
      <c r="E3051" s="0" t="str">
        <f aca="false">INDEX(lot!$B$2:$B$1201,MATCH(B3051,lot!$A$2:$A$1201,0))</f>
        <v>SUP-E</v>
      </c>
      <c r="F3051" s="3" t="n">
        <f aca="false">YEAR(A3051)*100+MONTH(A3051)</f>
        <v>202607</v>
      </c>
    </row>
    <row r="3052" customFormat="false" ht="15" hidden="false" customHeight="false" outlineLevel="0" collapsed="false">
      <c r="A3052" s="2" t="n">
        <v>46230</v>
      </c>
      <c r="B3052" s="3" t="s">
        <v>935</v>
      </c>
      <c r="C3052" s="0" t="n">
        <v>244</v>
      </c>
      <c r="D3052" s="0" t="n">
        <v>4</v>
      </c>
      <c r="E3052" s="0" t="str">
        <f aca="false">INDEX(lot!$B$2:$B$1201,MATCH(B3052,lot!$A$2:$A$1201,0))</f>
        <v>SUP-D</v>
      </c>
      <c r="F3052" s="3" t="n">
        <f aca="false">YEAR(A3052)*100+MONTH(A3052)</f>
        <v>202607</v>
      </c>
    </row>
    <row r="3053" customFormat="false" ht="15" hidden="false" customHeight="false" outlineLevel="0" collapsed="false">
      <c r="A3053" s="2" t="n">
        <v>46230</v>
      </c>
      <c r="B3053" s="3" t="s">
        <v>1078</v>
      </c>
      <c r="C3053" s="0" t="n">
        <v>65</v>
      </c>
      <c r="D3053" s="0" t="n">
        <v>0</v>
      </c>
      <c r="E3053" s="0" t="str">
        <f aca="false">INDEX(lot!$B$2:$B$1201,MATCH(B3053,lot!$A$2:$A$1201,0))</f>
        <v>SUP-D</v>
      </c>
      <c r="F3053" s="3" t="n">
        <f aca="false">YEAR(A3053)*100+MONTH(A3053)</f>
        <v>202607</v>
      </c>
    </row>
    <row r="3054" customFormat="false" ht="15" hidden="false" customHeight="false" outlineLevel="0" collapsed="false">
      <c r="A3054" s="2" t="n">
        <v>46230</v>
      </c>
      <c r="B3054" s="3" t="s">
        <v>1078</v>
      </c>
      <c r="C3054" s="0" t="n">
        <v>75</v>
      </c>
      <c r="D3054" s="0" t="n">
        <v>0</v>
      </c>
      <c r="E3054" s="0" t="str">
        <f aca="false">INDEX(lot!$B$2:$B$1201,MATCH(B3054,lot!$A$2:$A$1201,0))</f>
        <v>SUP-D</v>
      </c>
      <c r="F3054" s="3" t="n">
        <f aca="false">YEAR(A3054)*100+MONTH(A3054)</f>
        <v>202607</v>
      </c>
    </row>
    <row r="3055" customFormat="false" ht="15" hidden="false" customHeight="false" outlineLevel="0" collapsed="false">
      <c r="A3055" s="2" t="n">
        <v>46230</v>
      </c>
      <c r="B3055" s="3" t="s">
        <v>1084</v>
      </c>
      <c r="C3055" s="0" t="n">
        <v>196</v>
      </c>
      <c r="D3055" s="0" t="n">
        <v>3</v>
      </c>
      <c r="E3055" s="0" t="str">
        <f aca="false">INDEX(lot!$B$2:$B$1201,MATCH(B3055,lot!$A$2:$A$1201,0))</f>
        <v>SUP-A</v>
      </c>
      <c r="F3055" s="3" t="n">
        <f aca="false">YEAR(A3055)*100+MONTH(A3055)</f>
        <v>202607</v>
      </c>
    </row>
    <row r="3056" customFormat="false" ht="15" hidden="false" customHeight="false" outlineLevel="0" collapsed="false">
      <c r="A3056" s="2" t="n">
        <v>46230</v>
      </c>
      <c r="B3056" s="3" t="s">
        <v>1086</v>
      </c>
      <c r="C3056" s="0" t="n">
        <v>130</v>
      </c>
      <c r="D3056" s="0" t="n">
        <v>4</v>
      </c>
      <c r="E3056" s="0" t="str">
        <f aca="false">INDEX(lot!$B$2:$B$1201,MATCH(B3056,lot!$A$2:$A$1201,0))</f>
        <v>SUP-A</v>
      </c>
      <c r="F3056" s="3" t="n">
        <f aca="false">YEAR(A3056)*100+MONTH(A3056)</f>
        <v>202607</v>
      </c>
    </row>
    <row r="3057" customFormat="false" ht="15" hidden="false" customHeight="false" outlineLevel="0" collapsed="false">
      <c r="A3057" s="2" t="n">
        <v>46230</v>
      </c>
      <c r="B3057" s="3" t="s">
        <v>1086</v>
      </c>
      <c r="C3057" s="0" t="n">
        <v>78</v>
      </c>
      <c r="D3057" s="0" t="n">
        <v>1</v>
      </c>
      <c r="E3057" s="0" t="str">
        <f aca="false">INDEX(lot!$B$2:$B$1201,MATCH(B3057,lot!$A$2:$A$1201,0))</f>
        <v>SUP-A</v>
      </c>
      <c r="F3057" s="3" t="n">
        <f aca="false">YEAR(A3057)*100+MONTH(A3057)</f>
        <v>202607</v>
      </c>
    </row>
    <row r="3058" customFormat="false" ht="15" hidden="false" customHeight="false" outlineLevel="0" collapsed="false">
      <c r="A3058" s="2" t="n">
        <v>46230</v>
      </c>
      <c r="B3058" s="3" t="s">
        <v>1102</v>
      </c>
      <c r="C3058" s="0" t="n">
        <v>79</v>
      </c>
      <c r="D3058" s="0" t="n">
        <v>0</v>
      </c>
      <c r="E3058" s="0" t="str">
        <f aca="false">INDEX(lot!$B$2:$B$1201,MATCH(B3058,lot!$A$2:$A$1201,0))</f>
        <v>SUP-E</v>
      </c>
      <c r="F3058" s="3" t="n">
        <f aca="false">YEAR(A3058)*100+MONTH(A3058)</f>
        <v>202607</v>
      </c>
    </row>
    <row r="3059" customFormat="false" ht="15" hidden="false" customHeight="false" outlineLevel="0" collapsed="false">
      <c r="A3059" s="2" t="n">
        <v>46230</v>
      </c>
      <c r="B3059" s="3" t="s">
        <v>1175</v>
      </c>
      <c r="C3059" s="0" t="n">
        <v>147</v>
      </c>
      <c r="D3059" s="0" t="n">
        <v>4</v>
      </c>
      <c r="E3059" s="0" t="str">
        <f aca="false">INDEX(lot!$B$2:$B$1201,MATCH(B3059,lot!$A$2:$A$1201,0))</f>
        <v>SUP-A</v>
      </c>
      <c r="F3059" s="3" t="n">
        <f aca="false">YEAR(A3059)*100+MONTH(A3059)</f>
        <v>202607</v>
      </c>
    </row>
    <row r="3060" customFormat="false" ht="15" hidden="false" customHeight="false" outlineLevel="0" collapsed="false">
      <c r="A3060" s="2" t="n">
        <v>46231</v>
      </c>
      <c r="B3060" s="3" t="s">
        <v>137</v>
      </c>
      <c r="C3060" s="0" t="n">
        <v>134</v>
      </c>
      <c r="D3060" s="0" t="n">
        <v>3</v>
      </c>
      <c r="E3060" s="0" t="str">
        <f aca="false">INDEX(lot!$B$2:$B$1201,MATCH(B3060,lot!$A$2:$A$1201,0))</f>
        <v>SUP-A</v>
      </c>
      <c r="F3060" s="3" t="n">
        <f aca="false">YEAR(A3060)*100+MONTH(A3060)</f>
        <v>202607</v>
      </c>
    </row>
    <row r="3061" customFormat="false" ht="15" hidden="false" customHeight="false" outlineLevel="0" collapsed="false">
      <c r="A3061" s="2" t="n">
        <v>46231</v>
      </c>
      <c r="B3061" s="3" t="s">
        <v>176</v>
      </c>
      <c r="C3061" s="0" t="n">
        <v>78</v>
      </c>
      <c r="D3061" s="0" t="n">
        <v>2</v>
      </c>
      <c r="E3061" s="0" t="str">
        <f aca="false">INDEX(lot!$B$2:$B$1201,MATCH(B3061,lot!$A$2:$A$1201,0))</f>
        <v>SUP-A</v>
      </c>
      <c r="F3061" s="3" t="n">
        <f aca="false">YEAR(A3061)*100+MONTH(A3061)</f>
        <v>202607</v>
      </c>
    </row>
    <row r="3062" customFormat="false" ht="15" hidden="false" customHeight="false" outlineLevel="0" collapsed="false">
      <c r="A3062" s="2" t="n">
        <v>46231</v>
      </c>
      <c r="B3062" s="3" t="s">
        <v>190</v>
      </c>
      <c r="C3062" s="0" t="n">
        <v>184</v>
      </c>
      <c r="D3062" s="0" t="n">
        <v>3</v>
      </c>
      <c r="E3062" s="0" t="str">
        <f aca="false">INDEX(lot!$B$2:$B$1201,MATCH(B3062,lot!$A$2:$A$1201,0))</f>
        <v>SUP-D</v>
      </c>
      <c r="F3062" s="3" t="n">
        <f aca="false">YEAR(A3062)*100+MONTH(A3062)</f>
        <v>202607</v>
      </c>
    </row>
    <row r="3063" customFormat="false" ht="15" hidden="false" customHeight="false" outlineLevel="0" collapsed="false">
      <c r="A3063" s="2" t="n">
        <v>46231</v>
      </c>
      <c r="B3063" s="3" t="s">
        <v>227</v>
      </c>
      <c r="C3063" s="0" t="n">
        <v>113</v>
      </c>
      <c r="D3063" s="0" t="n">
        <v>2</v>
      </c>
      <c r="E3063" s="0" t="str">
        <f aca="false">INDEX(lot!$B$2:$B$1201,MATCH(B3063,lot!$A$2:$A$1201,0))</f>
        <v>SUP-D</v>
      </c>
      <c r="F3063" s="3" t="n">
        <f aca="false">YEAR(A3063)*100+MONTH(A3063)</f>
        <v>202607</v>
      </c>
    </row>
    <row r="3064" customFormat="false" ht="15" hidden="false" customHeight="false" outlineLevel="0" collapsed="false">
      <c r="A3064" s="2" t="n">
        <v>46231</v>
      </c>
      <c r="B3064" s="3" t="s">
        <v>264</v>
      </c>
      <c r="C3064" s="0" t="n">
        <v>215</v>
      </c>
      <c r="D3064" s="0" t="n">
        <v>6</v>
      </c>
      <c r="E3064" s="0" t="str">
        <f aca="false">INDEX(lot!$B$2:$B$1201,MATCH(B3064,lot!$A$2:$A$1201,0))</f>
        <v>SUP-A</v>
      </c>
      <c r="F3064" s="3" t="n">
        <f aca="false">YEAR(A3064)*100+MONTH(A3064)</f>
        <v>202607</v>
      </c>
    </row>
    <row r="3065" customFormat="false" ht="15" hidden="false" customHeight="false" outlineLevel="0" collapsed="false">
      <c r="A3065" s="2" t="n">
        <v>46231</v>
      </c>
      <c r="B3065" s="3" t="s">
        <v>264</v>
      </c>
      <c r="C3065" s="0" t="n">
        <v>126</v>
      </c>
      <c r="D3065" s="0" t="n">
        <v>4</v>
      </c>
      <c r="E3065" s="0" t="str">
        <f aca="false">INDEX(lot!$B$2:$B$1201,MATCH(B3065,lot!$A$2:$A$1201,0))</f>
        <v>SUP-A</v>
      </c>
      <c r="F3065" s="3" t="n">
        <f aca="false">YEAR(A3065)*100+MONTH(A3065)</f>
        <v>202607</v>
      </c>
    </row>
    <row r="3066" customFormat="false" ht="15" hidden="false" customHeight="false" outlineLevel="0" collapsed="false">
      <c r="A3066" s="2" t="n">
        <v>46231</v>
      </c>
      <c r="B3066" s="3" t="s">
        <v>298</v>
      </c>
      <c r="C3066" s="0" t="n">
        <v>219</v>
      </c>
      <c r="D3066" s="0" t="n">
        <v>1</v>
      </c>
      <c r="E3066" s="0" t="str">
        <f aca="false">INDEX(lot!$B$2:$B$1201,MATCH(B3066,lot!$A$2:$A$1201,0))</f>
        <v>SUP-D</v>
      </c>
      <c r="F3066" s="3" t="n">
        <f aca="false">YEAR(A3066)*100+MONTH(A3066)</f>
        <v>202607</v>
      </c>
    </row>
    <row r="3067" customFormat="false" ht="15" hidden="false" customHeight="false" outlineLevel="0" collapsed="false">
      <c r="A3067" s="2" t="n">
        <v>46231</v>
      </c>
      <c r="B3067" s="3" t="s">
        <v>298</v>
      </c>
      <c r="C3067" s="0" t="n">
        <v>208</v>
      </c>
      <c r="D3067" s="0" t="n">
        <v>3</v>
      </c>
      <c r="E3067" s="0" t="str">
        <f aca="false">INDEX(lot!$B$2:$B$1201,MATCH(B3067,lot!$A$2:$A$1201,0))</f>
        <v>SUP-D</v>
      </c>
      <c r="F3067" s="3" t="n">
        <f aca="false">YEAR(A3067)*100+MONTH(A3067)</f>
        <v>202607</v>
      </c>
    </row>
    <row r="3068" customFormat="false" ht="15" hidden="false" customHeight="false" outlineLevel="0" collapsed="false">
      <c r="A3068" s="2" t="n">
        <v>46231</v>
      </c>
      <c r="B3068" s="3" t="s">
        <v>455</v>
      </c>
      <c r="C3068" s="0" t="n">
        <v>76</v>
      </c>
      <c r="D3068" s="0" t="n">
        <v>0</v>
      </c>
      <c r="E3068" s="0" t="str">
        <f aca="false">INDEX(lot!$B$2:$B$1201,MATCH(B3068,lot!$A$2:$A$1201,0))</f>
        <v>SUP-D</v>
      </c>
      <c r="F3068" s="3" t="n">
        <f aca="false">YEAR(A3068)*100+MONTH(A3068)</f>
        <v>202607</v>
      </c>
    </row>
    <row r="3069" customFormat="false" ht="15" hidden="false" customHeight="false" outlineLevel="0" collapsed="false">
      <c r="A3069" s="2" t="n">
        <v>46231</v>
      </c>
      <c r="B3069" s="3" t="s">
        <v>468</v>
      </c>
      <c r="C3069" s="0" t="n">
        <v>236</v>
      </c>
      <c r="D3069" s="0" t="n">
        <v>1</v>
      </c>
      <c r="E3069" s="0" t="str">
        <f aca="false">INDEX(lot!$B$2:$B$1201,MATCH(B3069,lot!$A$2:$A$1201,0))</f>
        <v>SUP-D</v>
      </c>
      <c r="F3069" s="3" t="n">
        <f aca="false">YEAR(A3069)*100+MONTH(A3069)</f>
        <v>202607</v>
      </c>
    </row>
    <row r="3070" customFormat="false" ht="15" hidden="false" customHeight="false" outlineLevel="0" collapsed="false">
      <c r="A3070" s="2" t="n">
        <v>46231</v>
      </c>
      <c r="B3070" s="3" t="s">
        <v>468</v>
      </c>
      <c r="C3070" s="0" t="n">
        <v>237</v>
      </c>
      <c r="D3070" s="0" t="n">
        <v>2</v>
      </c>
      <c r="E3070" s="0" t="str">
        <f aca="false">INDEX(lot!$B$2:$B$1201,MATCH(B3070,lot!$A$2:$A$1201,0))</f>
        <v>SUP-D</v>
      </c>
      <c r="F3070" s="3" t="n">
        <f aca="false">YEAR(A3070)*100+MONTH(A3070)</f>
        <v>202607</v>
      </c>
    </row>
    <row r="3071" customFormat="false" ht="15" hidden="false" customHeight="false" outlineLevel="0" collapsed="false">
      <c r="A3071" s="2" t="n">
        <v>46231</v>
      </c>
      <c r="B3071" s="3" t="s">
        <v>553</v>
      </c>
      <c r="C3071" s="0" t="n">
        <v>165</v>
      </c>
      <c r="D3071" s="0" t="n">
        <v>0</v>
      </c>
      <c r="E3071" s="0" t="str">
        <f aca="false">INDEX(lot!$B$2:$B$1201,MATCH(B3071,lot!$A$2:$A$1201,0))</f>
        <v>SUP-C</v>
      </c>
      <c r="F3071" s="3" t="n">
        <f aca="false">YEAR(A3071)*100+MONTH(A3071)</f>
        <v>202607</v>
      </c>
    </row>
    <row r="3072" customFormat="false" ht="15" hidden="false" customHeight="false" outlineLevel="0" collapsed="false">
      <c r="A3072" s="2" t="n">
        <v>46231</v>
      </c>
      <c r="B3072" s="3" t="s">
        <v>793</v>
      </c>
      <c r="C3072" s="0" t="n">
        <v>135</v>
      </c>
      <c r="D3072" s="0" t="n">
        <v>2</v>
      </c>
      <c r="E3072" s="0" t="str">
        <f aca="false">INDEX(lot!$B$2:$B$1201,MATCH(B3072,lot!$A$2:$A$1201,0))</f>
        <v>SUP-B</v>
      </c>
      <c r="F3072" s="3" t="n">
        <f aca="false">YEAR(A3072)*100+MONTH(A3072)</f>
        <v>202607</v>
      </c>
    </row>
    <row r="3073" customFormat="false" ht="15" hidden="false" customHeight="false" outlineLevel="0" collapsed="false">
      <c r="A3073" s="2" t="n">
        <v>46231</v>
      </c>
      <c r="B3073" s="3" t="s">
        <v>793</v>
      </c>
      <c r="C3073" s="0" t="n">
        <v>221</v>
      </c>
      <c r="D3073" s="0" t="n">
        <v>4</v>
      </c>
      <c r="E3073" s="0" t="str">
        <f aca="false">INDEX(lot!$B$2:$B$1201,MATCH(B3073,lot!$A$2:$A$1201,0))</f>
        <v>SUP-B</v>
      </c>
      <c r="F3073" s="3" t="n">
        <f aca="false">YEAR(A3073)*100+MONTH(A3073)</f>
        <v>202607</v>
      </c>
    </row>
    <row r="3074" customFormat="false" ht="15" hidden="false" customHeight="false" outlineLevel="0" collapsed="false">
      <c r="A3074" s="2" t="n">
        <v>46231</v>
      </c>
      <c r="B3074" s="3" t="s">
        <v>822</v>
      </c>
      <c r="C3074" s="0" t="n">
        <v>76</v>
      </c>
      <c r="D3074" s="0" t="n">
        <v>0</v>
      </c>
      <c r="E3074" s="0" t="str">
        <f aca="false">INDEX(lot!$B$2:$B$1201,MATCH(B3074,lot!$A$2:$A$1201,0))</f>
        <v>SUP-D</v>
      </c>
      <c r="F3074" s="3" t="n">
        <f aca="false">YEAR(A3074)*100+MONTH(A3074)</f>
        <v>202607</v>
      </c>
    </row>
    <row r="3075" customFormat="false" ht="15" hidden="false" customHeight="false" outlineLevel="0" collapsed="false">
      <c r="A3075" s="2" t="n">
        <v>46231</v>
      </c>
      <c r="B3075" s="3" t="s">
        <v>822</v>
      </c>
      <c r="C3075" s="0" t="n">
        <v>152</v>
      </c>
      <c r="D3075" s="0" t="n">
        <v>0</v>
      </c>
      <c r="E3075" s="0" t="str">
        <f aca="false">INDEX(lot!$B$2:$B$1201,MATCH(B3075,lot!$A$2:$A$1201,0))</f>
        <v>SUP-D</v>
      </c>
      <c r="F3075" s="3" t="n">
        <f aca="false">YEAR(A3075)*100+MONTH(A3075)</f>
        <v>202607</v>
      </c>
    </row>
    <row r="3076" customFormat="false" ht="15" hidden="false" customHeight="false" outlineLevel="0" collapsed="false">
      <c r="A3076" s="2" t="n">
        <v>46231</v>
      </c>
      <c r="B3076" s="3" t="s">
        <v>872</v>
      </c>
      <c r="C3076" s="0" t="n">
        <v>138</v>
      </c>
      <c r="D3076" s="0" t="n">
        <v>1</v>
      </c>
      <c r="E3076" s="0" t="str">
        <f aca="false">INDEX(lot!$B$2:$B$1201,MATCH(B3076,lot!$A$2:$A$1201,0))</f>
        <v>SUP-E</v>
      </c>
      <c r="F3076" s="3" t="n">
        <f aca="false">YEAR(A3076)*100+MONTH(A3076)</f>
        <v>202607</v>
      </c>
    </row>
    <row r="3077" customFormat="false" ht="15" hidden="false" customHeight="false" outlineLevel="0" collapsed="false">
      <c r="A3077" s="2" t="n">
        <v>46231</v>
      </c>
      <c r="B3077" s="3" t="s">
        <v>872</v>
      </c>
      <c r="C3077" s="0" t="n">
        <v>234</v>
      </c>
      <c r="D3077" s="0" t="n">
        <v>3</v>
      </c>
      <c r="E3077" s="0" t="str">
        <f aca="false">INDEX(lot!$B$2:$B$1201,MATCH(B3077,lot!$A$2:$A$1201,0))</f>
        <v>SUP-E</v>
      </c>
      <c r="F3077" s="3" t="n">
        <f aca="false">YEAR(A3077)*100+MONTH(A3077)</f>
        <v>202607</v>
      </c>
    </row>
    <row r="3078" customFormat="false" ht="15" hidden="false" customHeight="false" outlineLevel="0" collapsed="false">
      <c r="A3078" s="2" t="n">
        <v>46231</v>
      </c>
      <c r="B3078" s="3" t="s">
        <v>935</v>
      </c>
      <c r="C3078" s="0" t="n">
        <v>252</v>
      </c>
      <c r="D3078" s="0" t="n">
        <v>1</v>
      </c>
      <c r="E3078" s="0" t="str">
        <f aca="false">INDEX(lot!$B$2:$B$1201,MATCH(B3078,lot!$A$2:$A$1201,0))</f>
        <v>SUP-D</v>
      </c>
      <c r="F3078" s="3" t="n">
        <f aca="false">YEAR(A3078)*100+MONTH(A3078)</f>
        <v>202607</v>
      </c>
    </row>
    <row r="3079" customFormat="false" ht="15" hidden="false" customHeight="false" outlineLevel="0" collapsed="false">
      <c r="A3079" s="2" t="n">
        <v>46231</v>
      </c>
      <c r="B3079" s="3" t="s">
        <v>935</v>
      </c>
      <c r="C3079" s="0" t="n">
        <v>231</v>
      </c>
      <c r="D3079" s="0" t="n">
        <v>0</v>
      </c>
      <c r="E3079" s="0" t="str">
        <f aca="false">INDEX(lot!$B$2:$B$1201,MATCH(B3079,lot!$A$2:$A$1201,0))</f>
        <v>SUP-D</v>
      </c>
      <c r="F3079" s="3" t="n">
        <f aca="false">YEAR(A3079)*100+MONTH(A3079)</f>
        <v>202607</v>
      </c>
    </row>
    <row r="3080" customFormat="false" ht="15" hidden="false" customHeight="false" outlineLevel="0" collapsed="false">
      <c r="A3080" s="2" t="n">
        <v>46231</v>
      </c>
      <c r="B3080" s="3" t="s">
        <v>939</v>
      </c>
      <c r="C3080" s="0" t="n">
        <v>66</v>
      </c>
      <c r="D3080" s="0" t="n">
        <v>0</v>
      </c>
      <c r="E3080" s="0" t="str">
        <f aca="false">INDEX(lot!$B$2:$B$1201,MATCH(B3080,lot!$A$2:$A$1201,0))</f>
        <v>SUP-E</v>
      </c>
      <c r="F3080" s="3" t="n">
        <f aca="false">YEAR(A3080)*100+MONTH(A3080)</f>
        <v>202607</v>
      </c>
    </row>
    <row r="3081" customFormat="false" ht="15" hidden="false" customHeight="false" outlineLevel="0" collapsed="false">
      <c r="A3081" s="2" t="n">
        <v>46231</v>
      </c>
      <c r="B3081" s="3" t="s">
        <v>939</v>
      </c>
      <c r="C3081" s="0" t="n">
        <v>125</v>
      </c>
      <c r="D3081" s="0" t="n">
        <v>0</v>
      </c>
      <c r="E3081" s="0" t="str">
        <f aca="false">INDEX(lot!$B$2:$B$1201,MATCH(B3081,lot!$A$2:$A$1201,0))</f>
        <v>SUP-E</v>
      </c>
      <c r="F3081" s="3" t="n">
        <f aca="false">YEAR(A3081)*100+MONTH(A3081)</f>
        <v>202607</v>
      </c>
    </row>
    <row r="3082" customFormat="false" ht="15" hidden="false" customHeight="false" outlineLevel="0" collapsed="false">
      <c r="A3082" s="2" t="n">
        <v>46231</v>
      </c>
      <c r="B3082" s="3" t="s">
        <v>1003</v>
      </c>
      <c r="C3082" s="0" t="n">
        <v>125</v>
      </c>
      <c r="D3082" s="0" t="n">
        <v>2</v>
      </c>
      <c r="E3082" s="0" t="str">
        <f aca="false">INDEX(lot!$B$2:$B$1201,MATCH(B3082,lot!$A$2:$A$1201,0))</f>
        <v>SUP-D</v>
      </c>
      <c r="F3082" s="3" t="n">
        <f aca="false">YEAR(A3082)*100+MONTH(A3082)</f>
        <v>202607</v>
      </c>
    </row>
    <row r="3083" customFormat="false" ht="15" hidden="false" customHeight="false" outlineLevel="0" collapsed="false">
      <c r="A3083" s="2" t="n">
        <v>46231</v>
      </c>
      <c r="B3083" s="3" t="s">
        <v>1003</v>
      </c>
      <c r="C3083" s="0" t="n">
        <v>181</v>
      </c>
      <c r="D3083" s="0" t="n">
        <v>0</v>
      </c>
      <c r="E3083" s="0" t="str">
        <f aca="false">INDEX(lot!$B$2:$B$1201,MATCH(B3083,lot!$A$2:$A$1201,0))</f>
        <v>SUP-D</v>
      </c>
      <c r="F3083" s="3" t="n">
        <f aca="false">YEAR(A3083)*100+MONTH(A3083)</f>
        <v>202607</v>
      </c>
    </row>
    <row r="3084" customFormat="false" ht="15" hidden="false" customHeight="false" outlineLevel="0" collapsed="false">
      <c r="A3084" s="2" t="n">
        <v>46231</v>
      </c>
      <c r="B3084" s="3" t="s">
        <v>1078</v>
      </c>
      <c r="C3084" s="0" t="n">
        <v>96</v>
      </c>
      <c r="D3084" s="0" t="n">
        <v>0</v>
      </c>
      <c r="E3084" s="0" t="str">
        <f aca="false">INDEX(lot!$B$2:$B$1201,MATCH(B3084,lot!$A$2:$A$1201,0))</f>
        <v>SUP-D</v>
      </c>
      <c r="F3084" s="3" t="n">
        <f aca="false">YEAR(A3084)*100+MONTH(A3084)</f>
        <v>202607</v>
      </c>
    </row>
    <row r="3085" customFormat="false" ht="15" hidden="false" customHeight="false" outlineLevel="0" collapsed="false">
      <c r="A3085" s="2" t="n">
        <v>46231</v>
      </c>
      <c r="B3085" s="3" t="s">
        <v>1078</v>
      </c>
      <c r="C3085" s="0" t="n">
        <v>247</v>
      </c>
      <c r="D3085" s="0" t="n">
        <v>2</v>
      </c>
      <c r="E3085" s="0" t="str">
        <f aca="false">INDEX(lot!$B$2:$B$1201,MATCH(B3085,lot!$A$2:$A$1201,0))</f>
        <v>SUP-D</v>
      </c>
      <c r="F3085" s="3" t="n">
        <f aca="false">YEAR(A3085)*100+MONTH(A3085)</f>
        <v>202607</v>
      </c>
    </row>
    <row r="3086" customFormat="false" ht="15" hidden="false" customHeight="false" outlineLevel="0" collapsed="false">
      <c r="A3086" s="2" t="n">
        <v>46231</v>
      </c>
      <c r="B3086" s="3" t="s">
        <v>1151</v>
      </c>
      <c r="C3086" s="0" t="n">
        <v>244</v>
      </c>
      <c r="D3086" s="0" t="n">
        <v>1</v>
      </c>
      <c r="E3086" s="0" t="str">
        <f aca="false">INDEX(lot!$B$2:$B$1201,MATCH(B3086,lot!$A$2:$A$1201,0))</f>
        <v>SUP-D</v>
      </c>
      <c r="F3086" s="3" t="n">
        <f aca="false">YEAR(A3086)*100+MONTH(A3086)</f>
        <v>202607</v>
      </c>
    </row>
    <row r="3087" customFormat="false" ht="15" hidden="false" customHeight="false" outlineLevel="0" collapsed="false">
      <c r="A3087" s="2" t="n">
        <v>46231</v>
      </c>
      <c r="B3087" s="3" t="s">
        <v>1192</v>
      </c>
      <c r="C3087" s="0" t="n">
        <v>137</v>
      </c>
      <c r="D3087" s="0" t="n">
        <v>0</v>
      </c>
      <c r="E3087" s="0" t="str">
        <f aca="false">INDEX(lot!$B$2:$B$1201,MATCH(B3087,lot!$A$2:$A$1201,0))</f>
        <v>SUP-D</v>
      </c>
      <c r="F3087" s="3" t="n">
        <f aca="false">YEAR(A3087)*100+MONTH(A3087)</f>
        <v>202607</v>
      </c>
    </row>
    <row r="3088" customFormat="false" ht="15" hidden="false" customHeight="false" outlineLevel="0" collapsed="false">
      <c r="A3088" s="2" t="n">
        <v>46231</v>
      </c>
      <c r="B3088" s="3" t="s">
        <v>1192</v>
      </c>
      <c r="C3088" s="0" t="n">
        <v>104</v>
      </c>
      <c r="D3088" s="0" t="n">
        <v>2</v>
      </c>
      <c r="E3088" s="0" t="str">
        <f aca="false">INDEX(lot!$B$2:$B$1201,MATCH(B3088,lot!$A$2:$A$1201,0))</f>
        <v>SUP-D</v>
      </c>
      <c r="F3088" s="3" t="n">
        <f aca="false">YEAR(A3088)*100+MONTH(A3088)</f>
        <v>202607</v>
      </c>
    </row>
    <row r="3089" customFormat="false" ht="15" hidden="false" customHeight="false" outlineLevel="0" collapsed="false">
      <c r="A3089" s="2" t="n">
        <v>46232</v>
      </c>
      <c r="B3089" s="3" t="s">
        <v>60</v>
      </c>
      <c r="C3089" s="0" t="n">
        <v>154</v>
      </c>
      <c r="D3089" s="0" t="n">
        <v>1</v>
      </c>
      <c r="E3089" s="0" t="str">
        <f aca="false">INDEX(lot!$B$2:$B$1201,MATCH(B3089,lot!$A$2:$A$1201,0))</f>
        <v>SUP-E</v>
      </c>
      <c r="F3089" s="3" t="n">
        <f aca="false">YEAR(A3089)*100+MONTH(A3089)</f>
        <v>202607</v>
      </c>
    </row>
    <row r="3090" customFormat="false" ht="15" hidden="false" customHeight="false" outlineLevel="0" collapsed="false">
      <c r="A3090" s="2" t="n">
        <v>46232</v>
      </c>
      <c r="B3090" s="3" t="s">
        <v>60</v>
      </c>
      <c r="C3090" s="0" t="n">
        <v>244</v>
      </c>
      <c r="D3090" s="0" t="n">
        <v>3</v>
      </c>
      <c r="E3090" s="0" t="str">
        <f aca="false">INDEX(lot!$B$2:$B$1201,MATCH(B3090,lot!$A$2:$A$1201,0))</f>
        <v>SUP-E</v>
      </c>
      <c r="F3090" s="3" t="n">
        <f aca="false">YEAR(A3090)*100+MONTH(A3090)</f>
        <v>202607</v>
      </c>
    </row>
    <row r="3091" customFormat="false" ht="15" hidden="false" customHeight="false" outlineLevel="0" collapsed="false">
      <c r="A3091" s="2" t="n">
        <v>46232</v>
      </c>
      <c r="B3091" s="3" t="s">
        <v>64</v>
      </c>
      <c r="C3091" s="0" t="n">
        <v>130</v>
      </c>
      <c r="D3091" s="0" t="n">
        <v>3</v>
      </c>
      <c r="E3091" s="0" t="str">
        <f aca="false">INDEX(lot!$B$2:$B$1201,MATCH(B3091,lot!$A$2:$A$1201,0))</f>
        <v>SUP-C</v>
      </c>
      <c r="F3091" s="3" t="n">
        <f aca="false">YEAR(A3091)*100+MONTH(A3091)</f>
        <v>202607</v>
      </c>
    </row>
    <row r="3092" customFormat="false" ht="15" hidden="false" customHeight="false" outlineLevel="0" collapsed="false">
      <c r="A3092" s="2" t="n">
        <v>46232</v>
      </c>
      <c r="B3092" s="3" t="s">
        <v>190</v>
      </c>
      <c r="C3092" s="0" t="n">
        <v>199</v>
      </c>
      <c r="D3092" s="0" t="n">
        <v>3</v>
      </c>
      <c r="E3092" s="0" t="str">
        <f aca="false">INDEX(lot!$B$2:$B$1201,MATCH(B3092,lot!$A$2:$A$1201,0))</f>
        <v>SUP-D</v>
      </c>
      <c r="F3092" s="3" t="n">
        <f aca="false">YEAR(A3092)*100+MONTH(A3092)</f>
        <v>202607</v>
      </c>
    </row>
    <row r="3093" customFormat="false" ht="15" hidden="false" customHeight="false" outlineLevel="0" collapsed="false">
      <c r="A3093" s="2" t="n">
        <v>46232</v>
      </c>
      <c r="B3093" s="3" t="s">
        <v>227</v>
      </c>
      <c r="C3093" s="0" t="n">
        <v>146</v>
      </c>
      <c r="D3093" s="0" t="n">
        <v>0</v>
      </c>
      <c r="E3093" s="0" t="str">
        <f aca="false">INDEX(lot!$B$2:$B$1201,MATCH(B3093,lot!$A$2:$A$1201,0))</f>
        <v>SUP-D</v>
      </c>
      <c r="F3093" s="3" t="n">
        <f aca="false">YEAR(A3093)*100+MONTH(A3093)</f>
        <v>202607</v>
      </c>
    </row>
    <row r="3094" customFormat="false" ht="15" hidden="false" customHeight="false" outlineLevel="0" collapsed="false">
      <c r="A3094" s="2" t="n">
        <v>46232</v>
      </c>
      <c r="B3094" s="3" t="s">
        <v>227</v>
      </c>
      <c r="C3094" s="0" t="n">
        <v>172</v>
      </c>
      <c r="D3094" s="0" t="n">
        <v>1</v>
      </c>
      <c r="E3094" s="0" t="str">
        <f aca="false">INDEX(lot!$B$2:$B$1201,MATCH(B3094,lot!$A$2:$A$1201,0))</f>
        <v>SUP-D</v>
      </c>
      <c r="F3094" s="3" t="n">
        <f aca="false">YEAR(A3094)*100+MONTH(A3094)</f>
        <v>202607</v>
      </c>
    </row>
    <row r="3095" customFormat="false" ht="15" hidden="false" customHeight="false" outlineLevel="0" collapsed="false">
      <c r="A3095" s="2" t="n">
        <v>46232</v>
      </c>
      <c r="B3095" s="3" t="s">
        <v>264</v>
      </c>
      <c r="C3095" s="0" t="n">
        <v>247</v>
      </c>
      <c r="D3095" s="0" t="n">
        <v>5</v>
      </c>
      <c r="E3095" s="0" t="str">
        <f aca="false">INDEX(lot!$B$2:$B$1201,MATCH(B3095,lot!$A$2:$A$1201,0))</f>
        <v>SUP-A</v>
      </c>
      <c r="F3095" s="3" t="n">
        <f aca="false">YEAR(A3095)*100+MONTH(A3095)</f>
        <v>202607</v>
      </c>
    </row>
    <row r="3096" customFormat="false" ht="15" hidden="false" customHeight="false" outlineLevel="0" collapsed="false">
      <c r="A3096" s="2" t="n">
        <v>46232</v>
      </c>
      <c r="B3096" s="3" t="s">
        <v>264</v>
      </c>
      <c r="C3096" s="0" t="n">
        <v>145</v>
      </c>
      <c r="D3096" s="0" t="n">
        <v>1</v>
      </c>
      <c r="E3096" s="0" t="str">
        <f aca="false">INDEX(lot!$B$2:$B$1201,MATCH(B3096,lot!$A$2:$A$1201,0))</f>
        <v>SUP-A</v>
      </c>
      <c r="F3096" s="3" t="n">
        <f aca="false">YEAR(A3096)*100+MONTH(A3096)</f>
        <v>202607</v>
      </c>
    </row>
    <row r="3097" customFormat="false" ht="15" hidden="false" customHeight="false" outlineLevel="0" collapsed="false">
      <c r="A3097" s="2" t="n">
        <v>46232</v>
      </c>
      <c r="B3097" s="3" t="s">
        <v>298</v>
      </c>
      <c r="C3097" s="0" t="n">
        <v>82</v>
      </c>
      <c r="D3097" s="0" t="n">
        <v>0</v>
      </c>
      <c r="E3097" s="0" t="str">
        <f aca="false">INDEX(lot!$B$2:$B$1201,MATCH(B3097,lot!$A$2:$A$1201,0))</f>
        <v>SUP-D</v>
      </c>
      <c r="F3097" s="3" t="n">
        <f aca="false">YEAR(A3097)*100+MONTH(A3097)</f>
        <v>202607</v>
      </c>
    </row>
    <row r="3098" customFormat="false" ht="15" hidden="false" customHeight="false" outlineLevel="0" collapsed="false">
      <c r="A3098" s="2" t="n">
        <v>46232</v>
      </c>
      <c r="B3098" s="3" t="s">
        <v>346</v>
      </c>
      <c r="C3098" s="0" t="n">
        <v>177</v>
      </c>
      <c r="D3098" s="0" t="n">
        <v>3</v>
      </c>
      <c r="E3098" s="0" t="str">
        <f aca="false">INDEX(lot!$B$2:$B$1201,MATCH(B3098,lot!$A$2:$A$1201,0))</f>
        <v>SUP-A</v>
      </c>
      <c r="F3098" s="3" t="n">
        <f aca="false">YEAR(A3098)*100+MONTH(A3098)</f>
        <v>202607</v>
      </c>
    </row>
    <row r="3099" customFormat="false" ht="15" hidden="false" customHeight="false" outlineLevel="0" collapsed="false">
      <c r="A3099" s="2" t="n">
        <v>46232</v>
      </c>
      <c r="B3099" s="3" t="s">
        <v>346</v>
      </c>
      <c r="C3099" s="0" t="n">
        <v>151</v>
      </c>
      <c r="D3099" s="0" t="n">
        <v>3</v>
      </c>
      <c r="E3099" s="0" t="str">
        <f aca="false">INDEX(lot!$B$2:$B$1201,MATCH(B3099,lot!$A$2:$A$1201,0))</f>
        <v>SUP-A</v>
      </c>
      <c r="F3099" s="3" t="n">
        <f aca="false">YEAR(A3099)*100+MONTH(A3099)</f>
        <v>202607</v>
      </c>
    </row>
    <row r="3100" customFormat="false" ht="15" hidden="false" customHeight="false" outlineLevel="0" collapsed="false">
      <c r="A3100" s="2" t="n">
        <v>46232</v>
      </c>
      <c r="B3100" s="3" t="s">
        <v>354</v>
      </c>
      <c r="C3100" s="0" t="n">
        <v>70</v>
      </c>
      <c r="D3100" s="0" t="n">
        <v>1</v>
      </c>
      <c r="E3100" s="0" t="str">
        <f aca="false">INDEX(lot!$B$2:$B$1201,MATCH(B3100,lot!$A$2:$A$1201,0))</f>
        <v>SUP-E</v>
      </c>
      <c r="F3100" s="3" t="n">
        <f aca="false">YEAR(A3100)*100+MONTH(A3100)</f>
        <v>202607</v>
      </c>
    </row>
    <row r="3101" customFormat="false" ht="15" hidden="false" customHeight="false" outlineLevel="0" collapsed="false">
      <c r="A3101" s="2" t="n">
        <v>46232</v>
      </c>
      <c r="B3101" s="3" t="s">
        <v>477</v>
      </c>
      <c r="C3101" s="0" t="n">
        <v>108</v>
      </c>
      <c r="D3101" s="0" t="n">
        <v>3</v>
      </c>
      <c r="E3101" s="0" t="str">
        <f aca="false">INDEX(lot!$B$2:$B$1201,MATCH(B3101,lot!$A$2:$A$1201,0))</f>
        <v>SUP-A</v>
      </c>
      <c r="F3101" s="3" t="n">
        <f aca="false">YEAR(A3101)*100+MONTH(A3101)</f>
        <v>202607</v>
      </c>
    </row>
    <row r="3102" customFormat="false" ht="15" hidden="false" customHeight="false" outlineLevel="0" collapsed="false">
      <c r="A3102" s="2" t="n">
        <v>46232</v>
      </c>
      <c r="B3102" s="3" t="s">
        <v>534</v>
      </c>
      <c r="C3102" s="0" t="n">
        <v>102</v>
      </c>
      <c r="D3102" s="0" t="n">
        <v>5</v>
      </c>
      <c r="E3102" s="0" t="str">
        <f aca="false">INDEX(lot!$B$2:$B$1201,MATCH(B3102,lot!$A$2:$A$1201,0))</f>
        <v>SUP-E</v>
      </c>
      <c r="F3102" s="3" t="n">
        <f aca="false">YEAR(A3102)*100+MONTH(A3102)</f>
        <v>202607</v>
      </c>
    </row>
    <row r="3103" customFormat="false" ht="15" hidden="false" customHeight="false" outlineLevel="0" collapsed="false">
      <c r="A3103" s="2" t="n">
        <v>46232</v>
      </c>
      <c r="B3103" s="3" t="s">
        <v>567</v>
      </c>
      <c r="C3103" s="0" t="n">
        <v>71</v>
      </c>
      <c r="D3103" s="0" t="n">
        <v>0</v>
      </c>
      <c r="E3103" s="0" t="str">
        <f aca="false">INDEX(lot!$B$2:$B$1201,MATCH(B3103,lot!$A$2:$A$1201,0))</f>
        <v>SUP-D</v>
      </c>
      <c r="F3103" s="3" t="n">
        <f aca="false">YEAR(A3103)*100+MONTH(A3103)</f>
        <v>202607</v>
      </c>
    </row>
    <row r="3104" customFormat="false" ht="15" hidden="false" customHeight="false" outlineLevel="0" collapsed="false">
      <c r="A3104" s="2" t="n">
        <v>46232</v>
      </c>
      <c r="B3104" s="3" t="s">
        <v>605</v>
      </c>
      <c r="C3104" s="0" t="n">
        <v>125</v>
      </c>
      <c r="D3104" s="0" t="n">
        <v>0</v>
      </c>
      <c r="E3104" s="0" t="str">
        <f aca="false">INDEX(lot!$B$2:$B$1201,MATCH(B3104,lot!$A$2:$A$1201,0))</f>
        <v>SUP-D</v>
      </c>
      <c r="F3104" s="3" t="n">
        <f aca="false">YEAR(A3104)*100+MONTH(A3104)</f>
        <v>202607</v>
      </c>
    </row>
    <row r="3105" customFormat="false" ht="15" hidden="false" customHeight="false" outlineLevel="0" collapsed="false">
      <c r="A3105" s="2" t="n">
        <v>46232</v>
      </c>
      <c r="B3105" s="3" t="s">
        <v>727</v>
      </c>
      <c r="C3105" s="0" t="n">
        <v>213</v>
      </c>
      <c r="D3105" s="0" t="n">
        <v>4</v>
      </c>
      <c r="E3105" s="0" t="str">
        <f aca="false">INDEX(lot!$B$2:$B$1201,MATCH(B3105,lot!$A$2:$A$1201,0))</f>
        <v>SUP-A</v>
      </c>
      <c r="F3105" s="3" t="n">
        <f aca="false">YEAR(A3105)*100+MONTH(A3105)</f>
        <v>202607</v>
      </c>
    </row>
    <row r="3106" customFormat="false" ht="15" hidden="false" customHeight="false" outlineLevel="0" collapsed="false">
      <c r="A3106" s="2" t="n">
        <v>46232</v>
      </c>
      <c r="B3106" s="3" t="s">
        <v>793</v>
      </c>
      <c r="C3106" s="0" t="n">
        <v>85</v>
      </c>
      <c r="D3106" s="0" t="n">
        <v>1</v>
      </c>
      <c r="E3106" s="0" t="str">
        <f aca="false">INDEX(lot!$B$2:$B$1201,MATCH(B3106,lot!$A$2:$A$1201,0))</f>
        <v>SUP-B</v>
      </c>
      <c r="F3106" s="3" t="n">
        <f aca="false">YEAR(A3106)*100+MONTH(A3106)</f>
        <v>202607</v>
      </c>
    </row>
    <row r="3107" customFormat="false" ht="15" hidden="false" customHeight="false" outlineLevel="0" collapsed="false">
      <c r="A3107" s="2" t="n">
        <v>46232</v>
      </c>
      <c r="B3107" s="3" t="s">
        <v>849</v>
      </c>
      <c r="C3107" s="0" t="n">
        <v>143</v>
      </c>
      <c r="D3107" s="0" t="n">
        <v>1</v>
      </c>
      <c r="E3107" s="0" t="str">
        <f aca="false">INDEX(lot!$B$2:$B$1201,MATCH(B3107,lot!$A$2:$A$1201,0))</f>
        <v>SUP-B</v>
      </c>
      <c r="F3107" s="3" t="n">
        <f aca="false">YEAR(A3107)*100+MONTH(A3107)</f>
        <v>202607</v>
      </c>
    </row>
    <row r="3108" customFormat="false" ht="15" hidden="false" customHeight="false" outlineLevel="0" collapsed="false">
      <c r="A3108" s="2" t="n">
        <v>46232</v>
      </c>
      <c r="B3108" s="3" t="s">
        <v>849</v>
      </c>
      <c r="C3108" s="0" t="n">
        <v>224</v>
      </c>
      <c r="D3108" s="0" t="n">
        <v>1</v>
      </c>
      <c r="E3108" s="0" t="str">
        <f aca="false">INDEX(lot!$B$2:$B$1201,MATCH(B3108,lot!$A$2:$A$1201,0))</f>
        <v>SUP-B</v>
      </c>
      <c r="F3108" s="3" t="n">
        <f aca="false">YEAR(A3108)*100+MONTH(A3108)</f>
        <v>202607</v>
      </c>
    </row>
    <row r="3109" customFormat="false" ht="15" hidden="false" customHeight="false" outlineLevel="0" collapsed="false">
      <c r="A3109" s="2" t="n">
        <v>46232</v>
      </c>
      <c r="B3109" s="3" t="s">
        <v>900</v>
      </c>
      <c r="C3109" s="0" t="n">
        <v>68</v>
      </c>
      <c r="D3109" s="0" t="n">
        <v>3</v>
      </c>
      <c r="E3109" s="0" t="str">
        <f aca="false">INDEX(lot!$B$2:$B$1201,MATCH(B3109,lot!$A$2:$A$1201,0))</f>
        <v>SUP-C</v>
      </c>
      <c r="F3109" s="3" t="n">
        <f aca="false">YEAR(A3109)*100+MONTH(A3109)</f>
        <v>202607</v>
      </c>
    </row>
    <row r="3110" customFormat="false" ht="15" hidden="false" customHeight="false" outlineLevel="0" collapsed="false">
      <c r="A3110" s="2" t="n">
        <v>46232</v>
      </c>
      <c r="B3110" s="3" t="s">
        <v>900</v>
      </c>
      <c r="C3110" s="0" t="n">
        <v>112</v>
      </c>
      <c r="D3110" s="0" t="n">
        <v>2</v>
      </c>
      <c r="E3110" s="0" t="str">
        <f aca="false">INDEX(lot!$B$2:$B$1201,MATCH(B3110,lot!$A$2:$A$1201,0))</f>
        <v>SUP-C</v>
      </c>
      <c r="F3110" s="3" t="n">
        <f aca="false">YEAR(A3110)*100+MONTH(A3110)</f>
        <v>202607</v>
      </c>
    </row>
    <row r="3111" customFormat="false" ht="15" hidden="false" customHeight="false" outlineLevel="0" collapsed="false">
      <c r="A3111" s="2" t="n">
        <v>46232</v>
      </c>
      <c r="B3111" s="3" t="s">
        <v>935</v>
      </c>
      <c r="C3111" s="0" t="n">
        <v>112</v>
      </c>
      <c r="D3111" s="0" t="n">
        <v>1</v>
      </c>
      <c r="E3111" s="0" t="str">
        <f aca="false">INDEX(lot!$B$2:$B$1201,MATCH(B3111,lot!$A$2:$A$1201,0))</f>
        <v>SUP-D</v>
      </c>
      <c r="F3111" s="3" t="n">
        <f aca="false">YEAR(A3111)*100+MONTH(A3111)</f>
        <v>202607</v>
      </c>
    </row>
    <row r="3112" customFormat="false" ht="15" hidden="false" customHeight="false" outlineLevel="0" collapsed="false">
      <c r="A3112" s="2" t="n">
        <v>46232</v>
      </c>
      <c r="B3112" s="3" t="s">
        <v>939</v>
      </c>
      <c r="C3112" s="0" t="n">
        <v>102</v>
      </c>
      <c r="D3112" s="0" t="n">
        <v>1</v>
      </c>
      <c r="E3112" s="0" t="str">
        <f aca="false">INDEX(lot!$B$2:$B$1201,MATCH(B3112,lot!$A$2:$A$1201,0))</f>
        <v>SUP-E</v>
      </c>
      <c r="F3112" s="3" t="n">
        <f aca="false">YEAR(A3112)*100+MONTH(A3112)</f>
        <v>202607</v>
      </c>
    </row>
    <row r="3113" customFormat="false" ht="15" hidden="false" customHeight="false" outlineLevel="0" collapsed="false">
      <c r="A3113" s="2" t="n">
        <v>46232</v>
      </c>
      <c r="B3113" s="3" t="s">
        <v>946</v>
      </c>
      <c r="C3113" s="0" t="n">
        <v>102</v>
      </c>
      <c r="D3113" s="0" t="n">
        <v>1</v>
      </c>
      <c r="E3113" s="0" t="str">
        <f aca="false">INDEX(lot!$B$2:$B$1201,MATCH(B3113,lot!$A$2:$A$1201,0))</f>
        <v>SUP-E</v>
      </c>
      <c r="F3113" s="3" t="n">
        <f aca="false">YEAR(A3113)*100+MONTH(A3113)</f>
        <v>202607</v>
      </c>
    </row>
    <row r="3114" customFormat="false" ht="15" hidden="false" customHeight="false" outlineLevel="0" collapsed="false">
      <c r="A3114" s="2" t="n">
        <v>46232</v>
      </c>
      <c r="B3114" s="3" t="s">
        <v>946</v>
      </c>
      <c r="C3114" s="0" t="n">
        <v>243</v>
      </c>
      <c r="D3114" s="0" t="n">
        <v>2</v>
      </c>
      <c r="E3114" s="0" t="str">
        <f aca="false">INDEX(lot!$B$2:$B$1201,MATCH(B3114,lot!$A$2:$A$1201,0))</f>
        <v>SUP-E</v>
      </c>
      <c r="F3114" s="3" t="n">
        <f aca="false">YEAR(A3114)*100+MONTH(A3114)</f>
        <v>202607</v>
      </c>
    </row>
    <row r="3115" customFormat="false" ht="15" hidden="false" customHeight="false" outlineLevel="0" collapsed="false">
      <c r="A3115" s="2" t="n">
        <v>46232</v>
      </c>
      <c r="B3115" s="3" t="s">
        <v>1008</v>
      </c>
      <c r="C3115" s="0" t="n">
        <v>215</v>
      </c>
      <c r="D3115" s="0" t="n">
        <v>3</v>
      </c>
      <c r="E3115" s="0" t="str">
        <f aca="false">INDEX(lot!$B$2:$B$1201,MATCH(B3115,lot!$A$2:$A$1201,0))</f>
        <v>SUP-C</v>
      </c>
      <c r="F3115" s="3" t="n">
        <f aca="false">YEAR(A3115)*100+MONTH(A3115)</f>
        <v>202607</v>
      </c>
    </row>
    <row r="3116" customFormat="false" ht="15" hidden="false" customHeight="false" outlineLevel="0" collapsed="false">
      <c r="A3116" s="2" t="n">
        <v>46232</v>
      </c>
      <c r="B3116" s="3" t="s">
        <v>1008</v>
      </c>
      <c r="C3116" s="0" t="n">
        <v>196</v>
      </c>
      <c r="D3116" s="0" t="n">
        <v>5</v>
      </c>
      <c r="E3116" s="0" t="str">
        <f aca="false">INDEX(lot!$B$2:$B$1201,MATCH(B3116,lot!$A$2:$A$1201,0))</f>
        <v>SUP-C</v>
      </c>
      <c r="F3116" s="3" t="n">
        <f aca="false">YEAR(A3116)*100+MONTH(A3116)</f>
        <v>202607</v>
      </c>
    </row>
    <row r="3117" customFormat="false" ht="15" hidden="false" customHeight="false" outlineLevel="0" collapsed="false">
      <c r="A3117" s="2" t="n">
        <v>46232</v>
      </c>
      <c r="B3117" s="3" t="s">
        <v>1058</v>
      </c>
      <c r="C3117" s="0" t="n">
        <v>176</v>
      </c>
      <c r="D3117" s="0" t="n">
        <v>1</v>
      </c>
      <c r="E3117" s="0" t="str">
        <f aca="false">INDEX(lot!$B$2:$B$1201,MATCH(B3117,lot!$A$2:$A$1201,0))</f>
        <v>SUP-D</v>
      </c>
      <c r="F3117" s="3" t="n">
        <f aca="false">YEAR(A3117)*100+MONTH(A3117)</f>
        <v>202607</v>
      </c>
    </row>
    <row r="3118" customFormat="false" ht="15" hidden="false" customHeight="false" outlineLevel="0" collapsed="false">
      <c r="A3118" s="2" t="n">
        <v>46232</v>
      </c>
      <c r="B3118" s="3" t="s">
        <v>1069</v>
      </c>
      <c r="C3118" s="0" t="n">
        <v>134</v>
      </c>
      <c r="D3118" s="0" t="n">
        <v>1</v>
      </c>
      <c r="E3118" s="0" t="str">
        <f aca="false">INDEX(lot!$B$2:$B$1201,MATCH(B3118,lot!$A$2:$A$1201,0))</f>
        <v>SUP-E</v>
      </c>
      <c r="F3118" s="3" t="n">
        <f aca="false">YEAR(A3118)*100+MONTH(A3118)</f>
        <v>202607</v>
      </c>
    </row>
    <row r="3119" customFormat="false" ht="15" hidden="false" customHeight="false" outlineLevel="0" collapsed="false">
      <c r="A3119" s="2" t="n">
        <v>46232</v>
      </c>
      <c r="B3119" s="3" t="s">
        <v>1069</v>
      </c>
      <c r="C3119" s="0" t="n">
        <v>63</v>
      </c>
      <c r="D3119" s="0" t="n">
        <v>0</v>
      </c>
      <c r="E3119" s="0" t="str">
        <f aca="false">INDEX(lot!$B$2:$B$1201,MATCH(B3119,lot!$A$2:$A$1201,0))</f>
        <v>SUP-E</v>
      </c>
      <c r="F3119" s="3" t="n">
        <f aca="false">YEAR(A3119)*100+MONTH(A3119)</f>
        <v>202607</v>
      </c>
    </row>
    <row r="3120" customFormat="false" ht="15" hidden="false" customHeight="false" outlineLevel="0" collapsed="false">
      <c r="A3120" s="2" t="n">
        <v>46232</v>
      </c>
      <c r="B3120" s="3" t="s">
        <v>1070</v>
      </c>
      <c r="C3120" s="0" t="n">
        <v>215</v>
      </c>
      <c r="D3120" s="0" t="n">
        <v>1</v>
      </c>
      <c r="E3120" s="0" t="str">
        <f aca="false">INDEX(lot!$B$2:$B$1201,MATCH(B3120,lot!$A$2:$A$1201,0))</f>
        <v>SUP-D</v>
      </c>
      <c r="F3120" s="3" t="n">
        <f aca="false">YEAR(A3120)*100+MONTH(A3120)</f>
        <v>202607</v>
      </c>
    </row>
    <row r="3121" customFormat="false" ht="15" hidden="false" customHeight="false" outlineLevel="0" collapsed="false">
      <c r="A3121" s="2" t="n">
        <v>46232</v>
      </c>
      <c r="B3121" s="3" t="s">
        <v>1070</v>
      </c>
      <c r="C3121" s="0" t="n">
        <v>138</v>
      </c>
      <c r="D3121" s="0" t="n">
        <v>2</v>
      </c>
      <c r="E3121" s="0" t="str">
        <f aca="false">INDEX(lot!$B$2:$B$1201,MATCH(B3121,lot!$A$2:$A$1201,0))</f>
        <v>SUP-D</v>
      </c>
      <c r="F3121" s="3" t="n">
        <f aca="false">YEAR(A3121)*100+MONTH(A3121)</f>
        <v>202607</v>
      </c>
    </row>
    <row r="3122" customFormat="false" ht="15" hidden="false" customHeight="false" outlineLevel="0" collapsed="false">
      <c r="A3122" s="2" t="n">
        <v>46232</v>
      </c>
      <c r="B3122" s="3" t="s">
        <v>1129</v>
      </c>
      <c r="C3122" s="0" t="n">
        <v>192</v>
      </c>
      <c r="D3122" s="0" t="n">
        <v>3</v>
      </c>
      <c r="E3122" s="0" t="str">
        <f aca="false">INDEX(lot!$B$2:$B$1201,MATCH(B3122,lot!$A$2:$A$1201,0))</f>
        <v>SUP-A</v>
      </c>
      <c r="F3122" s="3" t="n">
        <f aca="false">YEAR(A3122)*100+MONTH(A3122)</f>
        <v>202607</v>
      </c>
    </row>
    <row r="3123" customFormat="false" ht="15" hidden="false" customHeight="false" outlineLevel="0" collapsed="false">
      <c r="A3123" s="2" t="n">
        <v>46232</v>
      </c>
      <c r="B3123" s="3" t="s">
        <v>1192</v>
      </c>
      <c r="C3123" s="0" t="n">
        <v>161</v>
      </c>
      <c r="D3123" s="0" t="n">
        <v>1</v>
      </c>
      <c r="E3123" s="0" t="str">
        <f aca="false">INDEX(lot!$B$2:$B$1201,MATCH(B3123,lot!$A$2:$A$1201,0))</f>
        <v>SUP-D</v>
      </c>
      <c r="F3123" s="3" t="n">
        <f aca="false">YEAR(A3123)*100+MONTH(A3123)</f>
        <v>202607</v>
      </c>
    </row>
    <row r="3124" customFormat="false" ht="15" hidden="false" customHeight="false" outlineLevel="0" collapsed="false">
      <c r="A3124" s="2" t="n">
        <v>46233</v>
      </c>
      <c r="B3124" s="3" t="s">
        <v>60</v>
      </c>
      <c r="C3124" s="0" t="n">
        <v>229</v>
      </c>
      <c r="D3124" s="0" t="n">
        <v>2</v>
      </c>
      <c r="E3124" s="0" t="str">
        <f aca="false">INDEX(lot!$B$2:$B$1201,MATCH(B3124,lot!$A$2:$A$1201,0))</f>
        <v>SUP-E</v>
      </c>
      <c r="F3124" s="3" t="n">
        <f aca="false">YEAR(A3124)*100+MONTH(A3124)</f>
        <v>202607</v>
      </c>
    </row>
    <row r="3125" customFormat="false" ht="15" hidden="false" customHeight="false" outlineLevel="0" collapsed="false">
      <c r="A3125" s="2" t="n">
        <v>46233</v>
      </c>
      <c r="B3125" s="3" t="s">
        <v>64</v>
      </c>
      <c r="C3125" s="0" t="n">
        <v>180</v>
      </c>
      <c r="D3125" s="0" t="n">
        <v>3</v>
      </c>
      <c r="E3125" s="0" t="str">
        <f aca="false">INDEX(lot!$B$2:$B$1201,MATCH(B3125,lot!$A$2:$A$1201,0))</f>
        <v>SUP-C</v>
      </c>
      <c r="F3125" s="3" t="n">
        <f aca="false">YEAR(A3125)*100+MONTH(A3125)</f>
        <v>202607</v>
      </c>
    </row>
    <row r="3126" customFormat="false" ht="15" hidden="false" customHeight="false" outlineLevel="0" collapsed="false">
      <c r="A3126" s="2" t="n">
        <v>46233</v>
      </c>
      <c r="B3126" s="3" t="s">
        <v>190</v>
      </c>
      <c r="C3126" s="0" t="n">
        <v>22</v>
      </c>
      <c r="D3126" s="0" t="n">
        <v>0</v>
      </c>
      <c r="E3126" s="0" t="str">
        <f aca="false">INDEX(lot!$B$2:$B$1201,MATCH(B3126,lot!$A$2:$A$1201,0))</f>
        <v>SUP-D</v>
      </c>
      <c r="F3126" s="3" t="n">
        <f aca="false">YEAR(A3126)*100+MONTH(A3126)</f>
        <v>202607</v>
      </c>
    </row>
    <row r="3127" customFormat="false" ht="15" hidden="false" customHeight="false" outlineLevel="0" collapsed="false">
      <c r="A3127" s="2" t="n">
        <v>46233</v>
      </c>
      <c r="B3127" s="3" t="s">
        <v>190</v>
      </c>
      <c r="C3127" s="0" t="n">
        <v>184</v>
      </c>
      <c r="D3127" s="0" t="n">
        <v>1</v>
      </c>
      <c r="E3127" s="0" t="str">
        <f aca="false">INDEX(lot!$B$2:$B$1201,MATCH(B3127,lot!$A$2:$A$1201,0))</f>
        <v>SUP-D</v>
      </c>
      <c r="F3127" s="3" t="n">
        <f aca="false">YEAR(A3127)*100+MONTH(A3127)</f>
        <v>202607</v>
      </c>
    </row>
    <row r="3128" customFormat="false" ht="15" hidden="false" customHeight="false" outlineLevel="0" collapsed="false">
      <c r="A3128" s="2" t="n">
        <v>46233</v>
      </c>
      <c r="B3128" s="3" t="s">
        <v>423</v>
      </c>
      <c r="C3128" s="0" t="n">
        <v>86</v>
      </c>
      <c r="D3128" s="0" t="n">
        <v>2</v>
      </c>
      <c r="E3128" s="0" t="str">
        <f aca="false">INDEX(lot!$B$2:$B$1201,MATCH(B3128,lot!$A$2:$A$1201,0))</f>
        <v>SUP-C</v>
      </c>
      <c r="F3128" s="3" t="n">
        <f aca="false">YEAR(A3128)*100+MONTH(A3128)</f>
        <v>202607</v>
      </c>
    </row>
    <row r="3129" customFormat="false" ht="15" hidden="false" customHeight="false" outlineLevel="0" collapsed="false">
      <c r="A3129" s="2" t="n">
        <v>46233</v>
      </c>
      <c r="B3129" s="3" t="s">
        <v>477</v>
      </c>
      <c r="C3129" s="0" t="n">
        <v>98</v>
      </c>
      <c r="D3129" s="0" t="n">
        <v>2</v>
      </c>
      <c r="E3129" s="0" t="str">
        <f aca="false">INDEX(lot!$B$2:$B$1201,MATCH(B3129,lot!$A$2:$A$1201,0))</f>
        <v>SUP-A</v>
      </c>
      <c r="F3129" s="3" t="n">
        <f aca="false">YEAR(A3129)*100+MONTH(A3129)</f>
        <v>202607</v>
      </c>
    </row>
    <row r="3130" customFormat="false" ht="15" hidden="false" customHeight="false" outlineLevel="0" collapsed="false">
      <c r="A3130" s="2" t="n">
        <v>46233</v>
      </c>
      <c r="B3130" s="3" t="s">
        <v>477</v>
      </c>
      <c r="C3130" s="0" t="n">
        <v>162</v>
      </c>
      <c r="D3130" s="0" t="n">
        <v>1</v>
      </c>
      <c r="E3130" s="0" t="str">
        <f aca="false">INDEX(lot!$B$2:$B$1201,MATCH(B3130,lot!$A$2:$A$1201,0))</f>
        <v>SUP-A</v>
      </c>
      <c r="F3130" s="3" t="n">
        <f aca="false">YEAR(A3130)*100+MONTH(A3130)</f>
        <v>202607</v>
      </c>
    </row>
    <row r="3131" customFormat="false" ht="15" hidden="false" customHeight="false" outlineLevel="0" collapsed="false">
      <c r="A3131" s="2" t="n">
        <v>46233</v>
      </c>
      <c r="B3131" s="3" t="s">
        <v>605</v>
      </c>
      <c r="C3131" s="0" t="n">
        <v>162</v>
      </c>
      <c r="D3131" s="0" t="n">
        <v>1</v>
      </c>
      <c r="E3131" s="0" t="str">
        <f aca="false">INDEX(lot!$B$2:$B$1201,MATCH(B3131,lot!$A$2:$A$1201,0))</f>
        <v>SUP-D</v>
      </c>
      <c r="F3131" s="3" t="n">
        <f aca="false">YEAR(A3131)*100+MONTH(A3131)</f>
        <v>202607</v>
      </c>
    </row>
    <row r="3132" customFormat="false" ht="15" hidden="false" customHeight="false" outlineLevel="0" collapsed="false">
      <c r="A3132" s="2" t="n">
        <v>46233</v>
      </c>
      <c r="B3132" s="3" t="s">
        <v>605</v>
      </c>
      <c r="C3132" s="0" t="n">
        <v>219</v>
      </c>
      <c r="D3132" s="0" t="n">
        <v>3</v>
      </c>
      <c r="E3132" s="0" t="str">
        <f aca="false">INDEX(lot!$B$2:$B$1201,MATCH(B3132,lot!$A$2:$A$1201,0))</f>
        <v>SUP-D</v>
      </c>
      <c r="F3132" s="3" t="n">
        <f aca="false">YEAR(A3132)*100+MONTH(A3132)</f>
        <v>202607</v>
      </c>
    </row>
    <row r="3133" customFormat="false" ht="15" hidden="false" customHeight="false" outlineLevel="0" collapsed="false">
      <c r="A3133" s="2" t="n">
        <v>46233</v>
      </c>
      <c r="B3133" s="3" t="s">
        <v>727</v>
      </c>
      <c r="C3133" s="0" t="n">
        <v>152</v>
      </c>
      <c r="D3133" s="0" t="n">
        <v>3</v>
      </c>
      <c r="E3133" s="0" t="str">
        <f aca="false">INDEX(lot!$B$2:$B$1201,MATCH(B3133,lot!$A$2:$A$1201,0))</f>
        <v>SUP-A</v>
      </c>
      <c r="F3133" s="3" t="n">
        <f aca="false">YEAR(A3133)*100+MONTH(A3133)</f>
        <v>202607</v>
      </c>
    </row>
    <row r="3134" customFormat="false" ht="15" hidden="false" customHeight="false" outlineLevel="0" collapsed="false">
      <c r="A3134" s="2" t="n">
        <v>46233</v>
      </c>
      <c r="B3134" s="3" t="s">
        <v>761</v>
      </c>
      <c r="C3134" s="0" t="n">
        <v>236</v>
      </c>
      <c r="D3134" s="0" t="n">
        <v>3</v>
      </c>
      <c r="E3134" s="0" t="str">
        <f aca="false">INDEX(lot!$B$2:$B$1201,MATCH(B3134,lot!$A$2:$A$1201,0))</f>
        <v>SUP-D</v>
      </c>
      <c r="F3134" s="3" t="n">
        <f aca="false">YEAR(A3134)*100+MONTH(A3134)</f>
        <v>202607</v>
      </c>
    </row>
    <row r="3135" customFormat="false" ht="15" hidden="false" customHeight="false" outlineLevel="0" collapsed="false">
      <c r="A3135" s="2" t="n">
        <v>46233</v>
      </c>
      <c r="B3135" s="3" t="s">
        <v>793</v>
      </c>
      <c r="C3135" s="0" t="n">
        <v>108</v>
      </c>
      <c r="D3135" s="0" t="n">
        <v>1</v>
      </c>
      <c r="E3135" s="0" t="str">
        <f aca="false">INDEX(lot!$B$2:$B$1201,MATCH(B3135,lot!$A$2:$A$1201,0))</f>
        <v>SUP-B</v>
      </c>
      <c r="F3135" s="3" t="n">
        <f aca="false">YEAR(A3135)*100+MONTH(A3135)</f>
        <v>202607</v>
      </c>
    </row>
    <row r="3136" customFormat="false" ht="15" hidden="false" customHeight="false" outlineLevel="0" collapsed="false">
      <c r="A3136" s="2" t="n">
        <v>46233</v>
      </c>
      <c r="B3136" s="3" t="s">
        <v>793</v>
      </c>
      <c r="C3136" s="0" t="n">
        <v>85</v>
      </c>
      <c r="D3136" s="0" t="n">
        <v>1</v>
      </c>
      <c r="E3136" s="0" t="str">
        <f aca="false">INDEX(lot!$B$2:$B$1201,MATCH(B3136,lot!$A$2:$A$1201,0))</f>
        <v>SUP-B</v>
      </c>
      <c r="F3136" s="3" t="n">
        <f aca="false">YEAR(A3136)*100+MONTH(A3136)</f>
        <v>202607</v>
      </c>
    </row>
    <row r="3137" customFormat="false" ht="15" hidden="false" customHeight="false" outlineLevel="0" collapsed="false">
      <c r="A3137" s="2" t="n">
        <v>46233</v>
      </c>
      <c r="B3137" s="3" t="s">
        <v>881</v>
      </c>
      <c r="C3137" s="0" t="n">
        <v>228</v>
      </c>
      <c r="D3137" s="0" t="n">
        <v>1</v>
      </c>
      <c r="E3137" s="0" t="str">
        <f aca="false">INDEX(lot!$B$2:$B$1201,MATCH(B3137,lot!$A$2:$A$1201,0))</f>
        <v>SUP-B</v>
      </c>
      <c r="F3137" s="3" t="n">
        <f aca="false">YEAR(A3137)*100+MONTH(A3137)</f>
        <v>202607</v>
      </c>
    </row>
    <row r="3138" customFormat="false" ht="15" hidden="false" customHeight="false" outlineLevel="0" collapsed="false">
      <c r="A3138" s="2" t="n">
        <v>46233</v>
      </c>
      <c r="B3138" s="3" t="s">
        <v>900</v>
      </c>
      <c r="C3138" s="0" t="n">
        <v>68</v>
      </c>
      <c r="D3138" s="0" t="n">
        <v>0</v>
      </c>
      <c r="E3138" s="0" t="str">
        <f aca="false">INDEX(lot!$B$2:$B$1201,MATCH(B3138,lot!$A$2:$A$1201,0))</f>
        <v>SUP-C</v>
      </c>
      <c r="F3138" s="3" t="n">
        <f aca="false">YEAR(A3138)*100+MONTH(A3138)</f>
        <v>202607</v>
      </c>
    </row>
    <row r="3139" customFormat="false" ht="15" hidden="false" customHeight="false" outlineLevel="0" collapsed="false">
      <c r="A3139" s="2" t="n">
        <v>46233</v>
      </c>
      <c r="B3139" s="3" t="s">
        <v>900</v>
      </c>
      <c r="C3139" s="0" t="n">
        <v>104</v>
      </c>
      <c r="D3139" s="0" t="n">
        <v>3</v>
      </c>
      <c r="E3139" s="0" t="str">
        <f aca="false">INDEX(lot!$B$2:$B$1201,MATCH(B3139,lot!$A$2:$A$1201,0))</f>
        <v>SUP-C</v>
      </c>
      <c r="F3139" s="3" t="n">
        <f aca="false">YEAR(A3139)*100+MONTH(A3139)</f>
        <v>202607</v>
      </c>
    </row>
    <row r="3140" customFormat="false" ht="15" hidden="false" customHeight="false" outlineLevel="0" collapsed="false">
      <c r="A3140" s="2" t="n">
        <v>46233</v>
      </c>
      <c r="B3140" s="3" t="s">
        <v>939</v>
      </c>
      <c r="C3140" s="0" t="n">
        <v>152</v>
      </c>
      <c r="D3140" s="0" t="n">
        <v>3</v>
      </c>
      <c r="E3140" s="0" t="str">
        <f aca="false">INDEX(lot!$B$2:$B$1201,MATCH(B3140,lot!$A$2:$A$1201,0))</f>
        <v>SUP-E</v>
      </c>
      <c r="F3140" s="3" t="n">
        <f aca="false">YEAR(A3140)*100+MONTH(A3140)</f>
        <v>202607</v>
      </c>
    </row>
    <row r="3141" customFormat="false" ht="15" hidden="false" customHeight="false" outlineLevel="0" collapsed="false">
      <c r="A3141" s="2" t="n">
        <v>46233</v>
      </c>
      <c r="B3141" s="3" t="s">
        <v>1014</v>
      </c>
      <c r="C3141" s="0" t="n">
        <v>126</v>
      </c>
      <c r="D3141" s="0" t="n">
        <v>3</v>
      </c>
      <c r="E3141" s="0" t="str">
        <f aca="false">INDEX(lot!$B$2:$B$1201,MATCH(B3141,lot!$A$2:$A$1201,0))</f>
        <v>SUP-A</v>
      </c>
      <c r="F3141" s="3" t="n">
        <f aca="false">YEAR(A3141)*100+MONTH(A3141)</f>
        <v>202607</v>
      </c>
    </row>
    <row r="3142" customFormat="false" ht="15" hidden="false" customHeight="false" outlineLevel="0" collapsed="false">
      <c r="A3142" s="2" t="n">
        <v>46233</v>
      </c>
      <c r="B3142" s="3" t="s">
        <v>1014</v>
      </c>
      <c r="C3142" s="0" t="n">
        <v>74</v>
      </c>
      <c r="D3142" s="0" t="n">
        <v>3</v>
      </c>
      <c r="E3142" s="0" t="str">
        <f aca="false">INDEX(lot!$B$2:$B$1201,MATCH(B3142,lot!$A$2:$A$1201,0))</f>
        <v>SUP-A</v>
      </c>
      <c r="F3142" s="3" t="n">
        <f aca="false">YEAR(A3142)*100+MONTH(A3142)</f>
        <v>202607</v>
      </c>
    </row>
    <row r="3143" customFormat="false" ht="15" hidden="false" customHeight="false" outlineLevel="0" collapsed="false">
      <c r="A3143" s="2" t="n">
        <v>46233</v>
      </c>
      <c r="B3143" s="3" t="s">
        <v>1058</v>
      </c>
      <c r="C3143" s="0" t="n">
        <v>146</v>
      </c>
      <c r="D3143" s="0" t="n">
        <v>0</v>
      </c>
      <c r="E3143" s="0" t="str">
        <f aca="false">INDEX(lot!$B$2:$B$1201,MATCH(B3143,lot!$A$2:$A$1201,0))</f>
        <v>SUP-D</v>
      </c>
      <c r="F3143" s="3" t="n">
        <f aca="false">YEAR(A3143)*100+MONTH(A3143)</f>
        <v>202607</v>
      </c>
    </row>
    <row r="3144" customFormat="false" ht="15" hidden="false" customHeight="false" outlineLevel="0" collapsed="false">
      <c r="A3144" s="2" t="n">
        <v>46233</v>
      </c>
      <c r="B3144" s="3" t="s">
        <v>1063</v>
      </c>
      <c r="C3144" s="0" t="n">
        <v>122</v>
      </c>
      <c r="D3144" s="0" t="n">
        <v>1</v>
      </c>
      <c r="E3144" s="0" t="str">
        <f aca="false">INDEX(lot!$B$2:$B$1201,MATCH(B3144,lot!$A$2:$A$1201,0))</f>
        <v>SUP-E</v>
      </c>
      <c r="F3144" s="3" t="n">
        <f aca="false">YEAR(A3144)*100+MONTH(A3144)</f>
        <v>202607</v>
      </c>
    </row>
    <row r="3145" customFormat="false" ht="15" hidden="false" customHeight="false" outlineLevel="0" collapsed="false">
      <c r="A3145" s="2" t="n">
        <v>46233</v>
      </c>
      <c r="B3145" s="3" t="s">
        <v>1069</v>
      </c>
      <c r="C3145" s="0" t="n">
        <v>132</v>
      </c>
      <c r="D3145" s="0" t="n">
        <v>2</v>
      </c>
      <c r="E3145" s="0" t="str">
        <f aca="false">INDEX(lot!$B$2:$B$1201,MATCH(B3145,lot!$A$2:$A$1201,0))</f>
        <v>SUP-E</v>
      </c>
      <c r="F3145" s="3" t="n">
        <f aca="false">YEAR(A3145)*100+MONTH(A3145)</f>
        <v>202607</v>
      </c>
    </row>
    <row r="3146" customFormat="false" ht="15" hidden="false" customHeight="false" outlineLevel="0" collapsed="false">
      <c r="A3146" s="2" t="n">
        <v>46233</v>
      </c>
      <c r="B3146" s="3" t="s">
        <v>1083</v>
      </c>
      <c r="C3146" s="0" t="n">
        <v>220</v>
      </c>
      <c r="D3146" s="0" t="n">
        <v>2</v>
      </c>
      <c r="E3146" s="0" t="str">
        <f aca="false">INDEX(lot!$B$2:$B$1201,MATCH(B3146,lot!$A$2:$A$1201,0))</f>
        <v>SUP-E</v>
      </c>
      <c r="F3146" s="3" t="n">
        <f aca="false">YEAR(A3146)*100+MONTH(A3146)</f>
        <v>202607</v>
      </c>
    </row>
    <row r="3147" customFormat="false" ht="15" hidden="false" customHeight="false" outlineLevel="0" collapsed="false">
      <c r="A3147" s="2" t="n">
        <v>46233</v>
      </c>
      <c r="B3147" s="3" t="s">
        <v>1083</v>
      </c>
      <c r="C3147" s="0" t="n">
        <v>153</v>
      </c>
      <c r="D3147" s="0" t="n">
        <v>0</v>
      </c>
      <c r="E3147" s="0" t="str">
        <f aca="false">INDEX(lot!$B$2:$B$1201,MATCH(B3147,lot!$A$2:$A$1201,0))</f>
        <v>SUP-E</v>
      </c>
      <c r="F3147" s="3" t="n">
        <f aca="false">YEAR(A3147)*100+MONTH(A3147)</f>
        <v>202607</v>
      </c>
    </row>
    <row r="3148" customFormat="false" ht="15" hidden="false" customHeight="false" outlineLevel="0" collapsed="false">
      <c r="A3148" s="2" t="n">
        <v>46233</v>
      </c>
      <c r="B3148" s="3" t="s">
        <v>1129</v>
      </c>
      <c r="C3148" s="0" t="n">
        <v>155</v>
      </c>
      <c r="D3148" s="0" t="n">
        <v>4</v>
      </c>
      <c r="E3148" s="0" t="str">
        <f aca="false">INDEX(lot!$B$2:$B$1201,MATCH(B3148,lot!$A$2:$A$1201,0))</f>
        <v>SUP-A</v>
      </c>
      <c r="F3148" s="3" t="n">
        <f aca="false">YEAR(A3148)*100+MONTH(A3148)</f>
        <v>202607</v>
      </c>
    </row>
    <row r="3149" customFormat="false" ht="15" hidden="false" customHeight="false" outlineLevel="0" collapsed="false">
      <c r="A3149" s="2" t="n">
        <v>46233</v>
      </c>
      <c r="B3149" s="3" t="s">
        <v>1129</v>
      </c>
      <c r="C3149" s="0" t="n">
        <v>103</v>
      </c>
      <c r="D3149" s="0" t="n">
        <v>3</v>
      </c>
      <c r="E3149" s="0" t="str">
        <f aca="false">INDEX(lot!$B$2:$B$1201,MATCH(B3149,lot!$A$2:$A$1201,0))</f>
        <v>SUP-A</v>
      </c>
      <c r="F3149" s="3" t="n">
        <f aca="false">YEAR(A3149)*100+MONTH(A3149)</f>
        <v>202607</v>
      </c>
    </row>
    <row r="3150" customFormat="false" ht="15" hidden="false" customHeight="false" outlineLevel="0" collapsed="false">
      <c r="A3150" s="2" t="n">
        <v>46233</v>
      </c>
      <c r="B3150" s="3" t="s">
        <v>1192</v>
      </c>
      <c r="C3150" s="0" t="n">
        <v>151</v>
      </c>
      <c r="D3150" s="0" t="n">
        <v>1</v>
      </c>
      <c r="E3150" s="0" t="str">
        <f aca="false">INDEX(lot!$B$2:$B$1201,MATCH(B3150,lot!$A$2:$A$1201,0))</f>
        <v>SUP-D</v>
      </c>
      <c r="F3150" s="3" t="n">
        <f aca="false">YEAR(A3150)*100+MONTH(A3150)</f>
        <v>202607</v>
      </c>
    </row>
    <row r="3151" customFormat="false" ht="15" hidden="false" customHeight="false" outlineLevel="0" collapsed="false">
      <c r="A3151" s="2" t="n">
        <v>46233</v>
      </c>
      <c r="B3151" s="3" t="s">
        <v>1192</v>
      </c>
      <c r="C3151" s="0" t="n">
        <v>223</v>
      </c>
      <c r="D3151" s="0" t="n">
        <v>1</v>
      </c>
      <c r="E3151" s="0" t="str">
        <f aca="false">INDEX(lot!$B$2:$B$1201,MATCH(B3151,lot!$A$2:$A$1201,0))</f>
        <v>SUP-D</v>
      </c>
      <c r="F3151" s="3" t="n">
        <f aca="false">YEAR(A3151)*100+MONTH(A3151)</f>
        <v>202607</v>
      </c>
    </row>
    <row r="3152" customFormat="false" ht="15" hidden="false" customHeight="false" outlineLevel="0" collapsed="false">
      <c r="A3152" s="2" t="n">
        <v>46233</v>
      </c>
      <c r="B3152" s="3" t="s">
        <v>1206</v>
      </c>
      <c r="C3152" s="0" t="n">
        <v>100</v>
      </c>
      <c r="D3152" s="0" t="n">
        <v>2</v>
      </c>
      <c r="E3152" s="0" t="str">
        <f aca="false">INDEX(lot!$B$2:$B$1201,MATCH(B3152,lot!$A$2:$A$1201,0))</f>
        <v>SUP-C</v>
      </c>
      <c r="F3152" s="3" t="n">
        <f aca="false">YEAR(A3152)*100+MONTH(A3152)</f>
        <v>202607</v>
      </c>
    </row>
    <row r="3153" customFormat="false" ht="15" hidden="false" customHeight="false" outlineLevel="0" collapsed="false">
      <c r="A3153" s="2" t="n">
        <v>46234</v>
      </c>
      <c r="B3153" s="3" t="s">
        <v>31</v>
      </c>
      <c r="C3153" s="0" t="n">
        <v>111</v>
      </c>
      <c r="D3153" s="0" t="n">
        <v>2</v>
      </c>
      <c r="E3153" s="0" t="str">
        <f aca="false">INDEX(lot!$B$2:$B$1201,MATCH(B3153,lot!$A$2:$A$1201,0))</f>
        <v>SUP-C</v>
      </c>
      <c r="F3153" s="3" t="n">
        <f aca="false">YEAR(A3153)*100+MONTH(A3153)</f>
        <v>202607</v>
      </c>
    </row>
    <row r="3154" customFormat="false" ht="15" hidden="false" customHeight="false" outlineLevel="0" collapsed="false">
      <c r="A3154" s="2" t="n">
        <v>46234</v>
      </c>
      <c r="B3154" s="3" t="s">
        <v>31</v>
      </c>
      <c r="C3154" s="0" t="n">
        <v>91</v>
      </c>
      <c r="D3154" s="0" t="n">
        <v>3</v>
      </c>
      <c r="E3154" s="0" t="str">
        <f aca="false">INDEX(lot!$B$2:$B$1201,MATCH(B3154,lot!$A$2:$A$1201,0))</f>
        <v>SUP-C</v>
      </c>
      <c r="F3154" s="3" t="n">
        <f aca="false">YEAR(A3154)*100+MONTH(A3154)</f>
        <v>202607</v>
      </c>
    </row>
    <row r="3155" customFormat="false" ht="15" hidden="false" customHeight="false" outlineLevel="0" collapsed="false">
      <c r="A3155" s="2" t="n">
        <v>46234</v>
      </c>
      <c r="B3155" s="3" t="s">
        <v>60</v>
      </c>
      <c r="C3155" s="0" t="n">
        <v>101</v>
      </c>
      <c r="D3155" s="0" t="n">
        <v>1</v>
      </c>
      <c r="E3155" s="0" t="str">
        <f aca="false">INDEX(lot!$B$2:$B$1201,MATCH(B3155,lot!$A$2:$A$1201,0))</f>
        <v>SUP-E</v>
      </c>
      <c r="F3155" s="3" t="n">
        <f aca="false">YEAR(A3155)*100+MONTH(A3155)</f>
        <v>202607</v>
      </c>
    </row>
    <row r="3156" customFormat="false" ht="15" hidden="false" customHeight="false" outlineLevel="0" collapsed="false">
      <c r="A3156" s="2" t="n">
        <v>46234</v>
      </c>
      <c r="B3156" s="3" t="s">
        <v>60</v>
      </c>
      <c r="C3156" s="0" t="n">
        <v>220</v>
      </c>
      <c r="D3156" s="0" t="n">
        <v>2</v>
      </c>
      <c r="E3156" s="0" t="str">
        <f aca="false">INDEX(lot!$B$2:$B$1201,MATCH(B3156,lot!$A$2:$A$1201,0))</f>
        <v>SUP-E</v>
      </c>
      <c r="F3156" s="3" t="n">
        <f aca="false">YEAR(A3156)*100+MONTH(A3156)</f>
        <v>202607</v>
      </c>
    </row>
    <row r="3157" customFormat="false" ht="15" hidden="false" customHeight="false" outlineLevel="0" collapsed="false">
      <c r="A3157" s="2" t="n">
        <v>46234</v>
      </c>
      <c r="B3157" s="3" t="s">
        <v>84</v>
      </c>
      <c r="C3157" s="0" t="n">
        <v>217</v>
      </c>
      <c r="D3157" s="0" t="n">
        <v>4</v>
      </c>
      <c r="E3157" s="0" t="str">
        <f aca="false">INDEX(lot!$B$2:$B$1201,MATCH(B3157,lot!$A$2:$A$1201,0))</f>
        <v>SUP-A</v>
      </c>
      <c r="F3157" s="3" t="n">
        <f aca="false">YEAR(A3157)*100+MONTH(A3157)</f>
        <v>202607</v>
      </c>
    </row>
    <row r="3158" customFormat="false" ht="15" hidden="false" customHeight="false" outlineLevel="0" collapsed="false">
      <c r="A3158" s="2" t="n">
        <v>46234</v>
      </c>
      <c r="B3158" s="3" t="s">
        <v>218</v>
      </c>
      <c r="C3158" s="0" t="n">
        <v>184</v>
      </c>
      <c r="D3158" s="0" t="n">
        <v>1</v>
      </c>
      <c r="E3158" s="0" t="str">
        <f aca="false">INDEX(lot!$B$2:$B$1201,MATCH(B3158,lot!$A$2:$A$1201,0))</f>
        <v>SUP-E</v>
      </c>
      <c r="F3158" s="3" t="n">
        <f aca="false">YEAR(A3158)*100+MONTH(A3158)</f>
        <v>202607</v>
      </c>
    </row>
    <row r="3159" customFormat="false" ht="15" hidden="false" customHeight="false" outlineLevel="0" collapsed="false">
      <c r="A3159" s="2" t="n">
        <v>46234</v>
      </c>
      <c r="B3159" s="3" t="s">
        <v>218</v>
      </c>
      <c r="C3159" s="0" t="n">
        <v>244</v>
      </c>
      <c r="D3159" s="0" t="n">
        <v>3</v>
      </c>
      <c r="E3159" s="0" t="str">
        <f aca="false">INDEX(lot!$B$2:$B$1201,MATCH(B3159,lot!$A$2:$A$1201,0))</f>
        <v>SUP-E</v>
      </c>
      <c r="F3159" s="3" t="n">
        <f aca="false">YEAR(A3159)*100+MONTH(A3159)</f>
        <v>202607</v>
      </c>
    </row>
    <row r="3160" customFormat="false" ht="15" hidden="false" customHeight="false" outlineLevel="0" collapsed="false">
      <c r="A3160" s="2" t="n">
        <v>46234</v>
      </c>
      <c r="B3160" s="3" t="s">
        <v>408</v>
      </c>
      <c r="C3160" s="0" t="n">
        <v>215</v>
      </c>
      <c r="D3160" s="0" t="n">
        <v>5</v>
      </c>
      <c r="E3160" s="0" t="str">
        <f aca="false">INDEX(lot!$B$2:$B$1201,MATCH(B3160,lot!$A$2:$A$1201,0))</f>
        <v>SUP-E</v>
      </c>
      <c r="F3160" s="3" t="n">
        <f aca="false">YEAR(A3160)*100+MONTH(A3160)</f>
        <v>202607</v>
      </c>
    </row>
    <row r="3161" customFormat="false" ht="15" hidden="false" customHeight="false" outlineLevel="0" collapsed="false">
      <c r="A3161" s="2" t="n">
        <v>46234</v>
      </c>
      <c r="B3161" s="3" t="s">
        <v>423</v>
      </c>
      <c r="C3161" s="0" t="n">
        <v>117</v>
      </c>
      <c r="D3161" s="0" t="n">
        <v>5</v>
      </c>
      <c r="E3161" s="0" t="str">
        <f aca="false">INDEX(lot!$B$2:$B$1201,MATCH(B3161,lot!$A$2:$A$1201,0))</f>
        <v>SUP-C</v>
      </c>
      <c r="F3161" s="3" t="n">
        <f aca="false">YEAR(A3161)*100+MONTH(A3161)</f>
        <v>202607</v>
      </c>
    </row>
    <row r="3162" customFormat="false" ht="15" hidden="false" customHeight="false" outlineLevel="0" collapsed="false">
      <c r="A3162" s="2" t="n">
        <v>46234</v>
      </c>
      <c r="B3162" s="3" t="s">
        <v>423</v>
      </c>
      <c r="C3162" s="0" t="n">
        <v>186</v>
      </c>
      <c r="D3162" s="0" t="n">
        <v>6</v>
      </c>
      <c r="E3162" s="0" t="str">
        <f aca="false">INDEX(lot!$B$2:$B$1201,MATCH(B3162,lot!$A$2:$A$1201,0))</f>
        <v>SUP-C</v>
      </c>
      <c r="F3162" s="3" t="n">
        <f aca="false">YEAR(A3162)*100+MONTH(A3162)</f>
        <v>202607</v>
      </c>
    </row>
    <row r="3163" customFormat="false" ht="15" hidden="false" customHeight="false" outlineLevel="0" collapsed="false">
      <c r="A3163" s="2" t="n">
        <v>46234</v>
      </c>
      <c r="B3163" s="3" t="s">
        <v>453</v>
      </c>
      <c r="C3163" s="0" t="n">
        <v>215</v>
      </c>
      <c r="D3163" s="0" t="n">
        <v>8</v>
      </c>
      <c r="E3163" s="0" t="str">
        <f aca="false">INDEX(lot!$B$2:$B$1201,MATCH(B3163,lot!$A$2:$A$1201,0))</f>
        <v>SUP-C</v>
      </c>
      <c r="F3163" s="3" t="n">
        <f aca="false">YEAR(A3163)*100+MONTH(A3163)</f>
        <v>202607</v>
      </c>
    </row>
    <row r="3164" customFormat="false" ht="15" hidden="false" customHeight="false" outlineLevel="0" collapsed="false">
      <c r="A3164" s="2" t="n">
        <v>46234</v>
      </c>
      <c r="B3164" s="3" t="s">
        <v>477</v>
      </c>
      <c r="C3164" s="0" t="n">
        <v>88</v>
      </c>
      <c r="D3164" s="0" t="n">
        <v>0</v>
      </c>
      <c r="E3164" s="0" t="str">
        <f aca="false">INDEX(lot!$B$2:$B$1201,MATCH(B3164,lot!$A$2:$A$1201,0))</f>
        <v>SUP-A</v>
      </c>
      <c r="F3164" s="3" t="n">
        <f aca="false">YEAR(A3164)*100+MONTH(A3164)</f>
        <v>202607</v>
      </c>
    </row>
    <row r="3165" customFormat="false" ht="15" hidden="false" customHeight="false" outlineLevel="0" collapsed="false">
      <c r="A3165" s="2" t="n">
        <v>46234</v>
      </c>
      <c r="B3165" s="3" t="s">
        <v>477</v>
      </c>
      <c r="C3165" s="0" t="n">
        <v>78</v>
      </c>
      <c r="D3165" s="0" t="n">
        <v>1</v>
      </c>
      <c r="E3165" s="0" t="str">
        <f aca="false">INDEX(lot!$B$2:$B$1201,MATCH(B3165,lot!$A$2:$A$1201,0))</f>
        <v>SUP-A</v>
      </c>
      <c r="F3165" s="3" t="n">
        <f aca="false">YEAR(A3165)*100+MONTH(A3165)</f>
        <v>202607</v>
      </c>
    </row>
    <row r="3166" customFormat="false" ht="15" hidden="false" customHeight="false" outlineLevel="0" collapsed="false">
      <c r="A3166" s="2" t="n">
        <v>46234</v>
      </c>
      <c r="B3166" s="3" t="s">
        <v>524</v>
      </c>
      <c r="C3166" s="0" t="n">
        <v>183</v>
      </c>
      <c r="D3166" s="0" t="n">
        <v>2</v>
      </c>
      <c r="E3166" s="0" t="str">
        <f aca="false">INDEX(lot!$B$2:$B$1201,MATCH(B3166,lot!$A$2:$A$1201,0))</f>
        <v>SUP-E</v>
      </c>
      <c r="F3166" s="3" t="n">
        <f aca="false">YEAR(A3166)*100+MONTH(A3166)</f>
        <v>202607</v>
      </c>
    </row>
    <row r="3167" customFormat="false" ht="15" hidden="false" customHeight="false" outlineLevel="0" collapsed="false">
      <c r="A3167" s="2" t="n">
        <v>46234</v>
      </c>
      <c r="B3167" s="3" t="s">
        <v>671</v>
      </c>
      <c r="C3167" s="0" t="n">
        <v>213</v>
      </c>
      <c r="D3167" s="0" t="n">
        <v>5</v>
      </c>
      <c r="E3167" s="0" t="str">
        <f aca="false">INDEX(lot!$B$2:$B$1201,MATCH(B3167,lot!$A$2:$A$1201,0))</f>
        <v>SUP-C</v>
      </c>
      <c r="F3167" s="3" t="n">
        <f aca="false">YEAR(A3167)*100+MONTH(A3167)</f>
        <v>202607</v>
      </c>
    </row>
    <row r="3168" customFormat="false" ht="15" hidden="false" customHeight="false" outlineLevel="0" collapsed="false">
      <c r="A3168" s="2" t="n">
        <v>46234</v>
      </c>
      <c r="B3168" s="3" t="s">
        <v>708</v>
      </c>
      <c r="C3168" s="0" t="n">
        <v>192</v>
      </c>
      <c r="D3168" s="0" t="n">
        <v>5</v>
      </c>
      <c r="E3168" s="0" t="str">
        <f aca="false">INDEX(lot!$B$2:$B$1201,MATCH(B3168,lot!$A$2:$A$1201,0))</f>
        <v>SUP-A</v>
      </c>
      <c r="F3168" s="3" t="n">
        <f aca="false">YEAR(A3168)*100+MONTH(A3168)</f>
        <v>202607</v>
      </c>
    </row>
    <row r="3169" customFormat="false" ht="15" hidden="false" customHeight="false" outlineLevel="0" collapsed="false">
      <c r="A3169" s="2" t="n">
        <v>46234</v>
      </c>
      <c r="B3169" s="3" t="s">
        <v>708</v>
      </c>
      <c r="C3169" s="0" t="n">
        <v>242</v>
      </c>
      <c r="D3169" s="0" t="n">
        <v>4</v>
      </c>
      <c r="E3169" s="0" t="str">
        <f aca="false">INDEX(lot!$B$2:$B$1201,MATCH(B3169,lot!$A$2:$A$1201,0))</f>
        <v>SUP-A</v>
      </c>
      <c r="F3169" s="3" t="n">
        <f aca="false">YEAR(A3169)*100+MONTH(A3169)</f>
        <v>202607</v>
      </c>
    </row>
    <row r="3170" customFormat="false" ht="15" hidden="false" customHeight="false" outlineLevel="0" collapsed="false">
      <c r="A3170" s="2" t="n">
        <v>46234</v>
      </c>
      <c r="B3170" s="3" t="s">
        <v>727</v>
      </c>
      <c r="C3170" s="0" t="n">
        <v>159</v>
      </c>
      <c r="D3170" s="0" t="n">
        <v>2</v>
      </c>
      <c r="E3170" s="0" t="str">
        <f aca="false">INDEX(lot!$B$2:$B$1201,MATCH(B3170,lot!$A$2:$A$1201,0))</f>
        <v>SUP-A</v>
      </c>
      <c r="F3170" s="3" t="n">
        <f aca="false">YEAR(A3170)*100+MONTH(A3170)</f>
        <v>202607</v>
      </c>
    </row>
    <row r="3171" customFormat="false" ht="15" hidden="false" customHeight="false" outlineLevel="0" collapsed="false">
      <c r="A3171" s="2" t="n">
        <v>46234</v>
      </c>
      <c r="B3171" s="3" t="s">
        <v>727</v>
      </c>
      <c r="C3171" s="0" t="n">
        <v>202</v>
      </c>
      <c r="D3171" s="0" t="n">
        <v>5</v>
      </c>
      <c r="E3171" s="0" t="str">
        <f aca="false">INDEX(lot!$B$2:$B$1201,MATCH(B3171,lot!$A$2:$A$1201,0))</f>
        <v>SUP-A</v>
      </c>
      <c r="F3171" s="3" t="n">
        <f aca="false">YEAR(A3171)*100+MONTH(A3171)</f>
        <v>202607</v>
      </c>
    </row>
    <row r="3172" customFormat="false" ht="15" hidden="false" customHeight="false" outlineLevel="0" collapsed="false">
      <c r="A3172" s="2" t="n">
        <v>46234</v>
      </c>
      <c r="B3172" s="3" t="s">
        <v>761</v>
      </c>
      <c r="C3172" s="0" t="n">
        <v>129</v>
      </c>
      <c r="D3172" s="0" t="n">
        <v>1</v>
      </c>
      <c r="E3172" s="0" t="str">
        <f aca="false">INDEX(lot!$B$2:$B$1201,MATCH(B3172,lot!$A$2:$A$1201,0))</f>
        <v>SUP-D</v>
      </c>
      <c r="F3172" s="3" t="n">
        <f aca="false">YEAR(A3172)*100+MONTH(A3172)</f>
        <v>202607</v>
      </c>
    </row>
    <row r="3173" customFormat="false" ht="15" hidden="false" customHeight="false" outlineLevel="0" collapsed="false">
      <c r="A3173" s="2" t="n">
        <v>46234</v>
      </c>
      <c r="B3173" s="3" t="s">
        <v>825</v>
      </c>
      <c r="C3173" s="0" t="n">
        <v>63</v>
      </c>
      <c r="D3173" s="0" t="n">
        <v>7</v>
      </c>
      <c r="E3173" s="0" t="str">
        <f aca="false">INDEX(lot!$B$2:$B$1201,MATCH(B3173,lot!$A$2:$A$1201,0))</f>
        <v>SUP-A</v>
      </c>
      <c r="F3173" s="3" t="n">
        <f aca="false">YEAR(A3173)*100+MONTH(A3173)</f>
        <v>202607</v>
      </c>
    </row>
    <row r="3174" customFormat="false" ht="15" hidden="false" customHeight="false" outlineLevel="0" collapsed="false">
      <c r="A3174" s="2" t="n">
        <v>46234</v>
      </c>
      <c r="B3174" s="3" t="s">
        <v>866</v>
      </c>
      <c r="C3174" s="0" t="n">
        <v>173</v>
      </c>
      <c r="D3174" s="0" t="n">
        <v>2</v>
      </c>
      <c r="E3174" s="0" t="str">
        <f aca="false">INDEX(lot!$B$2:$B$1201,MATCH(B3174,lot!$A$2:$A$1201,0))</f>
        <v>SUP-E</v>
      </c>
      <c r="F3174" s="3" t="n">
        <f aca="false">YEAR(A3174)*100+MONTH(A3174)</f>
        <v>202607</v>
      </c>
    </row>
    <row r="3175" customFormat="false" ht="15" hidden="false" customHeight="false" outlineLevel="0" collapsed="false">
      <c r="A3175" s="2" t="n">
        <v>46234</v>
      </c>
      <c r="B3175" s="3" t="s">
        <v>881</v>
      </c>
      <c r="C3175" s="0" t="n">
        <v>139</v>
      </c>
      <c r="D3175" s="0" t="n">
        <v>0</v>
      </c>
      <c r="E3175" s="0" t="str">
        <f aca="false">INDEX(lot!$B$2:$B$1201,MATCH(B3175,lot!$A$2:$A$1201,0))</f>
        <v>SUP-B</v>
      </c>
      <c r="F3175" s="3" t="n">
        <f aca="false">YEAR(A3175)*100+MONTH(A3175)</f>
        <v>202607</v>
      </c>
    </row>
    <row r="3176" customFormat="false" ht="15" hidden="false" customHeight="false" outlineLevel="0" collapsed="false">
      <c r="A3176" s="2" t="n">
        <v>46234</v>
      </c>
      <c r="B3176" s="3" t="s">
        <v>900</v>
      </c>
      <c r="C3176" s="0" t="n">
        <v>64</v>
      </c>
      <c r="D3176" s="0" t="n">
        <v>2</v>
      </c>
      <c r="E3176" s="0" t="str">
        <f aca="false">INDEX(lot!$B$2:$B$1201,MATCH(B3176,lot!$A$2:$A$1201,0))</f>
        <v>SUP-C</v>
      </c>
      <c r="F3176" s="3" t="n">
        <f aca="false">YEAR(A3176)*100+MONTH(A3176)</f>
        <v>202607</v>
      </c>
    </row>
    <row r="3177" customFormat="false" ht="15" hidden="false" customHeight="false" outlineLevel="0" collapsed="false">
      <c r="A3177" s="2" t="n">
        <v>46234</v>
      </c>
      <c r="B3177" s="3" t="s">
        <v>1014</v>
      </c>
      <c r="C3177" s="0" t="n">
        <v>245</v>
      </c>
      <c r="D3177" s="0" t="n">
        <v>8</v>
      </c>
      <c r="E3177" s="0" t="str">
        <f aca="false">INDEX(lot!$B$2:$B$1201,MATCH(B3177,lot!$A$2:$A$1201,0))</f>
        <v>SUP-A</v>
      </c>
      <c r="F3177" s="3" t="n">
        <f aca="false">YEAR(A3177)*100+MONTH(A3177)</f>
        <v>202607</v>
      </c>
    </row>
    <row r="3178" customFormat="false" ht="15" hidden="false" customHeight="false" outlineLevel="0" collapsed="false">
      <c r="A3178" s="2" t="n">
        <v>46234</v>
      </c>
      <c r="B3178" s="3" t="s">
        <v>1018</v>
      </c>
      <c r="C3178" s="0" t="n">
        <v>136</v>
      </c>
      <c r="D3178" s="0" t="n">
        <v>2</v>
      </c>
      <c r="E3178" s="0" t="str">
        <f aca="false">INDEX(lot!$B$2:$B$1201,MATCH(B3178,lot!$A$2:$A$1201,0))</f>
        <v>SUP-A</v>
      </c>
      <c r="F3178" s="3" t="n">
        <f aca="false">YEAR(A3178)*100+MONTH(A3178)</f>
        <v>202607</v>
      </c>
    </row>
    <row r="3179" customFormat="false" ht="15" hidden="false" customHeight="false" outlineLevel="0" collapsed="false">
      <c r="A3179" s="2" t="n">
        <v>46234</v>
      </c>
      <c r="B3179" s="3" t="s">
        <v>1043</v>
      </c>
      <c r="C3179" s="0" t="n">
        <v>114</v>
      </c>
      <c r="D3179" s="0" t="n">
        <v>1</v>
      </c>
      <c r="E3179" s="0" t="str">
        <f aca="false">INDEX(lot!$B$2:$B$1201,MATCH(B3179,lot!$A$2:$A$1201,0))</f>
        <v>SUP-E</v>
      </c>
      <c r="F3179" s="3" t="n">
        <f aca="false">YEAR(A3179)*100+MONTH(A3179)</f>
        <v>202607</v>
      </c>
    </row>
    <row r="3180" customFormat="false" ht="15" hidden="false" customHeight="false" outlineLevel="0" collapsed="false">
      <c r="A3180" s="2" t="n">
        <v>46234</v>
      </c>
      <c r="B3180" s="3" t="s">
        <v>1063</v>
      </c>
      <c r="C3180" s="0" t="n">
        <v>71</v>
      </c>
      <c r="D3180" s="0" t="n">
        <v>1</v>
      </c>
      <c r="E3180" s="0" t="str">
        <f aca="false">INDEX(lot!$B$2:$B$1201,MATCH(B3180,lot!$A$2:$A$1201,0))</f>
        <v>SUP-E</v>
      </c>
      <c r="F3180" s="3" t="n">
        <f aca="false">YEAR(A3180)*100+MONTH(A3180)</f>
        <v>202607</v>
      </c>
    </row>
    <row r="3181" customFormat="false" ht="15" hidden="false" customHeight="false" outlineLevel="0" collapsed="false">
      <c r="A3181" s="2" t="n">
        <v>46234</v>
      </c>
      <c r="B3181" s="3" t="s">
        <v>1069</v>
      </c>
      <c r="C3181" s="0" t="n">
        <v>123</v>
      </c>
      <c r="D3181" s="0" t="n">
        <v>1</v>
      </c>
      <c r="E3181" s="0" t="str">
        <f aca="false">INDEX(lot!$B$2:$B$1201,MATCH(B3181,lot!$A$2:$A$1201,0))</f>
        <v>SUP-E</v>
      </c>
      <c r="F3181" s="3" t="n">
        <f aca="false">YEAR(A3181)*100+MONTH(A3181)</f>
        <v>202607</v>
      </c>
    </row>
    <row r="3182" customFormat="false" ht="15" hidden="false" customHeight="false" outlineLevel="0" collapsed="false">
      <c r="A3182" s="2" t="n">
        <v>46234</v>
      </c>
      <c r="B3182" s="3" t="s">
        <v>1083</v>
      </c>
      <c r="C3182" s="0" t="n">
        <v>92</v>
      </c>
      <c r="D3182" s="0" t="n">
        <v>2</v>
      </c>
      <c r="E3182" s="0" t="str">
        <f aca="false">INDEX(lot!$B$2:$B$1201,MATCH(B3182,lot!$A$2:$A$1201,0))</f>
        <v>SUP-E</v>
      </c>
      <c r="F3182" s="3" t="n">
        <f aca="false">YEAR(A3182)*100+MONTH(A3182)</f>
        <v>202607</v>
      </c>
    </row>
    <row r="3183" customFormat="false" ht="15" hidden="false" customHeight="false" outlineLevel="0" collapsed="false">
      <c r="A3183" s="2" t="n">
        <v>46234</v>
      </c>
      <c r="B3183" s="3" t="s">
        <v>1083</v>
      </c>
      <c r="C3183" s="0" t="n">
        <v>95</v>
      </c>
      <c r="D3183" s="0" t="n">
        <v>2</v>
      </c>
      <c r="E3183" s="0" t="str">
        <f aca="false">INDEX(lot!$B$2:$B$1201,MATCH(B3183,lot!$A$2:$A$1201,0))</f>
        <v>SUP-E</v>
      </c>
      <c r="F3183" s="3" t="n">
        <f aca="false">YEAR(A3183)*100+MONTH(A3183)</f>
        <v>202607</v>
      </c>
    </row>
    <row r="3184" customFormat="false" ht="15" hidden="false" customHeight="false" outlineLevel="0" collapsed="false">
      <c r="A3184" s="2" t="n">
        <v>46234</v>
      </c>
      <c r="B3184" s="3" t="s">
        <v>1094</v>
      </c>
      <c r="C3184" s="0" t="n">
        <v>102</v>
      </c>
      <c r="D3184" s="0" t="n">
        <v>0</v>
      </c>
      <c r="E3184" s="0" t="str">
        <f aca="false">INDEX(lot!$B$2:$B$1201,MATCH(B3184,lot!$A$2:$A$1201,0))</f>
        <v>SUP-E</v>
      </c>
      <c r="F3184" s="3" t="n">
        <f aca="false">YEAR(A3184)*100+MONTH(A3184)</f>
        <v>202607</v>
      </c>
    </row>
    <row r="3185" customFormat="false" ht="15" hidden="false" customHeight="false" outlineLevel="0" collapsed="false">
      <c r="A3185" s="2" t="n">
        <v>46234</v>
      </c>
      <c r="B3185" s="3" t="s">
        <v>1155</v>
      </c>
      <c r="C3185" s="0" t="n">
        <v>75</v>
      </c>
      <c r="D3185" s="0" t="n">
        <v>2</v>
      </c>
      <c r="E3185" s="0" t="str">
        <f aca="false">INDEX(lot!$B$2:$B$1201,MATCH(B3185,lot!$A$2:$A$1201,0))</f>
        <v>SUP-A</v>
      </c>
      <c r="F3185" s="3" t="n">
        <f aca="false">YEAR(A3185)*100+MONTH(A3185)</f>
        <v>202607</v>
      </c>
    </row>
    <row r="3186" customFormat="false" ht="15" hidden="false" customHeight="false" outlineLevel="0" collapsed="false">
      <c r="A3186" s="2" t="n">
        <v>46234</v>
      </c>
      <c r="B3186" s="3" t="s">
        <v>1155</v>
      </c>
      <c r="C3186" s="0" t="n">
        <v>154</v>
      </c>
      <c r="D3186" s="0" t="n">
        <v>4</v>
      </c>
      <c r="E3186" s="0" t="str">
        <f aca="false">INDEX(lot!$B$2:$B$1201,MATCH(B3186,lot!$A$2:$A$1201,0))</f>
        <v>SUP-A</v>
      </c>
      <c r="F3186" s="3" t="n">
        <f aca="false">YEAR(A3186)*100+MONTH(A3186)</f>
        <v>202607</v>
      </c>
    </row>
    <row r="3187" customFormat="false" ht="15" hidden="false" customHeight="false" outlineLevel="0" collapsed="false">
      <c r="A3187" s="2" t="n">
        <v>46234</v>
      </c>
      <c r="B3187" s="3" t="s">
        <v>1206</v>
      </c>
      <c r="C3187" s="0" t="n">
        <v>123</v>
      </c>
      <c r="D3187" s="0" t="n">
        <v>3</v>
      </c>
      <c r="E3187" s="0" t="str">
        <f aca="false">INDEX(lot!$B$2:$B$1201,MATCH(B3187,lot!$A$2:$A$1201,0))</f>
        <v>SUP-C</v>
      </c>
      <c r="F3187" s="3" t="n">
        <f aca="false">YEAR(A3187)*100+MONTH(A3187)</f>
        <v>202607</v>
      </c>
    </row>
    <row r="3188" customFormat="false" ht="15" hidden="false" customHeight="false" outlineLevel="0" collapsed="false">
      <c r="A3188" s="2" t="n">
        <v>46237</v>
      </c>
      <c r="B3188" s="3" t="s">
        <v>31</v>
      </c>
      <c r="C3188" s="0" t="n">
        <v>144</v>
      </c>
      <c r="D3188" s="0" t="n">
        <v>5</v>
      </c>
      <c r="E3188" s="0" t="str">
        <f aca="false">INDEX(lot!$B$2:$B$1201,MATCH(B3188,lot!$A$2:$A$1201,0))</f>
        <v>SUP-C</v>
      </c>
      <c r="F3188" s="3" t="n">
        <f aca="false">YEAR(A3188)*100+MONTH(A3188)</f>
        <v>202608</v>
      </c>
    </row>
    <row r="3189" customFormat="false" ht="15" hidden="false" customHeight="false" outlineLevel="0" collapsed="false">
      <c r="A3189" s="2" t="n">
        <v>46237</v>
      </c>
      <c r="B3189" s="3" t="s">
        <v>84</v>
      </c>
      <c r="C3189" s="0" t="n">
        <v>141</v>
      </c>
      <c r="D3189" s="0" t="n">
        <v>5</v>
      </c>
      <c r="E3189" s="0" t="str">
        <f aca="false">INDEX(lot!$B$2:$B$1201,MATCH(B3189,lot!$A$2:$A$1201,0))</f>
        <v>SUP-A</v>
      </c>
      <c r="F3189" s="3" t="n">
        <f aca="false">YEAR(A3189)*100+MONTH(A3189)</f>
        <v>202608</v>
      </c>
    </row>
    <row r="3190" customFormat="false" ht="15" hidden="false" customHeight="false" outlineLevel="0" collapsed="false">
      <c r="A3190" s="2" t="n">
        <v>46237</v>
      </c>
      <c r="B3190" s="3" t="s">
        <v>84</v>
      </c>
      <c r="C3190" s="0" t="n">
        <v>184</v>
      </c>
      <c r="D3190" s="0" t="n">
        <v>2</v>
      </c>
      <c r="E3190" s="0" t="str">
        <f aca="false">INDEX(lot!$B$2:$B$1201,MATCH(B3190,lot!$A$2:$A$1201,0))</f>
        <v>SUP-A</v>
      </c>
      <c r="F3190" s="3" t="n">
        <f aca="false">YEAR(A3190)*100+MONTH(A3190)</f>
        <v>202608</v>
      </c>
    </row>
    <row r="3191" customFormat="false" ht="15" hidden="false" customHeight="false" outlineLevel="0" collapsed="false">
      <c r="A3191" s="2" t="n">
        <v>46237</v>
      </c>
      <c r="B3191" s="3" t="s">
        <v>96</v>
      </c>
      <c r="C3191" s="0" t="n">
        <v>123</v>
      </c>
      <c r="D3191" s="0" t="n">
        <v>3</v>
      </c>
      <c r="E3191" s="0" t="str">
        <f aca="false">INDEX(lot!$B$2:$B$1201,MATCH(B3191,lot!$A$2:$A$1201,0))</f>
        <v>SUP-A</v>
      </c>
      <c r="F3191" s="3" t="n">
        <f aca="false">YEAR(A3191)*100+MONTH(A3191)</f>
        <v>202608</v>
      </c>
    </row>
    <row r="3192" customFormat="false" ht="15" hidden="false" customHeight="false" outlineLevel="0" collapsed="false">
      <c r="A3192" s="2" t="n">
        <v>46237</v>
      </c>
      <c r="B3192" s="3" t="s">
        <v>120</v>
      </c>
      <c r="C3192" s="0" t="n">
        <v>218</v>
      </c>
      <c r="D3192" s="0" t="n">
        <v>5</v>
      </c>
      <c r="E3192" s="0" t="str">
        <f aca="false">INDEX(lot!$B$2:$B$1201,MATCH(B3192,lot!$A$2:$A$1201,0))</f>
        <v>SUP-A</v>
      </c>
      <c r="F3192" s="3" t="n">
        <f aca="false">YEAR(A3192)*100+MONTH(A3192)</f>
        <v>202608</v>
      </c>
    </row>
    <row r="3193" customFormat="false" ht="15" hidden="false" customHeight="false" outlineLevel="0" collapsed="false">
      <c r="A3193" s="2" t="n">
        <v>46237</v>
      </c>
      <c r="B3193" s="3" t="s">
        <v>218</v>
      </c>
      <c r="C3193" s="0" t="n">
        <v>227</v>
      </c>
      <c r="D3193" s="0" t="n">
        <v>3</v>
      </c>
      <c r="E3193" s="0" t="str">
        <f aca="false">INDEX(lot!$B$2:$B$1201,MATCH(B3193,lot!$A$2:$A$1201,0))</f>
        <v>SUP-E</v>
      </c>
      <c r="F3193" s="3" t="n">
        <f aca="false">YEAR(A3193)*100+MONTH(A3193)</f>
        <v>202608</v>
      </c>
    </row>
    <row r="3194" customFormat="false" ht="15" hidden="false" customHeight="false" outlineLevel="0" collapsed="false">
      <c r="A3194" s="2" t="n">
        <v>46237</v>
      </c>
      <c r="B3194" s="3" t="s">
        <v>282</v>
      </c>
      <c r="C3194" s="0" t="n">
        <v>147</v>
      </c>
      <c r="D3194" s="0" t="n">
        <v>1</v>
      </c>
      <c r="E3194" s="0" t="str">
        <f aca="false">INDEX(lot!$B$2:$B$1201,MATCH(B3194,lot!$A$2:$A$1201,0))</f>
        <v>SUP-D</v>
      </c>
      <c r="F3194" s="3" t="n">
        <f aca="false">YEAR(A3194)*100+MONTH(A3194)</f>
        <v>202608</v>
      </c>
    </row>
    <row r="3195" customFormat="false" ht="15" hidden="false" customHeight="false" outlineLevel="0" collapsed="false">
      <c r="A3195" s="2" t="n">
        <v>46237</v>
      </c>
      <c r="B3195" s="3" t="s">
        <v>282</v>
      </c>
      <c r="C3195" s="0" t="n">
        <v>87</v>
      </c>
      <c r="D3195" s="0" t="n">
        <v>1</v>
      </c>
      <c r="E3195" s="0" t="str">
        <f aca="false">INDEX(lot!$B$2:$B$1201,MATCH(B3195,lot!$A$2:$A$1201,0))</f>
        <v>SUP-D</v>
      </c>
      <c r="F3195" s="3" t="n">
        <f aca="false">YEAR(A3195)*100+MONTH(A3195)</f>
        <v>202608</v>
      </c>
    </row>
    <row r="3196" customFormat="false" ht="15" hidden="false" customHeight="false" outlineLevel="0" collapsed="false">
      <c r="A3196" s="2" t="n">
        <v>46237</v>
      </c>
      <c r="B3196" s="3" t="s">
        <v>408</v>
      </c>
      <c r="C3196" s="0" t="n">
        <v>215</v>
      </c>
      <c r="D3196" s="0" t="n">
        <v>2</v>
      </c>
      <c r="E3196" s="0" t="str">
        <f aca="false">INDEX(lot!$B$2:$B$1201,MATCH(B3196,lot!$A$2:$A$1201,0))</f>
        <v>SUP-E</v>
      </c>
      <c r="F3196" s="3" t="n">
        <f aca="false">YEAR(A3196)*100+MONTH(A3196)</f>
        <v>202608</v>
      </c>
    </row>
    <row r="3197" customFormat="false" ht="15" hidden="false" customHeight="false" outlineLevel="0" collapsed="false">
      <c r="A3197" s="2" t="n">
        <v>46237</v>
      </c>
      <c r="B3197" s="3" t="s">
        <v>408</v>
      </c>
      <c r="C3197" s="0" t="n">
        <v>92</v>
      </c>
      <c r="D3197" s="0" t="n">
        <v>0</v>
      </c>
      <c r="E3197" s="0" t="str">
        <f aca="false">INDEX(lot!$B$2:$B$1201,MATCH(B3197,lot!$A$2:$A$1201,0))</f>
        <v>SUP-E</v>
      </c>
      <c r="F3197" s="3" t="n">
        <f aca="false">YEAR(A3197)*100+MONTH(A3197)</f>
        <v>202608</v>
      </c>
    </row>
    <row r="3198" customFormat="false" ht="15" hidden="false" customHeight="false" outlineLevel="0" collapsed="false">
      <c r="A3198" s="2" t="n">
        <v>46237</v>
      </c>
      <c r="B3198" s="3" t="s">
        <v>423</v>
      </c>
      <c r="C3198" s="0" t="n">
        <v>235</v>
      </c>
      <c r="D3198" s="0" t="n">
        <v>4</v>
      </c>
      <c r="E3198" s="0" t="str">
        <f aca="false">INDEX(lot!$B$2:$B$1201,MATCH(B3198,lot!$A$2:$A$1201,0))</f>
        <v>SUP-C</v>
      </c>
      <c r="F3198" s="3" t="n">
        <f aca="false">YEAR(A3198)*100+MONTH(A3198)</f>
        <v>202608</v>
      </c>
    </row>
    <row r="3199" customFormat="false" ht="15" hidden="false" customHeight="false" outlineLevel="0" collapsed="false">
      <c r="A3199" s="2" t="n">
        <v>46237</v>
      </c>
      <c r="B3199" s="3" t="s">
        <v>423</v>
      </c>
      <c r="C3199" s="0" t="n">
        <v>63</v>
      </c>
      <c r="D3199" s="0" t="n">
        <v>2</v>
      </c>
      <c r="E3199" s="0" t="str">
        <f aca="false">INDEX(lot!$B$2:$B$1201,MATCH(B3199,lot!$A$2:$A$1201,0))</f>
        <v>SUP-C</v>
      </c>
      <c r="F3199" s="3" t="n">
        <f aca="false">YEAR(A3199)*100+MONTH(A3199)</f>
        <v>202608</v>
      </c>
    </row>
    <row r="3200" customFormat="false" ht="15" hidden="false" customHeight="false" outlineLevel="0" collapsed="false">
      <c r="A3200" s="2" t="n">
        <v>46237</v>
      </c>
      <c r="B3200" s="3" t="s">
        <v>453</v>
      </c>
      <c r="C3200" s="0" t="n">
        <v>72</v>
      </c>
      <c r="D3200" s="0" t="n">
        <v>2</v>
      </c>
      <c r="E3200" s="0" t="str">
        <f aca="false">INDEX(lot!$B$2:$B$1201,MATCH(B3200,lot!$A$2:$A$1201,0))</f>
        <v>SUP-C</v>
      </c>
      <c r="F3200" s="3" t="n">
        <f aca="false">YEAR(A3200)*100+MONTH(A3200)</f>
        <v>202608</v>
      </c>
    </row>
    <row r="3201" customFormat="false" ht="15" hidden="false" customHeight="false" outlineLevel="0" collapsed="false">
      <c r="A3201" s="2" t="n">
        <v>46237</v>
      </c>
      <c r="B3201" s="3" t="s">
        <v>514</v>
      </c>
      <c r="C3201" s="0" t="n">
        <v>138</v>
      </c>
      <c r="D3201" s="0" t="n">
        <v>2</v>
      </c>
      <c r="E3201" s="0" t="str">
        <f aca="false">INDEX(lot!$B$2:$B$1201,MATCH(B3201,lot!$A$2:$A$1201,0))</f>
        <v>SUP-D</v>
      </c>
      <c r="F3201" s="3" t="n">
        <f aca="false">YEAR(A3201)*100+MONTH(A3201)</f>
        <v>202608</v>
      </c>
    </row>
    <row r="3202" customFormat="false" ht="15" hidden="false" customHeight="false" outlineLevel="0" collapsed="false">
      <c r="A3202" s="2" t="n">
        <v>46237</v>
      </c>
      <c r="B3202" s="3" t="s">
        <v>522</v>
      </c>
      <c r="C3202" s="0" t="n">
        <v>121</v>
      </c>
      <c r="D3202" s="0" t="n">
        <v>0</v>
      </c>
      <c r="E3202" s="0" t="str">
        <f aca="false">INDEX(lot!$B$2:$B$1201,MATCH(B3202,lot!$A$2:$A$1201,0))</f>
        <v>SUP-D</v>
      </c>
      <c r="F3202" s="3" t="n">
        <f aca="false">YEAR(A3202)*100+MONTH(A3202)</f>
        <v>202608</v>
      </c>
    </row>
    <row r="3203" customFormat="false" ht="15" hidden="false" customHeight="false" outlineLevel="0" collapsed="false">
      <c r="A3203" s="2" t="n">
        <v>46237</v>
      </c>
      <c r="B3203" s="3" t="s">
        <v>522</v>
      </c>
      <c r="C3203" s="0" t="n">
        <v>73</v>
      </c>
      <c r="D3203" s="0" t="n">
        <v>0</v>
      </c>
      <c r="E3203" s="0" t="str">
        <f aca="false">INDEX(lot!$B$2:$B$1201,MATCH(B3203,lot!$A$2:$A$1201,0))</f>
        <v>SUP-D</v>
      </c>
      <c r="F3203" s="3" t="n">
        <f aca="false">YEAR(A3203)*100+MONTH(A3203)</f>
        <v>202608</v>
      </c>
    </row>
    <row r="3204" customFormat="false" ht="15" hidden="false" customHeight="false" outlineLevel="0" collapsed="false">
      <c r="A3204" s="2" t="n">
        <v>46237</v>
      </c>
      <c r="B3204" s="3" t="s">
        <v>524</v>
      </c>
      <c r="C3204" s="0" t="n">
        <v>244</v>
      </c>
      <c r="D3204" s="0" t="n">
        <v>2</v>
      </c>
      <c r="E3204" s="0" t="str">
        <f aca="false">INDEX(lot!$B$2:$B$1201,MATCH(B3204,lot!$A$2:$A$1201,0))</f>
        <v>SUP-E</v>
      </c>
      <c r="F3204" s="3" t="n">
        <f aca="false">YEAR(A3204)*100+MONTH(A3204)</f>
        <v>202608</v>
      </c>
    </row>
    <row r="3205" customFormat="false" ht="15" hidden="false" customHeight="false" outlineLevel="0" collapsed="false">
      <c r="A3205" s="2" t="n">
        <v>46237</v>
      </c>
      <c r="B3205" s="3" t="s">
        <v>537</v>
      </c>
      <c r="C3205" s="0" t="n">
        <v>139</v>
      </c>
      <c r="D3205" s="0" t="n">
        <v>2</v>
      </c>
      <c r="E3205" s="0" t="str">
        <f aca="false">INDEX(lot!$B$2:$B$1201,MATCH(B3205,lot!$A$2:$A$1201,0))</f>
        <v>SUP-E</v>
      </c>
      <c r="F3205" s="3" t="n">
        <f aca="false">YEAR(A3205)*100+MONTH(A3205)</f>
        <v>202608</v>
      </c>
    </row>
    <row r="3206" customFormat="false" ht="15" hidden="false" customHeight="false" outlineLevel="0" collapsed="false">
      <c r="A3206" s="2" t="n">
        <v>46237</v>
      </c>
      <c r="B3206" s="3" t="s">
        <v>671</v>
      </c>
      <c r="C3206" s="0" t="n">
        <v>126</v>
      </c>
      <c r="D3206" s="0" t="n">
        <v>4</v>
      </c>
      <c r="E3206" s="0" t="str">
        <f aca="false">INDEX(lot!$B$2:$B$1201,MATCH(B3206,lot!$A$2:$A$1201,0))</f>
        <v>SUP-C</v>
      </c>
      <c r="F3206" s="3" t="n">
        <f aca="false">YEAR(A3206)*100+MONTH(A3206)</f>
        <v>202608</v>
      </c>
    </row>
    <row r="3207" customFormat="false" ht="15" hidden="false" customHeight="false" outlineLevel="0" collapsed="false">
      <c r="A3207" s="2" t="n">
        <v>46237</v>
      </c>
      <c r="B3207" s="3" t="s">
        <v>708</v>
      </c>
      <c r="C3207" s="0" t="n">
        <v>251</v>
      </c>
      <c r="D3207" s="0" t="n">
        <v>5</v>
      </c>
      <c r="E3207" s="0" t="str">
        <f aca="false">INDEX(lot!$B$2:$B$1201,MATCH(B3207,lot!$A$2:$A$1201,0))</f>
        <v>SUP-A</v>
      </c>
      <c r="F3207" s="3" t="n">
        <f aca="false">YEAR(A3207)*100+MONTH(A3207)</f>
        <v>202608</v>
      </c>
    </row>
    <row r="3208" customFormat="false" ht="15" hidden="false" customHeight="false" outlineLevel="0" collapsed="false">
      <c r="A3208" s="2" t="n">
        <v>46237</v>
      </c>
      <c r="B3208" s="3" t="s">
        <v>825</v>
      </c>
      <c r="C3208" s="0" t="n">
        <v>72</v>
      </c>
      <c r="D3208" s="0" t="n">
        <v>7</v>
      </c>
      <c r="E3208" s="0" t="str">
        <f aca="false">INDEX(lot!$B$2:$B$1201,MATCH(B3208,lot!$A$2:$A$1201,0))</f>
        <v>SUP-A</v>
      </c>
      <c r="F3208" s="3" t="n">
        <f aca="false">YEAR(A3208)*100+MONTH(A3208)</f>
        <v>202608</v>
      </c>
    </row>
    <row r="3209" customFormat="false" ht="15" hidden="false" customHeight="false" outlineLevel="0" collapsed="false">
      <c r="A3209" s="2" t="n">
        <v>46237</v>
      </c>
      <c r="B3209" s="3" t="s">
        <v>825</v>
      </c>
      <c r="C3209" s="0" t="n">
        <v>198</v>
      </c>
      <c r="D3209" s="0" t="n">
        <v>13</v>
      </c>
      <c r="E3209" s="0" t="str">
        <f aca="false">INDEX(lot!$B$2:$B$1201,MATCH(B3209,lot!$A$2:$A$1201,0))</f>
        <v>SUP-A</v>
      </c>
      <c r="F3209" s="3" t="n">
        <f aca="false">YEAR(A3209)*100+MONTH(A3209)</f>
        <v>202608</v>
      </c>
    </row>
    <row r="3210" customFormat="false" ht="15" hidden="false" customHeight="false" outlineLevel="0" collapsed="false">
      <c r="A3210" s="2" t="n">
        <v>46237</v>
      </c>
      <c r="B3210" s="3" t="s">
        <v>866</v>
      </c>
      <c r="C3210" s="0" t="n">
        <v>138</v>
      </c>
      <c r="D3210" s="0" t="n">
        <v>1</v>
      </c>
      <c r="E3210" s="0" t="str">
        <f aca="false">INDEX(lot!$B$2:$B$1201,MATCH(B3210,lot!$A$2:$A$1201,0))</f>
        <v>SUP-E</v>
      </c>
      <c r="F3210" s="3" t="n">
        <f aca="false">YEAR(A3210)*100+MONTH(A3210)</f>
        <v>202608</v>
      </c>
    </row>
    <row r="3211" customFormat="false" ht="15" hidden="false" customHeight="false" outlineLevel="0" collapsed="false">
      <c r="A3211" s="2" t="n">
        <v>46237</v>
      </c>
      <c r="B3211" s="3" t="s">
        <v>866</v>
      </c>
      <c r="C3211" s="0" t="n">
        <v>245</v>
      </c>
      <c r="D3211" s="0" t="n">
        <v>3</v>
      </c>
      <c r="E3211" s="0" t="str">
        <f aca="false">INDEX(lot!$B$2:$B$1201,MATCH(B3211,lot!$A$2:$A$1201,0))</f>
        <v>SUP-E</v>
      </c>
      <c r="F3211" s="3" t="n">
        <f aca="false">YEAR(A3211)*100+MONTH(A3211)</f>
        <v>202608</v>
      </c>
    </row>
    <row r="3212" customFormat="false" ht="15" hidden="false" customHeight="false" outlineLevel="0" collapsed="false">
      <c r="A3212" s="2" t="n">
        <v>46237</v>
      </c>
      <c r="B3212" s="3" t="s">
        <v>881</v>
      </c>
      <c r="C3212" s="0" t="n">
        <v>111</v>
      </c>
      <c r="D3212" s="0" t="n">
        <v>1</v>
      </c>
      <c r="E3212" s="0" t="str">
        <f aca="false">INDEX(lot!$B$2:$B$1201,MATCH(B3212,lot!$A$2:$A$1201,0))</f>
        <v>SUP-B</v>
      </c>
      <c r="F3212" s="3" t="n">
        <f aca="false">YEAR(A3212)*100+MONTH(A3212)</f>
        <v>202608</v>
      </c>
    </row>
    <row r="3213" customFormat="false" ht="15" hidden="false" customHeight="false" outlineLevel="0" collapsed="false">
      <c r="A3213" s="2" t="n">
        <v>46237</v>
      </c>
      <c r="B3213" s="3" t="s">
        <v>1018</v>
      </c>
      <c r="C3213" s="0" t="n">
        <v>152</v>
      </c>
      <c r="D3213" s="0" t="n">
        <v>5</v>
      </c>
      <c r="E3213" s="0" t="str">
        <f aca="false">INDEX(lot!$B$2:$B$1201,MATCH(B3213,lot!$A$2:$A$1201,0))</f>
        <v>SUP-A</v>
      </c>
      <c r="F3213" s="3" t="n">
        <f aca="false">YEAR(A3213)*100+MONTH(A3213)</f>
        <v>202608</v>
      </c>
    </row>
    <row r="3214" customFormat="false" ht="15" hidden="false" customHeight="false" outlineLevel="0" collapsed="false">
      <c r="A3214" s="2" t="n">
        <v>46237</v>
      </c>
      <c r="B3214" s="3" t="s">
        <v>1043</v>
      </c>
      <c r="C3214" s="0" t="n">
        <v>195</v>
      </c>
      <c r="D3214" s="0" t="n">
        <v>1</v>
      </c>
      <c r="E3214" s="0" t="str">
        <f aca="false">INDEX(lot!$B$2:$B$1201,MATCH(B3214,lot!$A$2:$A$1201,0))</f>
        <v>SUP-E</v>
      </c>
      <c r="F3214" s="3" t="n">
        <f aca="false">YEAR(A3214)*100+MONTH(A3214)</f>
        <v>202608</v>
      </c>
    </row>
    <row r="3215" customFormat="false" ht="15" hidden="false" customHeight="false" outlineLevel="0" collapsed="false">
      <c r="A3215" s="2" t="n">
        <v>46237</v>
      </c>
      <c r="B3215" s="3" t="s">
        <v>1043</v>
      </c>
      <c r="C3215" s="0" t="n">
        <v>165</v>
      </c>
      <c r="D3215" s="0" t="n">
        <v>2</v>
      </c>
      <c r="E3215" s="0" t="str">
        <f aca="false">INDEX(lot!$B$2:$B$1201,MATCH(B3215,lot!$A$2:$A$1201,0))</f>
        <v>SUP-E</v>
      </c>
      <c r="F3215" s="3" t="n">
        <f aca="false">YEAR(A3215)*100+MONTH(A3215)</f>
        <v>202608</v>
      </c>
    </row>
    <row r="3216" customFormat="false" ht="15" hidden="false" customHeight="false" outlineLevel="0" collapsed="false">
      <c r="A3216" s="2" t="n">
        <v>46237</v>
      </c>
      <c r="B3216" s="3" t="s">
        <v>1063</v>
      </c>
      <c r="C3216" s="0" t="n">
        <v>147</v>
      </c>
      <c r="D3216" s="0" t="n">
        <v>3</v>
      </c>
      <c r="E3216" s="0" t="str">
        <f aca="false">INDEX(lot!$B$2:$B$1201,MATCH(B3216,lot!$A$2:$A$1201,0))</f>
        <v>SUP-E</v>
      </c>
      <c r="F3216" s="3" t="n">
        <f aca="false">YEAR(A3216)*100+MONTH(A3216)</f>
        <v>202608</v>
      </c>
    </row>
    <row r="3217" customFormat="false" ht="15" hidden="false" customHeight="false" outlineLevel="0" collapsed="false">
      <c r="A3217" s="2" t="n">
        <v>46237</v>
      </c>
      <c r="B3217" s="3" t="s">
        <v>1083</v>
      </c>
      <c r="C3217" s="0" t="n">
        <v>203</v>
      </c>
      <c r="D3217" s="0" t="n">
        <v>2</v>
      </c>
      <c r="E3217" s="0" t="str">
        <f aca="false">INDEX(lot!$B$2:$B$1201,MATCH(B3217,lot!$A$2:$A$1201,0))</f>
        <v>SUP-E</v>
      </c>
      <c r="F3217" s="3" t="n">
        <f aca="false">YEAR(A3217)*100+MONTH(A3217)</f>
        <v>202608</v>
      </c>
    </row>
    <row r="3218" customFormat="false" ht="15" hidden="false" customHeight="false" outlineLevel="0" collapsed="false">
      <c r="A3218" s="2" t="n">
        <v>46237</v>
      </c>
      <c r="B3218" s="3" t="s">
        <v>1083</v>
      </c>
      <c r="C3218" s="0" t="n">
        <v>113</v>
      </c>
      <c r="D3218" s="0" t="n">
        <v>1</v>
      </c>
      <c r="E3218" s="0" t="str">
        <f aca="false">INDEX(lot!$B$2:$B$1201,MATCH(B3218,lot!$A$2:$A$1201,0))</f>
        <v>SUP-E</v>
      </c>
      <c r="F3218" s="3" t="n">
        <f aca="false">YEAR(A3218)*100+MONTH(A3218)</f>
        <v>202608</v>
      </c>
    </row>
    <row r="3219" customFormat="false" ht="15" hidden="false" customHeight="false" outlineLevel="0" collapsed="false">
      <c r="A3219" s="2" t="n">
        <v>46237</v>
      </c>
      <c r="B3219" s="3" t="s">
        <v>1094</v>
      </c>
      <c r="C3219" s="0" t="n">
        <v>222</v>
      </c>
      <c r="D3219" s="0" t="n">
        <v>1</v>
      </c>
      <c r="E3219" s="0" t="str">
        <f aca="false">INDEX(lot!$B$2:$B$1201,MATCH(B3219,lot!$A$2:$A$1201,0))</f>
        <v>SUP-E</v>
      </c>
      <c r="F3219" s="3" t="n">
        <f aca="false">YEAR(A3219)*100+MONTH(A3219)</f>
        <v>202608</v>
      </c>
    </row>
    <row r="3220" customFormat="false" ht="15" hidden="false" customHeight="false" outlineLevel="0" collapsed="false">
      <c r="A3220" s="2" t="n">
        <v>46237</v>
      </c>
      <c r="B3220" s="3" t="s">
        <v>1155</v>
      </c>
      <c r="C3220" s="0" t="n">
        <v>89</v>
      </c>
      <c r="D3220" s="0" t="n">
        <v>2</v>
      </c>
      <c r="E3220" s="0" t="str">
        <f aca="false">INDEX(lot!$B$2:$B$1201,MATCH(B3220,lot!$A$2:$A$1201,0))</f>
        <v>SUP-A</v>
      </c>
      <c r="F3220" s="3" t="n">
        <f aca="false">YEAR(A3220)*100+MONTH(A3220)</f>
        <v>202608</v>
      </c>
    </row>
    <row r="3221" customFormat="false" ht="15" hidden="false" customHeight="false" outlineLevel="0" collapsed="false">
      <c r="A3221" s="2" t="n">
        <v>46237</v>
      </c>
      <c r="B3221" s="3" t="s">
        <v>1155</v>
      </c>
      <c r="C3221" s="0" t="n">
        <v>107</v>
      </c>
      <c r="D3221" s="0" t="n">
        <v>3</v>
      </c>
      <c r="E3221" s="0" t="str">
        <f aca="false">INDEX(lot!$B$2:$B$1201,MATCH(B3221,lot!$A$2:$A$1201,0))</f>
        <v>SUP-A</v>
      </c>
      <c r="F3221" s="3" t="n">
        <f aca="false">YEAR(A3221)*100+MONTH(A3221)</f>
        <v>202608</v>
      </c>
    </row>
    <row r="3222" customFormat="false" ht="15" hidden="false" customHeight="false" outlineLevel="0" collapsed="false">
      <c r="A3222" s="2" t="n">
        <v>46237</v>
      </c>
      <c r="B3222" s="3" t="s">
        <v>1206</v>
      </c>
      <c r="C3222" s="0" t="n">
        <v>187</v>
      </c>
      <c r="D3222" s="0" t="n">
        <v>5</v>
      </c>
      <c r="E3222" s="0" t="str">
        <f aca="false">INDEX(lot!$B$2:$B$1201,MATCH(B3222,lot!$A$2:$A$1201,0))</f>
        <v>SUP-C</v>
      </c>
      <c r="F3222" s="3" t="n">
        <f aca="false">YEAR(A3222)*100+MONTH(A3222)</f>
        <v>202608</v>
      </c>
    </row>
    <row r="3223" customFormat="false" ht="15" hidden="false" customHeight="false" outlineLevel="0" collapsed="false">
      <c r="A3223" s="2" t="n">
        <v>46238</v>
      </c>
      <c r="B3223" s="3" t="s">
        <v>96</v>
      </c>
      <c r="C3223" s="0" t="n">
        <v>64</v>
      </c>
      <c r="D3223" s="0" t="n">
        <v>3</v>
      </c>
      <c r="E3223" s="0" t="str">
        <f aca="false">INDEX(lot!$B$2:$B$1201,MATCH(B3223,lot!$A$2:$A$1201,0))</f>
        <v>SUP-A</v>
      </c>
      <c r="F3223" s="3" t="n">
        <f aca="false">YEAR(A3223)*100+MONTH(A3223)</f>
        <v>202608</v>
      </c>
    </row>
    <row r="3224" customFormat="false" ht="15" hidden="false" customHeight="false" outlineLevel="0" collapsed="false">
      <c r="A3224" s="2" t="n">
        <v>46238</v>
      </c>
      <c r="B3224" s="3" t="s">
        <v>113</v>
      </c>
      <c r="C3224" s="0" t="n">
        <v>225</v>
      </c>
      <c r="D3224" s="0" t="n">
        <v>3</v>
      </c>
      <c r="E3224" s="0" t="str">
        <f aca="false">INDEX(lot!$B$2:$B$1201,MATCH(B3224,lot!$A$2:$A$1201,0))</f>
        <v>SUP-E</v>
      </c>
      <c r="F3224" s="3" t="n">
        <f aca="false">YEAR(A3224)*100+MONTH(A3224)</f>
        <v>202608</v>
      </c>
    </row>
    <row r="3225" customFormat="false" ht="15" hidden="false" customHeight="false" outlineLevel="0" collapsed="false">
      <c r="A3225" s="2" t="n">
        <v>46238</v>
      </c>
      <c r="B3225" s="3" t="s">
        <v>282</v>
      </c>
      <c r="C3225" s="0" t="n">
        <v>153</v>
      </c>
      <c r="D3225" s="0" t="n">
        <v>1</v>
      </c>
      <c r="E3225" s="0" t="str">
        <f aca="false">INDEX(lot!$B$2:$B$1201,MATCH(B3225,lot!$A$2:$A$1201,0))</f>
        <v>SUP-D</v>
      </c>
      <c r="F3225" s="3" t="n">
        <f aca="false">YEAR(A3225)*100+MONTH(A3225)</f>
        <v>202608</v>
      </c>
    </row>
    <row r="3226" customFormat="false" ht="15" hidden="false" customHeight="false" outlineLevel="0" collapsed="false">
      <c r="A3226" s="2" t="n">
        <v>46238</v>
      </c>
      <c r="B3226" s="3" t="s">
        <v>282</v>
      </c>
      <c r="C3226" s="0" t="n">
        <v>159</v>
      </c>
      <c r="D3226" s="0" t="n">
        <v>1</v>
      </c>
      <c r="E3226" s="0" t="str">
        <f aca="false">INDEX(lot!$B$2:$B$1201,MATCH(B3226,lot!$A$2:$A$1201,0))</f>
        <v>SUP-D</v>
      </c>
      <c r="F3226" s="3" t="n">
        <f aca="false">YEAR(A3226)*100+MONTH(A3226)</f>
        <v>202608</v>
      </c>
    </row>
    <row r="3227" customFormat="false" ht="15" hidden="false" customHeight="false" outlineLevel="0" collapsed="false">
      <c r="A3227" s="2" t="n">
        <v>46238</v>
      </c>
      <c r="B3227" s="3" t="s">
        <v>408</v>
      </c>
      <c r="C3227" s="0" t="n">
        <v>199</v>
      </c>
      <c r="D3227" s="0" t="n">
        <v>1</v>
      </c>
      <c r="E3227" s="0" t="str">
        <f aca="false">INDEX(lot!$B$2:$B$1201,MATCH(B3227,lot!$A$2:$A$1201,0))</f>
        <v>SUP-E</v>
      </c>
      <c r="F3227" s="3" t="n">
        <f aca="false">YEAR(A3227)*100+MONTH(A3227)</f>
        <v>202608</v>
      </c>
    </row>
    <row r="3228" customFormat="false" ht="15" hidden="false" customHeight="false" outlineLevel="0" collapsed="false">
      <c r="A3228" s="2" t="n">
        <v>46238</v>
      </c>
      <c r="B3228" s="3" t="s">
        <v>453</v>
      </c>
      <c r="C3228" s="0" t="n">
        <v>217</v>
      </c>
      <c r="D3228" s="0" t="n">
        <v>8</v>
      </c>
      <c r="E3228" s="0" t="str">
        <f aca="false">INDEX(lot!$B$2:$B$1201,MATCH(B3228,lot!$A$2:$A$1201,0))</f>
        <v>SUP-C</v>
      </c>
      <c r="F3228" s="3" t="n">
        <f aca="false">YEAR(A3228)*100+MONTH(A3228)</f>
        <v>202608</v>
      </c>
    </row>
    <row r="3229" customFormat="false" ht="15" hidden="false" customHeight="false" outlineLevel="0" collapsed="false">
      <c r="A3229" s="2" t="n">
        <v>46238</v>
      </c>
      <c r="B3229" s="3" t="s">
        <v>453</v>
      </c>
      <c r="C3229" s="0" t="n">
        <v>228</v>
      </c>
      <c r="D3229" s="0" t="n">
        <v>7</v>
      </c>
      <c r="E3229" s="0" t="str">
        <f aca="false">INDEX(lot!$B$2:$B$1201,MATCH(B3229,lot!$A$2:$A$1201,0))</f>
        <v>SUP-C</v>
      </c>
      <c r="F3229" s="3" t="n">
        <f aca="false">YEAR(A3229)*100+MONTH(A3229)</f>
        <v>202608</v>
      </c>
    </row>
    <row r="3230" customFormat="false" ht="15" hidden="false" customHeight="false" outlineLevel="0" collapsed="false">
      <c r="A3230" s="2" t="n">
        <v>46238</v>
      </c>
      <c r="B3230" s="3" t="s">
        <v>470</v>
      </c>
      <c r="C3230" s="0" t="n">
        <v>182</v>
      </c>
      <c r="D3230" s="0" t="n">
        <v>1</v>
      </c>
      <c r="E3230" s="0" t="str">
        <f aca="false">INDEX(lot!$B$2:$B$1201,MATCH(B3230,lot!$A$2:$A$1201,0))</f>
        <v>SUP-E</v>
      </c>
      <c r="F3230" s="3" t="n">
        <f aca="false">YEAR(A3230)*100+MONTH(A3230)</f>
        <v>202608</v>
      </c>
    </row>
    <row r="3231" customFormat="false" ht="15" hidden="false" customHeight="false" outlineLevel="0" collapsed="false">
      <c r="A3231" s="2" t="n">
        <v>46238</v>
      </c>
      <c r="B3231" s="3" t="s">
        <v>470</v>
      </c>
      <c r="C3231" s="0" t="n">
        <v>236</v>
      </c>
      <c r="D3231" s="0" t="n">
        <v>1</v>
      </c>
      <c r="E3231" s="0" t="str">
        <f aca="false">INDEX(lot!$B$2:$B$1201,MATCH(B3231,lot!$A$2:$A$1201,0))</f>
        <v>SUP-E</v>
      </c>
      <c r="F3231" s="3" t="n">
        <f aca="false">YEAR(A3231)*100+MONTH(A3231)</f>
        <v>202608</v>
      </c>
    </row>
    <row r="3232" customFormat="false" ht="15" hidden="false" customHeight="false" outlineLevel="0" collapsed="false">
      <c r="A3232" s="2" t="n">
        <v>46238</v>
      </c>
      <c r="B3232" s="3" t="s">
        <v>508</v>
      </c>
      <c r="C3232" s="0" t="n">
        <v>186</v>
      </c>
      <c r="D3232" s="0" t="n">
        <v>1</v>
      </c>
      <c r="E3232" s="0" t="str">
        <f aca="false">INDEX(lot!$B$2:$B$1201,MATCH(B3232,lot!$A$2:$A$1201,0))</f>
        <v>SUP-D</v>
      </c>
      <c r="F3232" s="3" t="n">
        <f aca="false">YEAR(A3232)*100+MONTH(A3232)</f>
        <v>202608</v>
      </c>
    </row>
    <row r="3233" customFormat="false" ht="15" hidden="false" customHeight="false" outlineLevel="0" collapsed="false">
      <c r="A3233" s="2" t="n">
        <v>46238</v>
      </c>
      <c r="B3233" s="3" t="s">
        <v>508</v>
      </c>
      <c r="C3233" s="0" t="n">
        <v>167</v>
      </c>
      <c r="D3233" s="0" t="n">
        <v>3</v>
      </c>
      <c r="E3233" s="0" t="str">
        <f aca="false">INDEX(lot!$B$2:$B$1201,MATCH(B3233,lot!$A$2:$A$1201,0))</f>
        <v>SUP-D</v>
      </c>
      <c r="F3233" s="3" t="n">
        <f aca="false">YEAR(A3233)*100+MONTH(A3233)</f>
        <v>202608</v>
      </c>
    </row>
    <row r="3234" customFormat="false" ht="15" hidden="false" customHeight="false" outlineLevel="0" collapsed="false">
      <c r="A3234" s="2" t="n">
        <v>46238</v>
      </c>
      <c r="B3234" s="3" t="s">
        <v>522</v>
      </c>
      <c r="C3234" s="0" t="n">
        <v>146</v>
      </c>
      <c r="D3234" s="0" t="n">
        <v>0</v>
      </c>
      <c r="E3234" s="0" t="str">
        <f aca="false">INDEX(lot!$B$2:$B$1201,MATCH(B3234,lot!$A$2:$A$1201,0))</f>
        <v>SUP-D</v>
      </c>
      <c r="F3234" s="3" t="n">
        <f aca="false">YEAR(A3234)*100+MONTH(A3234)</f>
        <v>202608</v>
      </c>
    </row>
    <row r="3235" customFormat="false" ht="15" hidden="false" customHeight="false" outlineLevel="0" collapsed="false">
      <c r="A3235" s="2" t="n">
        <v>46238</v>
      </c>
      <c r="B3235" s="3" t="s">
        <v>522</v>
      </c>
      <c r="C3235" s="0" t="n">
        <v>70</v>
      </c>
      <c r="D3235" s="0" t="n">
        <v>0</v>
      </c>
      <c r="E3235" s="0" t="str">
        <f aca="false">INDEX(lot!$B$2:$B$1201,MATCH(B3235,lot!$A$2:$A$1201,0))</f>
        <v>SUP-D</v>
      </c>
      <c r="F3235" s="3" t="n">
        <f aca="false">YEAR(A3235)*100+MONTH(A3235)</f>
        <v>202608</v>
      </c>
    </row>
    <row r="3236" customFormat="false" ht="15" hidden="false" customHeight="false" outlineLevel="0" collapsed="false">
      <c r="A3236" s="2" t="n">
        <v>46238</v>
      </c>
      <c r="B3236" s="3" t="s">
        <v>670</v>
      </c>
      <c r="C3236" s="0" t="n">
        <v>175</v>
      </c>
      <c r="D3236" s="0" t="n">
        <v>2</v>
      </c>
      <c r="E3236" s="0" t="str">
        <f aca="false">INDEX(lot!$B$2:$B$1201,MATCH(B3236,lot!$A$2:$A$1201,0))</f>
        <v>SUP-E</v>
      </c>
      <c r="F3236" s="3" t="n">
        <f aca="false">YEAR(A3236)*100+MONTH(A3236)</f>
        <v>202608</v>
      </c>
    </row>
    <row r="3237" customFormat="false" ht="15" hidden="false" customHeight="false" outlineLevel="0" collapsed="false">
      <c r="A3237" s="2" t="n">
        <v>46238</v>
      </c>
      <c r="B3237" s="3" t="s">
        <v>670</v>
      </c>
      <c r="C3237" s="0" t="n">
        <v>156</v>
      </c>
      <c r="D3237" s="0" t="n">
        <v>0</v>
      </c>
      <c r="E3237" s="0" t="str">
        <f aca="false">INDEX(lot!$B$2:$B$1201,MATCH(B3237,lot!$A$2:$A$1201,0))</f>
        <v>SUP-E</v>
      </c>
      <c r="F3237" s="3" t="n">
        <f aca="false">YEAR(A3237)*100+MONTH(A3237)</f>
        <v>202608</v>
      </c>
    </row>
    <row r="3238" customFormat="false" ht="15" hidden="false" customHeight="false" outlineLevel="0" collapsed="false">
      <c r="A3238" s="2" t="n">
        <v>46238</v>
      </c>
      <c r="B3238" s="3" t="s">
        <v>671</v>
      </c>
      <c r="C3238" s="0" t="n">
        <v>239</v>
      </c>
      <c r="D3238" s="0" t="n">
        <v>8</v>
      </c>
      <c r="E3238" s="0" t="str">
        <f aca="false">INDEX(lot!$B$2:$B$1201,MATCH(B3238,lot!$A$2:$A$1201,0))</f>
        <v>SUP-C</v>
      </c>
      <c r="F3238" s="3" t="n">
        <f aca="false">YEAR(A3238)*100+MONTH(A3238)</f>
        <v>202608</v>
      </c>
    </row>
    <row r="3239" customFormat="false" ht="15" hidden="false" customHeight="false" outlineLevel="0" collapsed="false">
      <c r="A3239" s="2" t="n">
        <v>46238</v>
      </c>
      <c r="B3239" s="3" t="s">
        <v>813</v>
      </c>
      <c r="C3239" s="0" t="n">
        <v>171</v>
      </c>
      <c r="D3239" s="0" t="n">
        <v>28</v>
      </c>
      <c r="E3239" s="0" t="str">
        <f aca="false">INDEX(lot!$B$2:$B$1201,MATCH(B3239,lot!$A$2:$A$1201,0))</f>
        <v>SUP-A</v>
      </c>
      <c r="F3239" s="3" t="n">
        <f aca="false">YEAR(A3239)*100+MONTH(A3239)</f>
        <v>202608</v>
      </c>
    </row>
    <row r="3240" customFormat="false" ht="15" hidden="false" customHeight="false" outlineLevel="0" collapsed="false">
      <c r="A3240" s="2" t="n">
        <v>46238</v>
      </c>
      <c r="B3240" s="3" t="s">
        <v>854</v>
      </c>
      <c r="C3240" s="0" t="n">
        <v>237</v>
      </c>
      <c r="D3240" s="0" t="n">
        <v>5</v>
      </c>
      <c r="E3240" s="0" t="str">
        <f aca="false">INDEX(lot!$B$2:$B$1201,MATCH(B3240,lot!$A$2:$A$1201,0))</f>
        <v>SUP-C</v>
      </c>
      <c r="F3240" s="3" t="n">
        <f aca="false">YEAR(A3240)*100+MONTH(A3240)</f>
        <v>202608</v>
      </c>
    </row>
    <row r="3241" customFormat="false" ht="15" hidden="false" customHeight="false" outlineLevel="0" collapsed="false">
      <c r="A3241" s="2" t="n">
        <v>46238</v>
      </c>
      <c r="B3241" s="3" t="s">
        <v>854</v>
      </c>
      <c r="C3241" s="0" t="n">
        <v>194</v>
      </c>
      <c r="D3241" s="0" t="n">
        <v>5</v>
      </c>
      <c r="E3241" s="0" t="str">
        <f aca="false">INDEX(lot!$B$2:$B$1201,MATCH(B3241,lot!$A$2:$A$1201,0))</f>
        <v>SUP-C</v>
      </c>
      <c r="F3241" s="3" t="n">
        <f aca="false">YEAR(A3241)*100+MONTH(A3241)</f>
        <v>202608</v>
      </c>
    </row>
    <row r="3242" customFormat="false" ht="15" hidden="false" customHeight="false" outlineLevel="0" collapsed="false">
      <c r="A3242" s="2" t="n">
        <v>46238</v>
      </c>
      <c r="B3242" s="3" t="s">
        <v>924</v>
      </c>
      <c r="C3242" s="0" t="n">
        <v>105</v>
      </c>
      <c r="D3242" s="0" t="n">
        <v>0</v>
      </c>
      <c r="E3242" s="0" t="str">
        <f aca="false">INDEX(lot!$B$2:$B$1201,MATCH(B3242,lot!$A$2:$A$1201,0))</f>
        <v>SUP-D</v>
      </c>
      <c r="F3242" s="3" t="n">
        <f aca="false">YEAR(A3242)*100+MONTH(A3242)</f>
        <v>202608</v>
      </c>
    </row>
    <row r="3243" customFormat="false" ht="15" hidden="false" customHeight="false" outlineLevel="0" collapsed="false">
      <c r="A3243" s="2" t="n">
        <v>46238</v>
      </c>
      <c r="B3243" s="3" t="s">
        <v>924</v>
      </c>
      <c r="C3243" s="0" t="n">
        <v>145</v>
      </c>
      <c r="D3243" s="0" t="n">
        <v>2</v>
      </c>
      <c r="E3243" s="0" t="str">
        <f aca="false">INDEX(lot!$B$2:$B$1201,MATCH(B3243,lot!$A$2:$A$1201,0))</f>
        <v>SUP-D</v>
      </c>
      <c r="F3243" s="3" t="n">
        <f aca="false">YEAR(A3243)*100+MONTH(A3243)</f>
        <v>202608</v>
      </c>
    </row>
    <row r="3244" customFormat="false" ht="15" hidden="false" customHeight="false" outlineLevel="0" collapsed="false">
      <c r="A3244" s="2" t="n">
        <v>46238</v>
      </c>
      <c r="B3244" s="3" t="s">
        <v>1015</v>
      </c>
      <c r="C3244" s="0" t="n">
        <v>233</v>
      </c>
      <c r="D3244" s="0" t="n">
        <v>19</v>
      </c>
      <c r="E3244" s="0" t="str">
        <f aca="false">INDEX(lot!$B$2:$B$1201,MATCH(B3244,lot!$A$2:$A$1201,0))</f>
        <v>SUP-C</v>
      </c>
      <c r="F3244" s="3" t="n">
        <f aca="false">YEAR(A3244)*100+MONTH(A3244)</f>
        <v>202608</v>
      </c>
    </row>
    <row r="3245" customFormat="false" ht="15" hidden="false" customHeight="false" outlineLevel="0" collapsed="false">
      <c r="A3245" s="2" t="n">
        <v>46238</v>
      </c>
      <c r="B3245" s="3" t="s">
        <v>1094</v>
      </c>
      <c r="C3245" s="0" t="n">
        <v>171</v>
      </c>
      <c r="D3245" s="0" t="n">
        <v>0</v>
      </c>
      <c r="E3245" s="0" t="str">
        <f aca="false">INDEX(lot!$B$2:$B$1201,MATCH(B3245,lot!$A$2:$A$1201,0))</f>
        <v>SUP-E</v>
      </c>
      <c r="F3245" s="3" t="n">
        <f aca="false">YEAR(A3245)*100+MONTH(A3245)</f>
        <v>202608</v>
      </c>
    </row>
    <row r="3246" customFormat="false" ht="15" hidden="false" customHeight="false" outlineLevel="0" collapsed="false">
      <c r="A3246" s="2" t="n">
        <v>46238</v>
      </c>
      <c r="B3246" s="3" t="s">
        <v>1155</v>
      </c>
      <c r="C3246" s="0" t="n">
        <v>141</v>
      </c>
      <c r="D3246" s="0" t="n">
        <v>2</v>
      </c>
      <c r="E3246" s="0" t="str">
        <f aca="false">INDEX(lot!$B$2:$B$1201,MATCH(B3246,lot!$A$2:$A$1201,0))</f>
        <v>SUP-A</v>
      </c>
      <c r="F3246" s="3" t="n">
        <f aca="false">YEAR(A3246)*100+MONTH(A3246)</f>
        <v>202608</v>
      </c>
    </row>
    <row r="3247" customFormat="false" ht="15" hidden="false" customHeight="false" outlineLevel="0" collapsed="false">
      <c r="A3247" s="2" t="n">
        <v>46238</v>
      </c>
      <c r="B3247" s="3" t="s">
        <v>1155</v>
      </c>
      <c r="C3247" s="0" t="n">
        <v>64</v>
      </c>
      <c r="D3247" s="0" t="n">
        <v>1</v>
      </c>
      <c r="E3247" s="0" t="str">
        <f aca="false">INDEX(lot!$B$2:$B$1201,MATCH(B3247,lot!$A$2:$A$1201,0))</f>
        <v>SUP-A</v>
      </c>
      <c r="F3247" s="3" t="n">
        <f aca="false">YEAR(A3247)*100+MONTH(A3247)</f>
        <v>202608</v>
      </c>
    </row>
    <row r="3248" customFormat="false" ht="15" hidden="false" customHeight="false" outlineLevel="0" collapsed="false">
      <c r="A3248" s="2" t="n">
        <v>46238</v>
      </c>
      <c r="B3248" s="3" t="s">
        <v>1172</v>
      </c>
      <c r="C3248" s="0" t="n">
        <v>230</v>
      </c>
      <c r="D3248" s="0" t="n">
        <v>6</v>
      </c>
      <c r="E3248" s="0" t="str">
        <f aca="false">INDEX(lot!$B$2:$B$1201,MATCH(B3248,lot!$A$2:$A$1201,0))</f>
        <v>SUP-A</v>
      </c>
      <c r="F3248" s="3" t="n">
        <f aca="false">YEAR(A3248)*100+MONTH(A3248)</f>
        <v>202608</v>
      </c>
    </row>
    <row r="3249" customFormat="false" ht="15" hidden="false" customHeight="false" outlineLevel="0" collapsed="false">
      <c r="A3249" s="2" t="n">
        <v>46238</v>
      </c>
      <c r="B3249" s="3" t="s">
        <v>1191</v>
      </c>
      <c r="C3249" s="0" t="n">
        <v>189</v>
      </c>
      <c r="D3249" s="0" t="n">
        <v>4</v>
      </c>
      <c r="E3249" s="0" t="str">
        <f aca="false">INDEX(lot!$B$2:$B$1201,MATCH(B3249,lot!$A$2:$A$1201,0))</f>
        <v>SUP-A</v>
      </c>
      <c r="F3249" s="3" t="n">
        <f aca="false">YEAR(A3249)*100+MONTH(A3249)</f>
        <v>202608</v>
      </c>
    </row>
    <row r="3250" customFormat="false" ht="15" hidden="false" customHeight="false" outlineLevel="0" collapsed="false">
      <c r="A3250" s="2" t="n">
        <v>46239</v>
      </c>
      <c r="B3250" s="3" t="s">
        <v>56</v>
      </c>
      <c r="C3250" s="0" t="n">
        <v>89</v>
      </c>
      <c r="D3250" s="0" t="n">
        <v>2</v>
      </c>
      <c r="E3250" s="0" t="str">
        <f aca="false">INDEX(lot!$B$2:$B$1201,MATCH(B3250,lot!$A$2:$A$1201,0))</f>
        <v>SUP-C</v>
      </c>
      <c r="F3250" s="3" t="n">
        <f aca="false">YEAR(A3250)*100+MONTH(A3250)</f>
        <v>202608</v>
      </c>
    </row>
    <row r="3251" customFormat="false" ht="15" hidden="false" customHeight="false" outlineLevel="0" collapsed="false">
      <c r="A3251" s="2" t="n">
        <v>46239</v>
      </c>
      <c r="B3251" s="3" t="s">
        <v>302</v>
      </c>
      <c r="C3251" s="0" t="n">
        <v>230</v>
      </c>
      <c r="D3251" s="0" t="n">
        <v>5</v>
      </c>
      <c r="E3251" s="0" t="str">
        <f aca="false">INDEX(lot!$B$2:$B$1201,MATCH(B3251,lot!$A$2:$A$1201,0))</f>
        <v>SUP-A</v>
      </c>
      <c r="F3251" s="3" t="n">
        <f aca="false">YEAR(A3251)*100+MONTH(A3251)</f>
        <v>202608</v>
      </c>
    </row>
    <row r="3252" customFormat="false" ht="15" hidden="false" customHeight="false" outlineLevel="0" collapsed="false">
      <c r="A3252" s="2" t="n">
        <v>46239</v>
      </c>
      <c r="B3252" s="3" t="s">
        <v>302</v>
      </c>
      <c r="C3252" s="0" t="n">
        <v>94</v>
      </c>
      <c r="D3252" s="0" t="n">
        <v>0</v>
      </c>
      <c r="E3252" s="0" t="str">
        <f aca="false">INDEX(lot!$B$2:$B$1201,MATCH(B3252,lot!$A$2:$A$1201,0))</f>
        <v>SUP-A</v>
      </c>
      <c r="F3252" s="3" t="n">
        <f aca="false">YEAR(A3252)*100+MONTH(A3252)</f>
        <v>202608</v>
      </c>
    </row>
    <row r="3253" customFormat="false" ht="15" hidden="false" customHeight="false" outlineLevel="0" collapsed="false">
      <c r="A3253" s="2" t="n">
        <v>46239</v>
      </c>
      <c r="B3253" s="3" t="s">
        <v>470</v>
      </c>
      <c r="C3253" s="0" t="n">
        <v>185</v>
      </c>
      <c r="D3253" s="0" t="n">
        <v>1</v>
      </c>
      <c r="E3253" s="0" t="str">
        <f aca="false">INDEX(lot!$B$2:$B$1201,MATCH(B3253,lot!$A$2:$A$1201,0))</f>
        <v>SUP-E</v>
      </c>
      <c r="F3253" s="3" t="n">
        <f aca="false">YEAR(A3253)*100+MONTH(A3253)</f>
        <v>202608</v>
      </c>
    </row>
    <row r="3254" customFormat="false" ht="15" hidden="false" customHeight="false" outlineLevel="0" collapsed="false">
      <c r="A3254" s="2" t="n">
        <v>46239</v>
      </c>
      <c r="B3254" s="3" t="s">
        <v>508</v>
      </c>
      <c r="C3254" s="0" t="n">
        <v>177</v>
      </c>
      <c r="D3254" s="0" t="n">
        <v>2</v>
      </c>
      <c r="E3254" s="0" t="str">
        <f aca="false">INDEX(lot!$B$2:$B$1201,MATCH(B3254,lot!$A$2:$A$1201,0))</f>
        <v>SUP-D</v>
      </c>
      <c r="F3254" s="3" t="n">
        <f aca="false">YEAR(A3254)*100+MONTH(A3254)</f>
        <v>202608</v>
      </c>
    </row>
    <row r="3255" customFormat="false" ht="15" hidden="false" customHeight="false" outlineLevel="0" collapsed="false">
      <c r="A3255" s="2" t="n">
        <v>46239</v>
      </c>
      <c r="B3255" s="3" t="s">
        <v>508</v>
      </c>
      <c r="C3255" s="0" t="n">
        <v>75</v>
      </c>
      <c r="D3255" s="0" t="n">
        <v>1</v>
      </c>
      <c r="E3255" s="0" t="str">
        <f aca="false">INDEX(lot!$B$2:$B$1201,MATCH(B3255,lot!$A$2:$A$1201,0))</f>
        <v>SUP-D</v>
      </c>
      <c r="F3255" s="3" t="n">
        <f aca="false">YEAR(A3255)*100+MONTH(A3255)</f>
        <v>202608</v>
      </c>
    </row>
    <row r="3256" customFormat="false" ht="15" hidden="false" customHeight="false" outlineLevel="0" collapsed="false">
      <c r="A3256" s="2" t="n">
        <v>46239</v>
      </c>
      <c r="B3256" s="3" t="s">
        <v>522</v>
      </c>
      <c r="C3256" s="0" t="n">
        <v>156</v>
      </c>
      <c r="D3256" s="0" t="n">
        <v>3</v>
      </c>
      <c r="E3256" s="0" t="str">
        <f aca="false">INDEX(lot!$B$2:$B$1201,MATCH(B3256,lot!$A$2:$A$1201,0))</f>
        <v>SUP-D</v>
      </c>
      <c r="F3256" s="3" t="n">
        <f aca="false">YEAR(A3256)*100+MONTH(A3256)</f>
        <v>202608</v>
      </c>
    </row>
    <row r="3257" customFormat="false" ht="15" hidden="false" customHeight="false" outlineLevel="0" collapsed="false">
      <c r="A3257" s="2" t="n">
        <v>46239</v>
      </c>
      <c r="B3257" s="3" t="s">
        <v>522</v>
      </c>
      <c r="C3257" s="0" t="n">
        <v>65</v>
      </c>
      <c r="D3257" s="0" t="n">
        <v>1</v>
      </c>
      <c r="E3257" s="0" t="str">
        <f aca="false">INDEX(lot!$B$2:$B$1201,MATCH(B3257,lot!$A$2:$A$1201,0))</f>
        <v>SUP-D</v>
      </c>
      <c r="F3257" s="3" t="n">
        <f aca="false">YEAR(A3257)*100+MONTH(A3257)</f>
        <v>202608</v>
      </c>
    </row>
    <row r="3258" customFormat="false" ht="15" hidden="false" customHeight="false" outlineLevel="0" collapsed="false">
      <c r="A3258" s="2" t="n">
        <v>46239</v>
      </c>
      <c r="B3258" s="3" t="s">
        <v>629</v>
      </c>
      <c r="C3258" s="0" t="n">
        <v>239</v>
      </c>
      <c r="D3258" s="0" t="n">
        <v>43</v>
      </c>
      <c r="E3258" s="0" t="str">
        <f aca="false">INDEX(lot!$B$2:$B$1201,MATCH(B3258,lot!$A$2:$A$1201,0))</f>
        <v>SUP-A</v>
      </c>
      <c r="F3258" s="3" t="n">
        <f aca="false">YEAR(A3258)*100+MONTH(A3258)</f>
        <v>202608</v>
      </c>
    </row>
    <row r="3259" customFormat="false" ht="15" hidden="false" customHeight="false" outlineLevel="0" collapsed="false">
      <c r="A3259" s="2" t="n">
        <v>46239</v>
      </c>
      <c r="B3259" s="3" t="s">
        <v>629</v>
      </c>
      <c r="C3259" s="0" t="n">
        <v>184</v>
      </c>
      <c r="D3259" s="0" t="n">
        <v>16</v>
      </c>
      <c r="E3259" s="0" t="str">
        <f aca="false">INDEX(lot!$B$2:$B$1201,MATCH(B3259,lot!$A$2:$A$1201,0))</f>
        <v>SUP-A</v>
      </c>
      <c r="F3259" s="3" t="n">
        <f aca="false">YEAR(A3259)*100+MONTH(A3259)</f>
        <v>202608</v>
      </c>
    </row>
    <row r="3260" customFormat="false" ht="15" hidden="false" customHeight="false" outlineLevel="0" collapsed="false">
      <c r="A3260" s="2" t="n">
        <v>46239</v>
      </c>
      <c r="B3260" s="3" t="s">
        <v>656</v>
      </c>
      <c r="C3260" s="0" t="n">
        <v>142</v>
      </c>
      <c r="D3260" s="0" t="n">
        <v>3</v>
      </c>
      <c r="E3260" s="0" t="str">
        <f aca="false">INDEX(lot!$B$2:$B$1201,MATCH(B3260,lot!$A$2:$A$1201,0))</f>
        <v>SUP-D</v>
      </c>
      <c r="F3260" s="3" t="n">
        <f aca="false">YEAR(A3260)*100+MONTH(A3260)</f>
        <v>202608</v>
      </c>
    </row>
    <row r="3261" customFormat="false" ht="15" hidden="false" customHeight="false" outlineLevel="0" collapsed="false">
      <c r="A3261" s="2" t="n">
        <v>46239</v>
      </c>
      <c r="B3261" s="3" t="s">
        <v>670</v>
      </c>
      <c r="C3261" s="0" t="n">
        <v>94</v>
      </c>
      <c r="D3261" s="0" t="n">
        <v>0</v>
      </c>
      <c r="E3261" s="0" t="str">
        <f aca="false">INDEX(lot!$B$2:$B$1201,MATCH(B3261,lot!$A$2:$A$1201,0))</f>
        <v>SUP-E</v>
      </c>
      <c r="F3261" s="3" t="n">
        <f aca="false">YEAR(A3261)*100+MONTH(A3261)</f>
        <v>202608</v>
      </c>
    </row>
    <row r="3262" customFormat="false" ht="15" hidden="false" customHeight="false" outlineLevel="0" collapsed="false">
      <c r="A3262" s="2" t="n">
        <v>46239</v>
      </c>
      <c r="B3262" s="3" t="s">
        <v>670</v>
      </c>
      <c r="C3262" s="0" t="n">
        <v>245</v>
      </c>
      <c r="D3262" s="0" t="n">
        <v>0</v>
      </c>
      <c r="E3262" s="0" t="str">
        <f aca="false">INDEX(lot!$B$2:$B$1201,MATCH(B3262,lot!$A$2:$A$1201,0))</f>
        <v>SUP-E</v>
      </c>
      <c r="F3262" s="3" t="n">
        <f aca="false">YEAR(A3262)*100+MONTH(A3262)</f>
        <v>202608</v>
      </c>
    </row>
    <row r="3263" customFormat="false" ht="15" hidden="false" customHeight="false" outlineLevel="0" collapsed="false">
      <c r="A3263" s="2" t="n">
        <v>46239</v>
      </c>
      <c r="B3263" s="3" t="s">
        <v>813</v>
      </c>
      <c r="C3263" s="0" t="n">
        <v>159</v>
      </c>
      <c r="D3263" s="0" t="n">
        <v>14</v>
      </c>
      <c r="E3263" s="0" t="str">
        <f aca="false">INDEX(lot!$B$2:$B$1201,MATCH(B3263,lot!$A$2:$A$1201,0))</f>
        <v>SUP-A</v>
      </c>
      <c r="F3263" s="3" t="n">
        <f aca="false">YEAR(A3263)*100+MONTH(A3263)</f>
        <v>202608</v>
      </c>
    </row>
    <row r="3264" customFormat="false" ht="15" hidden="false" customHeight="false" outlineLevel="0" collapsed="false">
      <c r="A3264" s="2" t="n">
        <v>46239</v>
      </c>
      <c r="B3264" s="3" t="s">
        <v>838</v>
      </c>
      <c r="C3264" s="0" t="n">
        <v>67</v>
      </c>
      <c r="D3264" s="0" t="n">
        <v>1</v>
      </c>
      <c r="E3264" s="0" t="str">
        <f aca="false">INDEX(lot!$B$2:$B$1201,MATCH(B3264,lot!$A$2:$A$1201,0))</f>
        <v>SUP-E</v>
      </c>
      <c r="F3264" s="3" t="n">
        <f aca="false">YEAR(A3264)*100+MONTH(A3264)</f>
        <v>202608</v>
      </c>
    </row>
    <row r="3265" customFormat="false" ht="15" hidden="false" customHeight="false" outlineLevel="0" collapsed="false">
      <c r="A3265" s="2" t="n">
        <v>46239</v>
      </c>
      <c r="B3265" s="3" t="s">
        <v>838</v>
      </c>
      <c r="C3265" s="0" t="n">
        <v>200</v>
      </c>
      <c r="D3265" s="0" t="n">
        <v>1</v>
      </c>
      <c r="E3265" s="0" t="str">
        <f aca="false">INDEX(lot!$B$2:$B$1201,MATCH(B3265,lot!$A$2:$A$1201,0))</f>
        <v>SUP-E</v>
      </c>
      <c r="F3265" s="3" t="n">
        <f aca="false">YEAR(A3265)*100+MONTH(A3265)</f>
        <v>202608</v>
      </c>
    </row>
    <row r="3266" customFormat="false" ht="15" hidden="false" customHeight="false" outlineLevel="0" collapsed="false">
      <c r="A3266" s="2" t="n">
        <v>46239</v>
      </c>
      <c r="B3266" s="3" t="s">
        <v>924</v>
      </c>
      <c r="C3266" s="0" t="n">
        <v>104</v>
      </c>
      <c r="D3266" s="0" t="n">
        <v>2</v>
      </c>
      <c r="E3266" s="0" t="str">
        <f aca="false">INDEX(lot!$B$2:$B$1201,MATCH(B3266,lot!$A$2:$A$1201,0))</f>
        <v>SUP-D</v>
      </c>
      <c r="F3266" s="3" t="n">
        <f aca="false">YEAR(A3266)*100+MONTH(A3266)</f>
        <v>202608</v>
      </c>
    </row>
    <row r="3267" customFormat="false" ht="15" hidden="false" customHeight="false" outlineLevel="0" collapsed="false">
      <c r="A3267" s="2" t="n">
        <v>46239</v>
      </c>
      <c r="B3267" s="3" t="s">
        <v>1015</v>
      </c>
      <c r="C3267" s="0" t="n">
        <v>222</v>
      </c>
      <c r="D3267" s="0" t="n">
        <v>40</v>
      </c>
      <c r="E3267" s="0" t="str">
        <f aca="false">INDEX(lot!$B$2:$B$1201,MATCH(B3267,lot!$A$2:$A$1201,0))</f>
        <v>SUP-C</v>
      </c>
      <c r="F3267" s="3" t="n">
        <f aca="false">YEAR(A3267)*100+MONTH(A3267)</f>
        <v>202608</v>
      </c>
    </row>
    <row r="3268" customFormat="false" ht="15" hidden="false" customHeight="false" outlineLevel="0" collapsed="false">
      <c r="A3268" s="2" t="n">
        <v>46239</v>
      </c>
      <c r="B3268" s="3" t="s">
        <v>1105</v>
      </c>
      <c r="C3268" s="0" t="n">
        <v>210</v>
      </c>
      <c r="D3268" s="0" t="n">
        <v>3</v>
      </c>
      <c r="E3268" s="0" t="str">
        <f aca="false">INDEX(lot!$B$2:$B$1201,MATCH(B3268,lot!$A$2:$A$1201,0))</f>
        <v>SUP-D</v>
      </c>
      <c r="F3268" s="3" t="n">
        <f aca="false">YEAR(A3268)*100+MONTH(A3268)</f>
        <v>202608</v>
      </c>
    </row>
    <row r="3269" customFormat="false" ht="15" hidden="false" customHeight="false" outlineLevel="0" collapsed="false">
      <c r="A3269" s="2" t="n">
        <v>46240</v>
      </c>
      <c r="B3269" s="3" t="s">
        <v>295</v>
      </c>
      <c r="C3269" s="0" t="n">
        <v>200</v>
      </c>
      <c r="D3269" s="0" t="n">
        <v>4</v>
      </c>
      <c r="E3269" s="0" t="str">
        <f aca="false">INDEX(lot!$B$2:$B$1201,MATCH(B3269,lot!$A$2:$A$1201,0))</f>
        <v>SUP-C</v>
      </c>
      <c r="F3269" s="3" t="n">
        <f aca="false">YEAR(A3269)*100+MONTH(A3269)</f>
        <v>202608</v>
      </c>
    </row>
    <row r="3270" customFormat="false" ht="15" hidden="false" customHeight="false" outlineLevel="0" collapsed="false">
      <c r="A3270" s="2" t="n">
        <v>46240</v>
      </c>
      <c r="B3270" s="3" t="s">
        <v>470</v>
      </c>
      <c r="C3270" s="0" t="n">
        <v>110</v>
      </c>
      <c r="D3270" s="0" t="n">
        <v>2</v>
      </c>
      <c r="E3270" s="0" t="str">
        <f aca="false">INDEX(lot!$B$2:$B$1201,MATCH(B3270,lot!$A$2:$A$1201,0))</f>
        <v>SUP-E</v>
      </c>
      <c r="F3270" s="3" t="n">
        <f aca="false">YEAR(A3270)*100+MONTH(A3270)</f>
        <v>202608</v>
      </c>
    </row>
    <row r="3271" customFormat="false" ht="15" hidden="false" customHeight="false" outlineLevel="0" collapsed="false">
      <c r="A3271" s="2" t="n">
        <v>46240</v>
      </c>
      <c r="B3271" s="3" t="s">
        <v>470</v>
      </c>
      <c r="C3271" s="0" t="n">
        <v>192</v>
      </c>
      <c r="D3271" s="0" t="n">
        <v>0</v>
      </c>
      <c r="E3271" s="0" t="str">
        <f aca="false">INDEX(lot!$B$2:$B$1201,MATCH(B3271,lot!$A$2:$A$1201,0))</f>
        <v>SUP-E</v>
      </c>
      <c r="F3271" s="3" t="n">
        <f aca="false">YEAR(A3271)*100+MONTH(A3271)</f>
        <v>202608</v>
      </c>
    </row>
    <row r="3272" customFormat="false" ht="15" hidden="false" customHeight="false" outlineLevel="0" collapsed="false">
      <c r="A3272" s="2" t="n">
        <v>46240</v>
      </c>
      <c r="B3272" s="3" t="s">
        <v>670</v>
      </c>
      <c r="C3272" s="0" t="n">
        <v>182</v>
      </c>
      <c r="D3272" s="0" t="n">
        <v>1</v>
      </c>
      <c r="E3272" s="0" t="str">
        <f aca="false">INDEX(lot!$B$2:$B$1201,MATCH(B3272,lot!$A$2:$A$1201,0))</f>
        <v>SUP-E</v>
      </c>
      <c r="F3272" s="3" t="n">
        <f aca="false">YEAR(A3272)*100+MONTH(A3272)</f>
        <v>202608</v>
      </c>
    </row>
    <row r="3273" customFormat="false" ht="15" hidden="false" customHeight="false" outlineLevel="0" collapsed="false">
      <c r="A3273" s="2" t="n">
        <v>46240</v>
      </c>
      <c r="B3273" s="3" t="s">
        <v>832</v>
      </c>
      <c r="C3273" s="0" t="n">
        <v>147</v>
      </c>
      <c r="D3273" s="0" t="n">
        <v>4</v>
      </c>
      <c r="E3273" s="0" t="str">
        <f aca="false">INDEX(lot!$B$2:$B$1201,MATCH(B3273,lot!$A$2:$A$1201,0))</f>
        <v>SUP-A</v>
      </c>
      <c r="F3273" s="3" t="n">
        <f aca="false">YEAR(A3273)*100+MONTH(A3273)</f>
        <v>202608</v>
      </c>
    </row>
    <row r="3274" customFormat="false" ht="15" hidden="false" customHeight="false" outlineLevel="0" collapsed="false">
      <c r="A3274" s="2" t="n">
        <v>46240</v>
      </c>
      <c r="B3274" s="3" t="s">
        <v>832</v>
      </c>
      <c r="C3274" s="0" t="n">
        <v>197</v>
      </c>
      <c r="D3274" s="0" t="n">
        <v>3</v>
      </c>
      <c r="E3274" s="0" t="str">
        <f aca="false">INDEX(lot!$B$2:$B$1201,MATCH(B3274,lot!$A$2:$A$1201,0))</f>
        <v>SUP-A</v>
      </c>
      <c r="F3274" s="3" t="n">
        <f aca="false">YEAR(A3274)*100+MONTH(A3274)</f>
        <v>202608</v>
      </c>
    </row>
    <row r="3275" customFormat="false" ht="15" hidden="false" customHeight="false" outlineLevel="0" collapsed="false">
      <c r="A3275" s="2" t="n">
        <v>46240</v>
      </c>
      <c r="B3275" s="3" t="s">
        <v>838</v>
      </c>
      <c r="C3275" s="0" t="n">
        <v>142</v>
      </c>
      <c r="D3275" s="0" t="n">
        <v>1</v>
      </c>
      <c r="E3275" s="0" t="str">
        <f aca="false">INDEX(lot!$B$2:$B$1201,MATCH(B3275,lot!$A$2:$A$1201,0))</f>
        <v>SUP-E</v>
      </c>
      <c r="F3275" s="3" t="n">
        <f aca="false">YEAR(A3275)*100+MONTH(A3275)</f>
        <v>202608</v>
      </c>
    </row>
    <row r="3276" customFormat="false" ht="15" hidden="false" customHeight="false" outlineLevel="0" collapsed="false">
      <c r="A3276" s="2" t="n">
        <v>46240</v>
      </c>
      <c r="B3276" s="3" t="s">
        <v>892</v>
      </c>
      <c r="C3276" s="0" t="n">
        <v>138</v>
      </c>
      <c r="D3276" s="0" t="n">
        <v>1</v>
      </c>
      <c r="E3276" s="0" t="str">
        <f aca="false">INDEX(lot!$B$2:$B$1201,MATCH(B3276,lot!$A$2:$A$1201,0))</f>
        <v>SUP-D</v>
      </c>
      <c r="F3276" s="3" t="n">
        <f aca="false">YEAR(A3276)*100+MONTH(A3276)</f>
        <v>202608</v>
      </c>
    </row>
    <row r="3277" customFormat="false" ht="15" hidden="false" customHeight="false" outlineLevel="0" collapsed="false">
      <c r="A3277" s="2" t="n">
        <v>46240</v>
      </c>
      <c r="B3277" s="3" t="s">
        <v>892</v>
      </c>
      <c r="C3277" s="0" t="n">
        <v>178</v>
      </c>
      <c r="D3277" s="0" t="n">
        <v>0</v>
      </c>
      <c r="E3277" s="0" t="str">
        <f aca="false">INDEX(lot!$B$2:$B$1201,MATCH(B3277,lot!$A$2:$A$1201,0))</f>
        <v>SUP-D</v>
      </c>
      <c r="F3277" s="3" t="n">
        <f aca="false">YEAR(A3277)*100+MONTH(A3277)</f>
        <v>202608</v>
      </c>
    </row>
    <row r="3278" customFormat="false" ht="15" hidden="false" customHeight="false" outlineLevel="0" collapsed="false">
      <c r="A3278" s="2" t="n">
        <v>46240</v>
      </c>
      <c r="B3278" s="3" t="s">
        <v>940</v>
      </c>
      <c r="C3278" s="0" t="n">
        <v>77</v>
      </c>
      <c r="D3278" s="0" t="n">
        <v>0</v>
      </c>
      <c r="E3278" s="0" t="str">
        <f aca="false">INDEX(lot!$B$2:$B$1201,MATCH(B3278,lot!$A$2:$A$1201,0))</f>
        <v>SUP-C</v>
      </c>
      <c r="F3278" s="3" t="n">
        <f aca="false">YEAR(A3278)*100+MONTH(A3278)</f>
        <v>202608</v>
      </c>
    </row>
    <row r="3279" customFormat="false" ht="15" hidden="false" customHeight="false" outlineLevel="0" collapsed="false">
      <c r="A3279" s="2" t="n">
        <v>46240</v>
      </c>
      <c r="B3279" s="3" t="s">
        <v>940</v>
      </c>
      <c r="C3279" s="0" t="n">
        <v>100</v>
      </c>
      <c r="D3279" s="0" t="n">
        <v>2</v>
      </c>
      <c r="E3279" s="0" t="str">
        <f aca="false">INDEX(lot!$B$2:$B$1201,MATCH(B3279,lot!$A$2:$A$1201,0))</f>
        <v>SUP-C</v>
      </c>
      <c r="F3279" s="3" t="n">
        <f aca="false">YEAR(A3279)*100+MONTH(A3279)</f>
        <v>202608</v>
      </c>
    </row>
    <row r="3280" customFormat="false" ht="15" hidden="false" customHeight="false" outlineLevel="0" collapsed="false">
      <c r="A3280" s="2" t="n">
        <v>46240</v>
      </c>
      <c r="B3280" s="3" t="s">
        <v>1015</v>
      </c>
      <c r="C3280" s="0" t="n">
        <v>174</v>
      </c>
      <c r="D3280" s="0" t="n">
        <v>29</v>
      </c>
      <c r="E3280" s="0" t="str">
        <f aca="false">INDEX(lot!$B$2:$B$1201,MATCH(B3280,lot!$A$2:$A$1201,0))</f>
        <v>SUP-C</v>
      </c>
      <c r="F3280" s="3" t="n">
        <f aca="false">YEAR(A3280)*100+MONTH(A3280)</f>
        <v>202608</v>
      </c>
    </row>
    <row r="3281" customFormat="false" ht="15" hidden="false" customHeight="false" outlineLevel="0" collapsed="false">
      <c r="A3281" s="2" t="n">
        <v>46240</v>
      </c>
      <c r="B3281" s="3" t="s">
        <v>1015</v>
      </c>
      <c r="C3281" s="0" t="n">
        <v>202</v>
      </c>
      <c r="D3281" s="0" t="n">
        <v>38</v>
      </c>
      <c r="E3281" s="0" t="str">
        <f aca="false">INDEX(lot!$B$2:$B$1201,MATCH(B3281,lot!$A$2:$A$1201,0))</f>
        <v>SUP-C</v>
      </c>
      <c r="F3281" s="3" t="n">
        <f aca="false">YEAR(A3281)*100+MONTH(A3281)</f>
        <v>202608</v>
      </c>
    </row>
    <row r="3282" customFormat="false" ht="15" hidden="false" customHeight="false" outlineLevel="0" collapsed="false">
      <c r="A3282" s="2" t="n">
        <v>46240</v>
      </c>
      <c r="B3282" s="3" t="s">
        <v>1105</v>
      </c>
      <c r="C3282" s="0" t="n">
        <v>192</v>
      </c>
      <c r="D3282" s="0" t="n">
        <v>0</v>
      </c>
      <c r="E3282" s="0" t="str">
        <f aca="false">INDEX(lot!$B$2:$B$1201,MATCH(B3282,lot!$A$2:$A$1201,0))</f>
        <v>SUP-D</v>
      </c>
      <c r="F3282" s="3" t="n">
        <f aca="false">YEAR(A3282)*100+MONTH(A3282)</f>
        <v>202608</v>
      </c>
    </row>
    <row r="3283" customFormat="false" ht="15" hidden="false" customHeight="false" outlineLevel="0" collapsed="false">
      <c r="A3283" s="2" t="n">
        <v>46240</v>
      </c>
      <c r="B3283" s="3" t="s">
        <v>1105</v>
      </c>
      <c r="C3283" s="0" t="n">
        <v>80</v>
      </c>
      <c r="D3283" s="0" t="n">
        <v>0</v>
      </c>
      <c r="E3283" s="0" t="str">
        <f aca="false">INDEX(lot!$B$2:$B$1201,MATCH(B3283,lot!$A$2:$A$1201,0))</f>
        <v>SUP-D</v>
      </c>
      <c r="F3283" s="3" t="n">
        <f aca="false">YEAR(A3283)*100+MONTH(A3283)</f>
        <v>202608</v>
      </c>
    </row>
    <row r="3284" customFormat="false" ht="15" hidden="false" customHeight="false" outlineLevel="0" collapsed="false">
      <c r="A3284" s="2" t="n">
        <v>46240</v>
      </c>
      <c r="B3284" s="3" t="s">
        <v>1106</v>
      </c>
      <c r="C3284" s="0" t="n">
        <v>204</v>
      </c>
      <c r="D3284" s="0" t="n">
        <v>5</v>
      </c>
      <c r="E3284" s="0" t="str">
        <f aca="false">INDEX(lot!$B$2:$B$1201,MATCH(B3284,lot!$A$2:$A$1201,0))</f>
        <v>SUP-A</v>
      </c>
      <c r="F3284" s="3" t="n">
        <f aca="false">YEAR(A3284)*100+MONTH(A3284)</f>
        <v>202608</v>
      </c>
    </row>
    <row r="3285" customFormat="false" ht="15" hidden="false" customHeight="false" outlineLevel="0" collapsed="false">
      <c r="A3285" s="2" t="n">
        <v>46241</v>
      </c>
      <c r="B3285" s="3" t="s">
        <v>99</v>
      </c>
      <c r="C3285" s="0" t="n">
        <v>72</v>
      </c>
      <c r="D3285" s="0" t="n">
        <v>1</v>
      </c>
      <c r="E3285" s="0" t="str">
        <f aca="false">INDEX(lot!$B$2:$B$1201,MATCH(B3285,lot!$A$2:$A$1201,0))</f>
        <v>SUP-C</v>
      </c>
      <c r="F3285" s="3" t="n">
        <f aca="false">YEAR(A3285)*100+MONTH(A3285)</f>
        <v>202608</v>
      </c>
    </row>
    <row r="3286" customFormat="false" ht="15" hidden="false" customHeight="false" outlineLevel="0" collapsed="false">
      <c r="A3286" s="2" t="n">
        <v>46241</v>
      </c>
      <c r="B3286" s="3" t="s">
        <v>340</v>
      </c>
      <c r="C3286" s="0" t="n">
        <v>160</v>
      </c>
      <c r="D3286" s="0" t="n">
        <v>1</v>
      </c>
      <c r="E3286" s="0" t="str">
        <f aca="false">INDEX(lot!$B$2:$B$1201,MATCH(B3286,lot!$A$2:$A$1201,0))</f>
        <v>SUP-B</v>
      </c>
      <c r="F3286" s="3" t="n">
        <f aca="false">YEAR(A3286)*100+MONTH(A3286)</f>
        <v>202608</v>
      </c>
    </row>
    <row r="3287" customFormat="false" ht="15" hidden="false" customHeight="false" outlineLevel="0" collapsed="false">
      <c r="A3287" s="2" t="n">
        <v>46241</v>
      </c>
      <c r="B3287" s="3" t="s">
        <v>391</v>
      </c>
      <c r="C3287" s="0" t="n">
        <v>232</v>
      </c>
      <c r="D3287" s="0" t="n">
        <v>4</v>
      </c>
      <c r="E3287" s="0" t="str">
        <f aca="false">INDEX(lot!$B$2:$B$1201,MATCH(B3287,lot!$A$2:$A$1201,0))</f>
        <v>SUP-D</v>
      </c>
      <c r="F3287" s="3" t="n">
        <f aca="false">YEAR(A3287)*100+MONTH(A3287)</f>
        <v>202608</v>
      </c>
    </row>
    <row r="3288" customFormat="false" ht="15" hidden="false" customHeight="false" outlineLevel="0" collapsed="false">
      <c r="A3288" s="2" t="n">
        <v>46241</v>
      </c>
      <c r="B3288" s="3" t="s">
        <v>391</v>
      </c>
      <c r="C3288" s="0" t="n">
        <v>112</v>
      </c>
      <c r="D3288" s="0" t="n">
        <v>2</v>
      </c>
      <c r="E3288" s="0" t="str">
        <f aca="false">INDEX(lot!$B$2:$B$1201,MATCH(B3288,lot!$A$2:$A$1201,0))</f>
        <v>SUP-D</v>
      </c>
      <c r="F3288" s="3" t="n">
        <f aca="false">YEAR(A3288)*100+MONTH(A3288)</f>
        <v>202608</v>
      </c>
    </row>
    <row r="3289" customFormat="false" ht="15" hidden="false" customHeight="false" outlineLevel="0" collapsed="false">
      <c r="A3289" s="2" t="n">
        <v>46241</v>
      </c>
      <c r="B3289" s="3" t="s">
        <v>463</v>
      </c>
      <c r="C3289" s="0" t="n">
        <v>207</v>
      </c>
      <c r="D3289" s="0" t="n">
        <v>0</v>
      </c>
      <c r="E3289" s="0" t="str">
        <f aca="false">INDEX(lot!$B$2:$B$1201,MATCH(B3289,lot!$A$2:$A$1201,0))</f>
        <v>SUP-D</v>
      </c>
      <c r="F3289" s="3" t="n">
        <f aca="false">YEAR(A3289)*100+MONTH(A3289)</f>
        <v>202608</v>
      </c>
    </row>
    <row r="3290" customFormat="false" ht="15" hidden="false" customHeight="false" outlineLevel="0" collapsed="false">
      <c r="A3290" s="2" t="n">
        <v>46241</v>
      </c>
      <c r="B3290" s="3" t="s">
        <v>482</v>
      </c>
      <c r="C3290" s="0" t="n">
        <v>79</v>
      </c>
      <c r="D3290" s="0" t="n">
        <v>0</v>
      </c>
      <c r="E3290" s="0" t="str">
        <f aca="false">INDEX(lot!$B$2:$B$1201,MATCH(B3290,lot!$A$2:$A$1201,0))</f>
        <v>SUP-B</v>
      </c>
      <c r="F3290" s="3" t="n">
        <f aca="false">YEAR(A3290)*100+MONTH(A3290)</f>
        <v>202608</v>
      </c>
    </row>
    <row r="3291" customFormat="false" ht="15" hidden="false" customHeight="false" outlineLevel="0" collapsed="false">
      <c r="A3291" s="2" t="n">
        <v>46241</v>
      </c>
      <c r="B3291" s="3" t="s">
        <v>482</v>
      </c>
      <c r="C3291" s="0" t="n">
        <v>244</v>
      </c>
      <c r="D3291" s="0" t="n">
        <v>2</v>
      </c>
      <c r="E3291" s="0" t="str">
        <f aca="false">INDEX(lot!$B$2:$B$1201,MATCH(B3291,lot!$A$2:$A$1201,0))</f>
        <v>SUP-B</v>
      </c>
      <c r="F3291" s="3" t="n">
        <f aca="false">YEAR(A3291)*100+MONTH(A3291)</f>
        <v>202608</v>
      </c>
    </row>
    <row r="3292" customFormat="false" ht="15" hidden="false" customHeight="false" outlineLevel="0" collapsed="false">
      <c r="A3292" s="2" t="n">
        <v>46241</v>
      </c>
      <c r="B3292" s="3" t="s">
        <v>653</v>
      </c>
      <c r="C3292" s="0" t="n">
        <v>187</v>
      </c>
      <c r="D3292" s="0" t="n">
        <v>0</v>
      </c>
      <c r="E3292" s="0" t="str">
        <f aca="false">INDEX(lot!$B$2:$B$1201,MATCH(B3292,lot!$A$2:$A$1201,0))</f>
        <v>SUP-D</v>
      </c>
      <c r="F3292" s="3" t="n">
        <f aca="false">YEAR(A3292)*100+MONTH(A3292)</f>
        <v>202608</v>
      </c>
    </row>
    <row r="3293" customFormat="false" ht="15" hidden="false" customHeight="false" outlineLevel="0" collapsed="false">
      <c r="A3293" s="2" t="n">
        <v>46241</v>
      </c>
      <c r="B3293" s="3" t="s">
        <v>785</v>
      </c>
      <c r="C3293" s="0" t="n">
        <v>188</v>
      </c>
      <c r="D3293" s="0" t="n">
        <v>4</v>
      </c>
      <c r="E3293" s="0" t="str">
        <f aca="false">INDEX(lot!$B$2:$B$1201,MATCH(B3293,lot!$A$2:$A$1201,0))</f>
        <v>SUP-C</v>
      </c>
      <c r="F3293" s="3" t="n">
        <f aca="false">YEAR(A3293)*100+MONTH(A3293)</f>
        <v>202608</v>
      </c>
    </row>
    <row r="3294" customFormat="false" ht="15" hidden="false" customHeight="false" outlineLevel="0" collapsed="false">
      <c r="A3294" s="2" t="n">
        <v>46241</v>
      </c>
      <c r="B3294" s="3" t="s">
        <v>785</v>
      </c>
      <c r="C3294" s="0" t="n">
        <v>98</v>
      </c>
      <c r="D3294" s="0" t="n">
        <v>4</v>
      </c>
      <c r="E3294" s="0" t="str">
        <f aca="false">INDEX(lot!$B$2:$B$1201,MATCH(B3294,lot!$A$2:$A$1201,0))</f>
        <v>SUP-C</v>
      </c>
      <c r="F3294" s="3" t="n">
        <f aca="false">YEAR(A3294)*100+MONTH(A3294)</f>
        <v>202608</v>
      </c>
    </row>
    <row r="3295" customFormat="false" ht="15" hidden="false" customHeight="false" outlineLevel="0" collapsed="false">
      <c r="A3295" s="2" t="n">
        <v>46241</v>
      </c>
      <c r="B3295" s="3" t="s">
        <v>832</v>
      </c>
      <c r="C3295" s="0" t="n">
        <v>88</v>
      </c>
      <c r="D3295" s="0" t="n">
        <v>2</v>
      </c>
      <c r="E3295" s="0" t="str">
        <f aca="false">INDEX(lot!$B$2:$B$1201,MATCH(B3295,lot!$A$2:$A$1201,0))</f>
        <v>SUP-A</v>
      </c>
      <c r="F3295" s="3" t="n">
        <f aca="false">YEAR(A3295)*100+MONTH(A3295)</f>
        <v>202608</v>
      </c>
    </row>
    <row r="3296" customFormat="false" ht="15" hidden="false" customHeight="false" outlineLevel="0" collapsed="false">
      <c r="A3296" s="2" t="n">
        <v>46241</v>
      </c>
      <c r="B3296" s="3" t="s">
        <v>838</v>
      </c>
      <c r="C3296" s="0" t="n">
        <v>184</v>
      </c>
      <c r="D3296" s="0" t="n">
        <v>0</v>
      </c>
      <c r="E3296" s="0" t="str">
        <f aca="false">INDEX(lot!$B$2:$B$1201,MATCH(B3296,lot!$A$2:$A$1201,0))</f>
        <v>SUP-E</v>
      </c>
      <c r="F3296" s="3" t="n">
        <f aca="false">YEAR(A3296)*100+MONTH(A3296)</f>
        <v>202608</v>
      </c>
    </row>
    <row r="3297" customFormat="false" ht="15" hidden="false" customHeight="false" outlineLevel="0" collapsed="false">
      <c r="A3297" s="2" t="n">
        <v>46241</v>
      </c>
      <c r="B3297" s="3" t="s">
        <v>838</v>
      </c>
      <c r="C3297" s="0" t="n">
        <v>222</v>
      </c>
      <c r="D3297" s="0" t="n">
        <v>3</v>
      </c>
      <c r="E3297" s="0" t="str">
        <f aca="false">INDEX(lot!$B$2:$B$1201,MATCH(B3297,lot!$A$2:$A$1201,0))</f>
        <v>SUP-E</v>
      </c>
      <c r="F3297" s="3" t="n">
        <f aca="false">YEAR(A3297)*100+MONTH(A3297)</f>
        <v>202608</v>
      </c>
    </row>
    <row r="3298" customFormat="false" ht="15" hidden="false" customHeight="false" outlineLevel="0" collapsed="false">
      <c r="A3298" s="2" t="n">
        <v>46241</v>
      </c>
      <c r="B3298" s="3" t="s">
        <v>940</v>
      </c>
      <c r="C3298" s="0" t="n">
        <v>220</v>
      </c>
      <c r="D3298" s="0" t="n">
        <v>6</v>
      </c>
      <c r="E3298" s="0" t="str">
        <f aca="false">INDEX(lot!$B$2:$B$1201,MATCH(B3298,lot!$A$2:$A$1201,0))</f>
        <v>SUP-C</v>
      </c>
      <c r="F3298" s="3" t="n">
        <f aca="false">YEAR(A3298)*100+MONTH(A3298)</f>
        <v>202608</v>
      </c>
    </row>
    <row r="3299" customFormat="false" ht="15" hidden="false" customHeight="false" outlineLevel="0" collapsed="false">
      <c r="A3299" s="2" t="n">
        <v>46241</v>
      </c>
      <c r="B3299" s="3" t="s">
        <v>1028</v>
      </c>
      <c r="C3299" s="0" t="n">
        <v>87</v>
      </c>
      <c r="D3299" s="0" t="n">
        <v>1</v>
      </c>
      <c r="E3299" s="0" t="str">
        <f aca="false">INDEX(lot!$B$2:$B$1201,MATCH(B3299,lot!$A$2:$A$1201,0))</f>
        <v>SUP-E</v>
      </c>
      <c r="F3299" s="3" t="n">
        <f aca="false">YEAR(A3299)*100+MONTH(A3299)</f>
        <v>202608</v>
      </c>
    </row>
    <row r="3300" customFormat="false" ht="15" hidden="false" customHeight="false" outlineLevel="0" collapsed="false">
      <c r="A3300" s="2" t="n">
        <v>46241</v>
      </c>
      <c r="B3300" s="3" t="s">
        <v>1057</v>
      </c>
      <c r="C3300" s="0" t="n">
        <v>228</v>
      </c>
      <c r="D3300" s="0" t="n">
        <v>2</v>
      </c>
      <c r="E3300" s="0" t="str">
        <f aca="false">INDEX(lot!$B$2:$B$1201,MATCH(B3300,lot!$A$2:$A$1201,0))</f>
        <v>SUP-D</v>
      </c>
      <c r="F3300" s="3" t="n">
        <f aca="false">YEAR(A3300)*100+MONTH(A3300)</f>
        <v>202608</v>
      </c>
    </row>
    <row r="3301" customFormat="false" ht="15" hidden="false" customHeight="false" outlineLevel="0" collapsed="false">
      <c r="A3301" s="2" t="n">
        <v>46241</v>
      </c>
      <c r="B3301" s="3" t="s">
        <v>1060</v>
      </c>
      <c r="C3301" s="0" t="n">
        <v>159</v>
      </c>
      <c r="D3301" s="0" t="n">
        <v>5</v>
      </c>
      <c r="E3301" s="0" t="str">
        <f aca="false">INDEX(lot!$B$2:$B$1201,MATCH(B3301,lot!$A$2:$A$1201,0))</f>
        <v>SUP-A</v>
      </c>
      <c r="F3301" s="3" t="n">
        <f aca="false">YEAR(A3301)*100+MONTH(A3301)</f>
        <v>202608</v>
      </c>
    </row>
    <row r="3302" customFormat="false" ht="15" hidden="false" customHeight="false" outlineLevel="0" collapsed="false">
      <c r="A3302" s="2" t="n">
        <v>46241</v>
      </c>
      <c r="B3302" s="3" t="s">
        <v>1106</v>
      </c>
      <c r="C3302" s="0" t="n">
        <v>137</v>
      </c>
      <c r="D3302" s="0" t="n">
        <v>4</v>
      </c>
      <c r="E3302" s="0" t="str">
        <f aca="false">INDEX(lot!$B$2:$B$1201,MATCH(B3302,lot!$A$2:$A$1201,0))</f>
        <v>SUP-A</v>
      </c>
      <c r="F3302" s="3" t="n">
        <f aca="false">YEAR(A3302)*100+MONTH(A3302)</f>
        <v>202608</v>
      </c>
    </row>
    <row r="3303" customFormat="false" ht="15" hidden="false" customHeight="false" outlineLevel="0" collapsed="false">
      <c r="A3303" s="2" t="n">
        <v>46241</v>
      </c>
      <c r="B3303" s="3" t="s">
        <v>1106</v>
      </c>
      <c r="C3303" s="0" t="n">
        <v>104</v>
      </c>
      <c r="D3303" s="0" t="n">
        <v>2</v>
      </c>
      <c r="E3303" s="0" t="str">
        <f aca="false">INDEX(lot!$B$2:$B$1201,MATCH(B3303,lot!$A$2:$A$1201,0))</f>
        <v>SUP-A</v>
      </c>
      <c r="F3303" s="3" t="n">
        <f aca="false">YEAR(A3303)*100+MONTH(A3303)</f>
        <v>202608</v>
      </c>
    </row>
    <row r="3304" customFormat="false" ht="15" hidden="false" customHeight="false" outlineLevel="0" collapsed="false">
      <c r="A3304" s="2" t="n">
        <v>46244</v>
      </c>
      <c r="B3304" s="3" t="s">
        <v>99</v>
      </c>
      <c r="C3304" s="0" t="n">
        <v>144</v>
      </c>
      <c r="D3304" s="0" t="n">
        <v>2</v>
      </c>
      <c r="E3304" s="0" t="str">
        <f aca="false">INDEX(lot!$B$2:$B$1201,MATCH(B3304,lot!$A$2:$A$1201,0))</f>
        <v>SUP-C</v>
      </c>
      <c r="F3304" s="3" t="n">
        <f aca="false">YEAR(A3304)*100+MONTH(A3304)</f>
        <v>202608</v>
      </c>
    </row>
    <row r="3305" customFormat="false" ht="15" hidden="false" customHeight="false" outlineLevel="0" collapsed="false">
      <c r="A3305" s="2" t="n">
        <v>46244</v>
      </c>
      <c r="B3305" s="3" t="s">
        <v>244</v>
      </c>
      <c r="C3305" s="0" t="n">
        <v>169</v>
      </c>
      <c r="D3305" s="0" t="n">
        <v>0</v>
      </c>
      <c r="E3305" s="0" t="str">
        <f aca="false">INDEX(lot!$B$2:$B$1201,MATCH(B3305,lot!$A$2:$A$1201,0))</f>
        <v>SUP-E</v>
      </c>
      <c r="F3305" s="3" t="n">
        <f aca="false">YEAR(A3305)*100+MONTH(A3305)</f>
        <v>202608</v>
      </c>
    </row>
    <row r="3306" customFormat="false" ht="15" hidden="false" customHeight="false" outlineLevel="0" collapsed="false">
      <c r="A3306" s="2" t="n">
        <v>46244</v>
      </c>
      <c r="B3306" s="3" t="s">
        <v>244</v>
      </c>
      <c r="C3306" s="0" t="n">
        <v>243</v>
      </c>
      <c r="D3306" s="0" t="n">
        <v>3</v>
      </c>
      <c r="E3306" s="0" t="str">
        <f aca="false">INDEX(lot!$B$2:$B$1201,MATCH(B3306,lot!$A$2:$A$1201,0))</f>
        <v>SUP-E</v>
      </c>
      <c r="F3306" s="3" t="n">
        <f aca="false">YEAR(A3306)*100+MONTH(A3306)</f>
        <v>202608</v>
      </c>
    </row>
    <row r="3307" customFormat="false" ht="15" hidden="false" customHeight="false" outlineLevel="0" collapsed="false">
      <c r="A3307" s="2" t="n">
        <v>46244</v>
      </c>
      <c r="B3307" s="3" t="s">
        <v>280</v>
      </c>
      <c r="C3307" s="0" t="n">
        <v>172</v>
      </c>
      <c r="D3307" s="0" t="n">
        <v>4</v>
      </c>
      <c r="E3307" s="0" t="str">
        <f aca="false">INDEX(lot!$B$2:$B$1201,MATCH(B3307,lot!$A$2:$A$1201,0))</f>
        <v>SUP-A</v>
      </c>
      <c r="F3307" s="3" t="n">
        <f aca="false">YEAR(A3307)*100+MONTH(A3307)</f>
        <v>202608</v>
      </c>
    </row>
    <row r="3308" customFormat="false" ht="15" hidden="false" customHeight="false" outlineLevel="0" collapsed="false">
      <c r="A3308" s="2" t="n">
        <v>46244</v>
      </c>
      <c r="B3308" s="3" t="s">
        <v>327</v>
      </c>
      <c r="C3308" s="0" t="n">
        <v>123</v>
      </c>
      <c r="D3308" s="0" t="n">
        <v>3</v>
      </c>
      <c r="E3308" s="0" t="str">
        <f aca="false">INDEX(lot!$B$2:$B$1201,MATCH(B3308,lot!$A$2:$A$1201,0))</f>
        <v>SUP-C</v>
      </c>
      <c r="F3308" s="3" t="n">
        <f aca="false">YEAR(A3308)*100+MONTH(A3308)</f>
        <v>202608</v>
      </c>
    </row>
    <row r="3309" customFormat="false" ht="15" hidden="false" customHeight="false" outlineLevel="0" collapsed="false">
      <c r="A3309" s="2" t="n">
        <v>46244</v>
      </c>
      <c r="B3309" s="3" t="s">
        <v>327</v>
      </c>
      <c r="C3309" s="0" t="n">
        <v>224</v>
      </c>
      <c r="D3309" s="0" t="n">
        <v>8</v>
      </c>
      <c r="E3309" s="0" t="str">
        <f aca="false">INDEX(lot!$B$2:$B$1201,MATCH(B3309,lot!$A$2:$A$1201,0))</f>
        <v>SUP-C</v>
      </c>
      <c r="F3309" s="3" t="n">
        <f aca="false">YEAR(A3309)*100+MONTH(A3309)</f>
        <v>202608</v>
      </c>
    </row>
    <row r="3310" customFormat="false" ht="15" hidden="false" customHeight="false" outlineLevel="0" collapsed="false">
      <c r="A3310" s="2" t="n">
        <v>46244</v>
      </c>
      <c r="B3310" s="3" t="s">
        <v>340</v>
      </c>
      <c r="C3310" s="0" t="n">
        <v>147</v>
      </c>
      <c r="D3310" s="0" t="n">
        <v>2</v>
      </c>
      <c r="E3310" s="0" t="str">
        <f aca="false">INDEX(lot!$B$2:$B$1201,MATCH(B3310,lot!$A$2:$A$1201,0))</f>
        <v>SUP-B</v>
      </c>
      <c r="F3310" s="3" t="n">
        <f aca="false">YEAR(A3310)*100+MONTH(A3310)</f>
        <v>202608</v>
      </c>
    </row>
    <row r="3311" customFormat="false" ht="15" hidden="false" customHeight="false" outlineLevel="0" collapsed="false">
      <c r="A3311" s="2" t="n">
        <v>46244</v>
      </c>
      <c r="B3311" s="3" t="s">
        <v>390</v>
      </c>
      <c r="C3311" s="0" t="n">
        <v>91</v>
      </c>
      <c r="D3311" s="0" t="n">
        <v>1</v>
      </c>
      <c r="E3311" s="0" t="str">
        <f aca="false">INDEX(lot!$B$2:$B$1201,MATCH(B3311,lot!$A$2:$A$1201,0))</f>
        <v>SUP-D</v>
      </c>
      <c r="F3311" s="3" t="n">
        <f aca="false">YEAR(A3311)*100+MONTH(A3311)</f>
        <v>202608</v>
      </c>
    </row>
    <row r="3312" customFormat="false" ht="15" hidden="false" customHeight="false" outlineLevel="0" collapsed="false">
      <c r="A3312" s="2" t="n">
        <v>46244</v>
      </c>
      <c r="B3312" s="3" t="s">
        <v>390</v>
      </c>
      <c r="C3312" s="0" t="n">
        <v>82</v>
      </c>
      <c r="D3312" s="0" t="n">
        <v>0</v>
      </c>
      <c r="E3312" s="0" t="str">
        <f aca="false">INDEX(lot!$B$2:$B$1201,MATCH(B3312,lot!$A$2:$A$1201,0))</f>
        <v>SUP-D</v>
      </c>
      <c r="F3312" s="3" t="n">
        <f aca="false">YEAR(A3312)*100+MONTH(A3312)</f>
        <v>202608</v>
      </c>
    </row>
    <row r="3313" customFormat="false" ht="15" hidden="false" customHeight="false" outlineLevel="0" collapsed="false">
      <c r="A3313" s="2" t="n">
        <v>46244</v>
      </c>
      <c r="B3313" s="3" t="s">
        <v>482</v>
      </c>
      <c r="C3313" s="0" t="n">
        <v>219</v>
      </c>
      <c r="D3313" s="0" t="n">
        <v>3</v>
      </c>
      <c r="E3313" s="0" t="str">
        <f aca="false">INDEX(lot!$B$2:$B$1201,MATCH(B3313,lot!$A$2:$A$1201,0))</f>
        <v>SUP-B</v>
      </c>
      <c r="F3313" s="3" t="n">
        <f aca="false">YEAR(A3313)*100+MONTH(A3313)</f>
        <v>202608</v>
      </c>
    </row>
    <row r="3314" customFormat="false" ht="15" hidden="false" customHeight="false" outlineLevel="0" collapsed="false">
      <c r="A3314" s="2" t="n">
        <v>46244</v>
      </c>
      <c r="B3314" s="3" t="s">
        <v>482</v>
      </c>
      <c r="C3314" s="0" t="n">
        <v>76</v>
      </c>
      <c r="D3314" s="0" t="n">
        <v>1</v>
      </c>
      <c r="E3314" s="0" t="str">
        <f aca="false">INDEX(lot!$B$2:$B$1201,MATCH(B3314,lot!$A$2:$A$1201,0))</f>
        <v>SUP-B</v>
      </c>
      <c r="F3314" s="3" t="n">
        <f aca="false">YEAR(A3314)*100+MONTH(A3314)</f>
        <v>202608</v>
      </c>
    </row>
    <row r="3315" customFormat="false" ht="15" hidden="false" customHeight="false" outlineLevel="0" collapsed="false">
      <c r="A3315" s="2" t="n">
        <v>46244</v>
      </c>
      <c r="B3315" s="3" t="s">
        <v>626</v>
      </c>
      <c r="C3315" s="0" t="n">
        <v>234</v>
      </c>
      <c r="D3315" s="0" t="n">
        <v>7</v>
      </c>
      <c r="E3315" s="0" t="str">
        <f aca="false">INDEX(lot!$B$2:$B$1201,MATCH(B3315,lot!$A$2:$A$1201,0))</f>
        <v>SUP-A</v>
      </c>
      <c r="F3315" s="3" t="n">
        <f aca="false">YEAR(A3315)*100+MONTH(A3315)</f>
        <v>202608</v>
      </c>
    </row>
    <row r="3316" customFormat="false" ht="15" hidden="false" customHeight="false" outlineLevel="0" collapsed="false">
      <c r="A3316" s="2" t="n">
        <v>46244</v>
      </c>
      <c r="B3316" s="3" t="s">
        <v>645</v>
      </c>
      <c r="C3316" s="0" t="n">
        <v>125</v>
      </c>
      <c r="D3316" s="0" t="n">
        <v>1</v>
      </c>
      <c r="E3316" s="0" t="str">
        <f aca="false">INDEX(lot!$B$2:$B$1201,MATCH(B3316,lot!$A$2:$A$1201,0))</f>
        <v>SUP-D</v>
      </c>
      <c r="F3316" s="3" t="n">
        <f aca="false">YEAR(A3316)*100+MONTH(A3316)</f>
        <v>202608</v>
      </c>
    </row>
    <row r="3317" customFormat="false" ht="15" hidden="false" customHeight="false" outlineLevel="0" collapsed="false">
      <c r="A3317" s="2" t="n">
        <v>46244</v>
      </c>
      <c r="B3317" s="3" t="s">
        <v>651</v>
      </c>
      <c r="C3317" s="0" t="n">
        <v>154</v>
      </c>
      <c r="D3317" s="0" t="n">
        <v>1</v>
      </c>
      <c r="E3317" s="0" t="str">
        <f aca="false">INDEX(lot!$B$2:$B$1201,MATCH(B3317,lot!$A$2:$A$1201,0))</f>
        <v>SUP-D</v>
      </c>
      <c r="F3317" s="3" t="n">
        <f aca="false">YEAR(A3317)*100+MONTH(A3317)</f>
        <v>202608</v>
      </c>
    </row>
    <row r="3318" customFormat="false" ht="15" hidden="false" customHeight="false" outlineLevel="0" collapsed="false">
      <c r="A3318" s="2" t="n">
        <v>46244</v>
      </c>
      <c r="B3318" s="3" t="s">
        <v>651</v>
      </c>
      <c r="C3318" s="0" t="n">
        <v>247</v>
      </c>
      <c r="D3318" s="0" t="n">
        <v>1</v>
      </c>
      <c r="E3318" s="0" t="str">
        <f aca="false">INDEX(lot!$B$2:$B$1201,MATCH(B3318,lot!$A$2:$A$1201,0))</f>
        <v>SUP-D</v>
      </c>
      <c r="F3318" s="3" t="n">
        <f aca="false">YEAR(A3318)*100+MONTH(A3318)</f>
        <v>202608</v>
      </c>
    </row>
    <row r="3319" customFormat="false" ht="15" hidden="false" customHeight="false" outlineLevel="0" collapsed="false">
      <c r="A3319" s="2" t="n">
        <v>46244</v>
      </c>
      <c r="B3319" s="3" t="s">
        <v>766</v>
      </c>
      <c r="C3319" s="0" t="n">
        <v>234</v>
      </c>
      <c r="D3319" s="0" t="n">
        <v>2</v>
      </c>
      <c r="E3319" s="0" t="str">
        <f aca="false">INDEX(lot!$B$2:$B$1201,MATCH(B3319,lot!$A$2:$A$1201,0))</f>
        <v>SUP-E</v>
      </c>
      <c r="F3319" s="3" t="n">
        <f aca="false">YEAR(A3319)*100+MONTH(A3319)</f>
        <v>202608</v>
      </c>
    </row>
    <row r="3320" customFormat="false" ht="15" hidden="false" customHeight="false" outlineLevel="0" collapsed="false">
      <c r="A3320" s="2" t="n">
        <v>46244</v>
      </c>
      <c r="B3320" s="3" t="s">
        <v>766</v>
      </c>
      <c r="C3320" s="0" t="n">
        <v>76</v>
      </c>
      <c r="D3320" s="0" t="n">
        <v>1</v>
      </c>
      <c r="E3320" s="0" t="str">
        <f aca="false">INDEX(lot!$B$2:$B$1201,MATCH(B3320,lot!$A$2:$A$1201,0))</f>
        <v>SUP-E</v>
      </c>
      <c r="F3320" s="3" t="n">
        <f aca="false">YEAR(A3320)*100+MONTH(A3320)</f>
        <v>202608</v>
      </c>
    </row>
    <row r="3321" customFormat="false" ht="15" hidden="false" customHeight="false" outlineLevel="0" collapsed="false">
      <c r="A3321" s="2" t="n">
        <v>46244</v>
      </c>
      <c r="B3321" s="3" t="s">
        <v>1057</v>
      </c>
      <c r="C3321" s="0" t="n">
        <v>223</v>
      </c>
      <c r="D3321" s="0" t="n">
        <v>2</v>
      </c>
      <c r="E3321" s="0" t="str">
        <f aca="false">INDEX(lot!$B$2:$B$1201,MATCH(B3321,lot!$A$2:$A$1201,0))</f>
        <v>SUP-D</v>
      </c>
      <c r="F3321" s="3" t="n">
        <f aca="false">YEAR(A3321)*100+MONTH(A3321)</f>
        <v>202608</v>
      </c>
    </row>
    <row r="3322" customFormat="false" ht="15" hidden="false" customHeight="false" outlineLevel="0" collapsed="false">
      <c r="A3322" s="2" t="n">
        <v>46244</v>
      </c>
      <c r="B3322" s="3" t="s">
        <v>1057</v>
      </c>
      <c r="C3322" s="0" t="n">
        <v>105</v>
      </c>
      <c r="D3322" s="0" t="n">
        <v>0</v>
      </c>
      <c r="E3322" s="0" t="str">
        <f aca="false">INDEX(lot!$B$2:$B$1201,MATCH(B3322,lot!$A$2:$A$1201,0))</f>
        <v>SUP-D</v>
      </c>
      <c r="F3322" s="3" t="n">
        <f aca="false">YEAR(A3322)*100+MONTH(A3322)</f>
        <v>202608</v>
      </c>
    </row>
    <row r="3323" customFormat="false" ht="15" hidden="false" customHeight="false" outlineLevel="0" collapsed="false">
      <c r="A3323" s="2" t="n">
        <v>46244</v>
      </c>
      <c r="B3323" s="3" t="s">
        <v>1060</v>
      </c>
      <c r="C3323" s="0" t="n">
        <v>80</v>
      </c>
      <c r="D3323" s="0" t="n">
        <v>2</v>
      </c>
      <c r="E3323" s="0" t="str">
        <f aca="false">INDEX(lot!$B$2:$B$1201,MATCH(B3323,lot!$A$2:$A$1201,0))</f>
        <v>SUP-A</v>
      </c>
      <c r="F3323" s="3" t="n">
        <f aca="false">YEAR(A3323)*100+MONTH(A3323)</f>
        <v>202608</v>
      </c>
    </row>
    <row r="3324" customFormat="false" ht="15" hidden="false" customHeight="false" outlineLevel="0" collapsed="false">
      <c r="A3324" s="2" t="n">
        <v>46244</v>
      </c>
      <c r="B3324" s="3" t="s">
        <v>1060</v>
      </c>
      <c r="C3324" s="0" t="n">
        <v>88</v>
      </c>
      <c r="D3324" s="0" t="n">
        <v>2</v>
      </c>
      <c r="E3324" s="0" t="str">
        <f aca="false">INDEX(lot!$B$2:$B$1201,MATCH(B3324,lot!$A$2:$A$1201,0))</f>
        <v>SUP-A</v>
      </c>
      <c r="F3324" s="3" t="n">
        <f aca="false">YEAR(A3324)*100+MONTH(A3324)</f>
        <v>202608</v>
      </c>
    </row>
    <row r="3325" customFormat="false" ht="15" hidden="false" customHeight="false" outlineLevel="0" collapsed="false">
      <c r="A3325" s="2" t="n">
        <v>46244</v>
      </c>
      <c r="B3325" s="3" t="s">
        <v>1085</v>
      </c>
      <c r="C3325" s="0" t="n">
        <v>70</v>
      </c>
      <c r="D3325" s="0" t="n">
        <v>1</v>
      </c>
      <c r="E3325" s="0" t="str">
        <f aca="false">INDEX(lot!$B$2:$B$1201,MATCH(B3325,lot!$A$2:$A$1201,0))</f>
        <v>SUP-E</v>
      </c>
      <c r="F3325" s="3" t="n">
        <f aca="false">YEAR(A3325)*100+MONTH(A3325)</f>
        <v>202608</v>
      </c>
    </row>
    <row r="3326" customFormat="false" ht="15" hidden="false" customHeight="false" outlineLevel="0" collapsed="false">
      <c r="A3326" s="2" t="n">
        <v>46244</v>
      </c>
      <c r="B3326" s="3" t="s">
        <v>1122</v>
      </c>
      <c r="C3326" s="0" t="n">
        <v>100</v>
      </c>
      <c r="D3326" s="0" t="n">
        <v>1</v>
      </c>
      <c r="E3326" s="0" t="str">
        <f aca="false">INDEX(lot!$B$2:$B$1201,MATCH(B3326,lot!$A$2:$A$1201,0))</f>
        <v>SUP-D</v>
      </c>
      <c r="F3326" s="3" t="n">
        <f aca="false">YEAR(A3326)*100+MONTH(A3326)</f>
        <v>202608</v>
      </c>
    </row>
    <row r="3327" customFormat="false" ht="15" hidden="false" customHeight="false" outlineLevel="0" collapsed="false">
      <c r="A3327" s="2" t="n">
        <v>46245</v>
      </c>
      <c r="B3327" s="3" t="s">
        <v>99</v>
      </c>
      <c r="C3327" s="0" t="n">
        <v>217</v>
      </c>
      <c r="D3327" s="0" t="n">
        <v>3</v>
      </c>
      <c r="E3327" s="0" t="str">
        <f aca="false">INDEX(lot!$B$2:$B$1201,MATCH(B3327,lot!$A$2:$A$1201,0))</f>
        <v>SUP-C</v>
      </c>
      <c r="F3327" s="3" t="n">
        <f aca="false">YEAR(A3327)*100+MONTH(A3327)</f>
        <v>202608</v>
      </c>
    </row>
    <row r="3328" customFormat="false" ht="15" hidden="false" customHeight="false" outlineLevel="0" collapsed="false">
      <c r="A3328" s="2" t="n">
        <v>46245</v>
      </c>
      <c r="B3328" s="3" t="s">
        <v>244</v>
      </c>
      <c r="C3328" s="0" t="n">
        <v>199</v>
      </c>
      <c r="D3328" s="0" t="n">
        <v>1</v>
      </c>
      <c r="E3328" s="0" t="str">
        <f aca="false">INDEX(lot!$B$2:$B$1201,MATCH(B3328,lot!$A$2:$A$1201,0))</f>
        <v>SUP-E</v>
      </c>
      <c r="F3328" s="3" t="n">
        <f aca="false">YEAR(A3328)*100+MONTH(A3328)</f>
        <v>202608</v>
      </c>
    </row>
    <row r="3329" customFormat="false" ht="15" hidden="false" customHeight="false" outlineLevel="0" collapsed="false">
      <c r="A3329" s="2" t="n">
        <v>46245</v>
      </c>
      <c r="B3329" s="3" t="s">
        <v>244</v>
      </c>
      <c r="C3329" s="0" t="n">
        <v>91</v>
      </c>
      <c r="D3329" s="0" t="n">
        <v>0</v>
      </c>
      <c r="E3329" s="0" t="str">
        <f aca="false">INDEX(lot!$B$2:$B$1201,MATCH(B3329,lot!$A$2:$A$1201,0))</f>
        <v>SUP-E</v>
      </c>
      <c r="F3329" s="3" t="n">
        <f aca="false">YEAR(A3329)*100+MONTH(A3329)</f>
        <v>202608</v>
      </c>
    </row>
    <row r="3330" customFormat="false" ht="15" hidden="false" customHeight="false" outlineLevel="0" collapsed="false">
      <c r="A3330" s="2" t="n">
        <v>46245</v>
      </c>
      <c r="B3330" s="3" t="s">
        <v>280</v>
      </c>
      <c r="C3330" s="0" t="n">
        <v>134</v>
      </c>
      <c r="D3330" s="0" t="n">
        <v>4</v>
      </c>
      <c r="E3330" s="0" t="str">
        <f aca="false">INDEX(lot!$B$2:$B$1201,MATCH(B3330,lot!$A$2:$A$1201,0))</f>
        <v>SUP-A</v>
      </c>
      <c r="F3330" s="3" t="n">
        <f aca="false">YEAR(A3330)*100+MONTH(A3330)</f>
        <v>202608</v>
      </c>
    </row>
    <row r="3331" customFormat="false" ht="15" hidden="false" customHeight="false" outlineLevel="0" collapsed="false">
      <c r="A3331" s="2" t="n">
        <v>46245</v>
      </c>
      <c r="B3331" s="3" t="s">
        <v>280</v>
      </c>
      <c r="C3331" s="0" t="n">
        <v>208</v>
      </c>
      <c r="D3331" s="0" t="n">
        <v>3</v>
      </c>
      <c r="E3331" s="0" t="str">
        <f aca="false">INDEX(lot!$B$2:$B$1201,MATCH(B3331,lot!$A$2:$A$1201,0))</f>
        <v>SUP-A</v>
      </c>
      <c r="F3331" s="3" t="n">
        <f aca="false">YEAR(A3331)*100+MONTH(A3331)</f>
        <v>202608</v>
      </c>
    </row>
    <row r="3332" customFormat="false" ht="15" hidden="false" customHeight="false" outlineLevel="0" collapsed="false">
      <c r="A3332" s="2" t="n">
        <v>46245</v>
      </c>
      <c r="B3332" s="3" t="s">
        <v>390</v>
      </c>
      <c r="C3332" s="0" t="n">
        <v>139</v>
      </c>
      <c r="D3332" s="0" t="n">
        <v>2</v>
      </c>
      <c r="E3332" s="0" t="str">
        <f aca="false">INDEX(lot!$B$2:$B$1201,MATCH(B3332,lot!$A$2:$A$1201,0))</f>
        <v>SUP-D</v>
      </c>
      <c r="F3332" s="3" t="n">
        <f aca="false">YEAR(A3332)*100+MONTH(A3332)</f>
        <v>202608</v>
      </c>
    </row>
    <row r="3333" customFormat="false" ht="15" hidden="false" customHeight="false" outlineLevel="0" collapsed="false">
      <c r="A3333" s="2" t="n">
        <v>46245</v>
      </c>
      <c r="B3333" s="3" t="s">
        <v>390</v>
      </c>
      <c r="C3333" s="0" t="n">
        <v>184</v>
      </c>
      <c r="D3333" s="0" t="n">
        <v>5</v>
      </c>
      <c r="E3333" s="0" t="str">
        <f aca="false">INDEX(lot!$B$2:$B$1201,MATCH(B3333,lot!$A$2:$A$1201,0))</f>
        <v>SUP-D</v>
      </c>
      <c r="F3333" s="3" t="n">
        <f aca="false">YEAR(A3333)*100+MONTH(A3333)</f>
        <v>202608</v>
      </c>
    </row>
    <row r="3334" customFormat="false" ht="15" hidden="false" customHeight="false" outlineLevel="0" collapsed="false">
      <c r="A3334" s="2" t="n">
        <v>46245</v>
      </c>
      <c r="B3334" s="3" t="s">
        <v>510</v>
      </c>
      <c r="C3334" s="0" t="n">
        <v>211</v>
      </c>
      <c r="D3334" s="0" t="n">
        <v>17</v>
      </c>
      <c r="E3334" s="0" t="str">
        <f aca="false">INDEX(lot!$B$2:$B$1201,MATCH(B3334,lot!$A$2:$A$1201,0))</f>
        <v>SUP-A</v>
      </c>
      <c r="F3334" s="3" t="n">
        <f aca="false">YEAR(A3334)*100+MONTH(A3334)</f>
        <v>202608</v>
      </c>
    </row>
    <row r="3335" customFormat="false" ht="15" hidden="false" customHeight="false" outlineLevel="0" collapsed="false">
      <c r="A3335" s="2" t="n">
        <v>46245</v>
      </c>
      <c r="B3335" s="3" t="s">
        <v>626</v>
      </c>
      <c r="C3335" s="0" t="n">
        <v>68</v>
      </c>
      <c r="D3335" s="0" t="n">
        <v>0</v>
      </c>
      <c r="E3335" s="0" t="str">
        <f aca="false">INDEX(lot!$B$2:$B$1201,MATCH(B3335,lot!$A$2:$A$1201,0))</f>
        <v>SUP-A</v>
      </c>
      <c r="F3335" s="3" t="n">
        <f aca="false">YEAR(A3335)*100+MONTH(A3335)</f>
        <v>202608</v>
      </c>
    </row>
    <row r="3336" customFormat="false" ht="15" hidden="false" customHeight="false" outlineLevel="0" collapsed="false">
      <c r="A3336" s="2" t="n">
        <v>46245</v>
      </c>
      <c r="B3336" s="3" t="s">
        <v>626</v>
      </c>
      <c r="C3336" s="0" t="n">
        <v>201</v>
      </c>
      <c r="D3336" s="0" t="n">
        <v>4</v>
      </c>
      <c r="E3336" s="0" t="str">
        <f aca="false">INDEX(lot!$B$2:$B$1201,MATCH(B3336,lot!$A$2:$A$1201,0))</f>
        <v>SUP-A</v>
      </c>
      <c r="F3336" s="3" t="n">
        <f aca="false">YEAR(A3336)*100+MONTH(A3336)</f>
        <v>202608</v>
      </c>
    </row>
    <row r="3337" customFormat="false" ht="15" hidden="false" customHeight="false" outlineLevel="0" collapsed="false">
      <c r="A3337" s="2" t="n">
        <v>46245</v>
      </c>
      <c r="B3337" s="3" t="s">
        <v>631</v>
      </c>
      <c r="C3337" s="0" t="n">
        <v>209</v>
      </c>
      <c r="D3337" s="0" t="n">
        <v>0</v>
      </c>
      <c r="E3337" s="0" t="str">
        <f aca="false">INDEX(lot!$B$2:$B$1201,MATCH(B3337,lot!$A$2:$A$1201,0))</f>
        <v>SUP-D</v>
      </c>
      <c r="F3337" s="3" t="n">
        <f aca="false">YEAR(A3337)*100+MONTH(A3337)</f>
        <v>202608</v>
      </c>
    </row>
    <row r="3338" customFormat="false" ht="15" hidden="false" customHeight="false" outlineLevel="0" collapsed="false">
      <c r="A3338" s="2" t="n">
        <v>46245</v>
      </c>
      <c r="B3338" s="3" t="s">
        <v>631</v>
      </c>
      <c r="C3338" s="0" t="n">
        <v>80</v>
      </c>
      <c r="D3338" s="0" t="n">
        <v>1</v>
      </c>
      <c r="E3338" s="0" t="str">
        <f aca="false">INDEX(lot!$B$2:$B$1201,MATCH(B3338,lot!$A$2:$A$1201,0))</f>
        <v>SUP-D</v>
      </c>
      <c r="F3338" s="3" t="n">
        <f aca="false">YEAR(A3338)*100+MONTH(A3338)</f>
        <v>202608</v>
      </c>
    </row>
    <row r="3339" customFormat="false" ht="15" hidden="false" customHeight="false" outlineLevel="0" collapsed="false">
      <c r="A3339" s="2" t="n">
        <v>46245</v>
      </c>
      <c r="B3339" s="3" t="s">
        <v>645</v>
      </c>
      <c r="C3339" s="0" t="n">
        <v>210</v>
      </c>
      <c r="D3339" s="0" t="n">
        <v>3</v>
      </c>
      <c r="E3339" s="0" t="str">
        <f aca="false">INDEX(lot!$B$2:$B$1201,MATCH(B3339,lot!$A$2:$A$1201,0))</f>
        <v>SUP-D</v>
      </c>
      <c r="F3339" s="3" t="n">
        <f aca="false">YEAR(A3339)*100+MONTH(A3339)</f>
        <v>202608</v>
      </c>
    </row>
    <row r="3340" customFormat="false" ht="15" hidden="false" customHeight="false" outlineLevel="0" collapsed="false">
      <c r="A3340" s="2" t="n">
        <v>46245</v>
      </c>
      <c r="B3340" s="3" t="s">
        <v>645</v>
      </c>
      <c r="C3340" s="0" t="n">
        <v>71</v>
      </c>
      <c r="D3340" s="0" t="n">
        <v>0</v>
      </c>
      <c r="E3340" s="0" t="str">
        <f aca="false">INDEX(lot!$B$2:$B$1201,MATCH(B3340,lot!$A$2:$A$1201,0))</f>
        <v>SUP-D</v>
      </c>
      <c r="F3340" s="3" t="n">
        <f aca="false">YEAR(A3340)*100+MONTH(A3340)</f>
        <v>202608</v>
      </c>
    </row>
    <row r="3341" customFormat="false" ht="15" hidden="false" customHeight="false" outlineLevel="0" collapsed="false">
      <c r="A3341" s="2" t="n">
        <v>46245</v>
      </c>
      <c r="B3341" s="3" t="s">
        <v>649</v>
      </c>
      <c r="C3341" s="0" t="n">
        <v>131</v>
      </c>
      <c r="D3341" s="0" t="n">
        <v>1</v>
      </c>
      <c r="E3341" s="0" t="str">
        <f aca="false">INDEX(lot!$B$2:$B$1201,MATCH(B3341,lot!$A$2:$A$1201,0))</f>
        <v>SUP-C</v>
      </c>
      <c r="F3341" s="3" t="n">
        <f aca="false">YEAR(A3341)*100+MONTH(A3341)</f>
        <v>202608</v>
      </c>
    </row>
    <row r="3342" customFormat="false" ht="15" hidden="false" customHeight="false" outlineLevel="0" collapsed="false">
      <c r="A3342" s="2" t="n">
        <v>46245</v>
      </c>
      <c r="B3342" s="3" t="s">
        <v>649</v>
      </c>
      <c r="C3342" s="0" t="n">
        <v>216</v>
      </c>
      <c r="D3342" s="0" t="n">
        <v>4</v>
      </c>
      <c r="E3342" s="0" t="str">
        <f aca="false">INDEX(lot!$B$2:$B$1201,MATCH(B3342,lot!$A$2:$A$1201,0))</f>
        <v>SUP-C</v>
      </c>
      <c r="F3342" s="3" t="n">
        <f aca="false">YEAR(A3342)*100+MONTH(A3342)</f>
        <v>202608</v>
      </c>
    </row>
    <row r="3343" customFormat="false" ht="15" hidden="false" customHeight="false" outlineLevel="0" collapsed="false">
      <c r="A3343" s="2" t="n">
        <v>46245</v>
      </c>
      <c r="B3343" s="3" t="s">
        <v>651</v>
      </c>
      <c r="C3343" s="0" t="n">
        <v>234</v>
      </c>
      <c r="D3343" s="0" t="n">
        <v>2</v>
      </c>
      <c r="E3343" s="0" t="str">
        <f aca="false">INDEX(lot!$B$2:$B$1201,MATCH(B3343,lot!$A$2:$A$1201,0))</f>
        <v>SUP-D</v>
      </c>
      <c r="F3343" s="3" t="n">
        <f aca="false">YEAR(A3343)*100+MONTH(A3343)</f>
        <v>202608</v>
      </c>
    </row>
    <row r="3344" customFormat="false" ht="15" hidden="false" customHeight="false" outlineLevel="0" collapsed="false">
      <c r="A3344" s="2" t="n">
        <v>46245</v>
      </c>
      <c r="B3344" s="3" t="s">
        <v>651</v>
      </c>
      <c r="C3344" s="0" t="n">
        <v>239</v>
      </c>
      <c r="D3344" s="0" t="n">
        <v>2</v>
      </c>
      <c r="E3344" s="0" t="str">
        <f aca="false">INDEX(lot!$B$2:$B$1201,MATCH(B3344,lot!$A$2:$A$1201,0))</f>
        <v>SUP-D</v>
      </c>
      <c r="F3344" s="3" t="n">
        <f aca="false">YEAR(A3344)*100+MONTH(A3344)</f>
        <v>202608</v>
      </c>
    </row>
    <row r="3345" customFormat="false" ht="15" hidden="false" customHeight="false" outlineLevel="0" collapsed="false">
      <c r="A3345" s="2" t="n">
        <v>46245</v>
      </c>
      <c r="B3345" s="3" t="s">
        <v>714</v>
      </c>
      <c r="C3345" s="0" t="n">
        <v>235</v>
      </c>
      <c r="D3345" s="0" t="n">
        <v>3</v>
      </c>
      <c r="E3345" s="0" t="str">
        <f aca="false">INDEX(lot!$B$2:$B$1201,MATCH(B3345,lot!$A$2:$A$1201,0))</f>
        <v>SUP-E</v>
      </c>
      <c r="F3345" s="3" t="n">
        <f aca="false">YEAR(A3345)*100+MONTH(A3345)</f>
        <v>202608</v>
      </c>
    </row>
    <row r="3346" customFormat="false" ht="15" hidden="false" customHeight="false" outlineLevel="0" collapsed="false">
      <c r="A3346" s="2" t="n">
        <v>46245</v>
      </c>
      <c r="B3346" s="3" t="s">
        <v>766</v>
      </c>
      <c r="C3346" s="0" t="n">
        <v>231</v>
      </c>
      <c r="D3346" s="0" t="n">
        <v>1</v>
      </c>
      <c r="E3346" s="0" t="str">
        <f aca="false">INDEX(lot!$B$2:$B$1201,MATCH(B3346,lot!$A$2:$A$1201,0))</f>
        <v>SUP-E</v>
      </c>
      <c r="F3346" s="3" t="n">
        <f aca="false">YEAR(A3346)*100+MONTH(A3346)</f>
        <v>202608</v>
      </c>
    </row>
    <row r="3347" customFormat="false" ht="15" hidden="false" customHeight="false" outlineLevel="0" collapsed="false">
      <c r="A3347" s="2" t="n">
        <v>46245</v>
      </c>
      <c r="B3347" s="3" t="s">
        <v>766</v>
      </c>
      <c r="C3347" s="0" t="n">
        <v>184</v>
      </c>
      <c r="D3347" s="0" t="n">
        <v>3</v>
      </c>
      <c r="E3347" s="0" t="str">
        <f aca="false">INDEX(lot!$B$2:$B$1201,MATCH(B3347,lot!$A$2:$A$1201,0))</f>
        <v>SUP-E</v>
      </c>
      <c r="F3347" s="3" t="n">
        <f aca="false">YEAR(A3347)*100+MONTH(A3347)</f>
        <v>202608</v>
      </c>
    </row>
    <row r="3348" customFormat="false" ht="15" hidden="false" customHeight="false" outlineLevel="0" collapsed="false">
      <c r="A3348" s="2" t="n">
        <v>46245</v>
      </c>
      <c r="B3348" s="3" t="s">
        <v>943</v>
      </c>
      <c r="C3348" s="0" t="n">
        <v>115</v>
      </c>
      <c r="D3348" s="0" t="n">
        <v>1</v>
      </c>
      <c r="E3348" s="0" t="str">
        <f aca="false">INDEX(lot!$B$2:$B$1201,MATCH(B3348,lot!$A$2:$A$1201,0))</f>
        <v>SUP-C</v>
      </c>
      <c r="F3348" s="3" t="n">
        <f aca="false">YEAR(A3348)*100+MONTH(A3348)</f>
        <v>202608</v>
      </c>
    </row>
    <row r="3349" customFormat="false" ht="15" hidden="false" customHeight="false" outlineLevel="0" collapsed="false">
      <c r="A3349" s="2" t="n">
        <v>46245</v>
      </c>
      <c r="B3349" s="3" t="s">
        <v>983</v>
      </c>
      <c r="C3349" s="0" t="n">
        <v>219</v>
      </c>
      <c r="D3349" s="0" t="n">
        <v>4</v>
      </c>
      <c r="E3349" s="0" t="str">
        <f aca="false">INDEX(lot!$B$2:$B$1201,MATCH(B3349,lot!$A$2:$A$1201,0))</f>
        <v>SUP-E</v>
      </c>
      <c r="F3349" s="3" t="n">
        <f aca="false">YEAR(A3349)*100+MONTH(A3349)</f>
        <v>202608</v>
      </c>
    </row>
    <row r="3350" customFormat="false" ht="15" hidden="false" customHeight="false" outlineLevel="0" collapsed="false">
      <c r="A3350" s="2" t="n">
        <v>46245</v>
      </c>
      <c r="B3350" s="3" t="s">
        <v>983</v>
      </c>
      <c r="C3350" s="0" t="n">
        <v>84</v>
      </c>
      <c r="D3350" s="0" t="n">
        <v>0</v>
      </c>
      <c r="E3350" s="0" t="str">
        <f aca="false">INDEX(lot!$B$2:$B$1201,MATCH(B3350,lot!$A$2:$A$1201,0))</f>
        <v>SUP-E</v>
      </c>
      <c r="F3350" s="3" t="n">
        <f aca="false">YEAR(A3350)*100+MONTH(A3350)</f>
        <v>202608</v>
      </c>
    </row>
    <row r="3351" customFormat="false" ht="15" hidden="false" customHeight="false" outlineLevel="0" collapsed="false">
      <c r="A3351" s="2" t="n">
        <v>46245</v>
      </c>
      <c r="B3351" s="3" t="s">
        <v>1057</v>
      </c>
      <c r="C3351" s="0" t="n">
        <v>161</v>
      </c>
      <c r="D3351" s="0" t="n">
        <v>2</v>
      </c>
      <c r="E3351" s="0" t="str">
        <f aca="false">INDEX(lot!$B$2:$B$1201,MATCH(B3351,lot!$A$2:$A$1201,0))</f>
        <v>SUP-D</v>
      </c>
      <c r="F3351" s="3" t="n">
        <f aca="false">YEAR(A3351)*100+MONTH(A3351)</f>
        <v>202608</v>
      </c>
    </row>
    <row r="3352" customFormat="false" ht="15" hidden="false" customHeight="false" outlineLevel="0" collapsed="false">
      <c r="A3352" s="2" t="n">
        <v>46245</v>
      </c>
      <c r="B3352" s="3" t="s">
        <v>1085</v>
      </c>
      <c r="C3352" s="0" t="n">
        <v>120</v>
      </c>
      <c r="D3352" s="0" t="n">
        <v>0</v>
      </c>
      <c r="E3352" s="0" t="str">
        <f aca="false">INDEX(lot!$B$2:$B$1201,MATCH(B3352,lot!$A$2:$A$1201,0))</f>
        <v>SUP-E</v>
      </c>
      <c r="F3352" s="3" t="n">
        <f aca="false">YEAR(A3352)*100+MONTH(A3352)</f>
        <v>202608</v>
      </c>
    </row>
    <row r="3353" customFormat="false" ht="15" hidden="false" customHeight="false" outlineLevel="0" collapsed="false">
      <c r="A3353" s="2" t="n">
        <v>46245</v>
      </c>
      <c r="B3353" s="3" t="s">
        <v>1122</v>
      </c>
      <c r="C3353" s="0" t="n">
        <v>71</v>
      </c>
      <c r="D3353" s="0" t="n">
        <v>0</v>
      </c>
      <c r="E3353" s="0" t="str">
        <f aca="false">INDEX(lot!$B$2:$B$1201,MATCH(B3353,lot!$A$2:$A$1201,0))</f>
        <v>SUP-D</v>
      </c>
      <c r="F3353" s="3" t="n">
        <f aca="false">YEAR(A3353)*100+MONTH(A3353)</f>
        <v>202608</v>
      </c>
    </row>
    <row r="3354" customFormat="false" ht="15" hidden="false" customHeight="false" outlineLevel="0" collapsed="false">
      <c r="A3354" s="2" t="n">
        <v>46246</v>
      </c>
      <c r="B3354" s="3" t="s">
        <v>104</v>
      </c>
      <c r="C3354" s="0" t="n">
        <v>108</v>
      </c>
      <c r="D3354" s="0" t="n">
        <v>0</v>
      </c>
      <c r="E3354" s="0" t="str">
        <f aca="false">INDEX(lot!$B$2:$B$1201,MATCH(B3354,lot!$A$2:$A$1201,0))</f>
        <v>SUP-E</v>
      </c>
      <c r="F3354" s="3" t="n">
        <f aca="false">YEAR(A3354)*100+MONTH(A3354)</f>
        <v>202608</v>
      </c>
    </row>
    <row r="3355" customFormat="false" ht="15" hidden="false" customHeight="false" outlineLevel="0" collapsed="false">
      <c r="A3355" s="2" t="n">
        <v>46246</v>
      </c>
      <c r="B3355" s="3" t="s">
        <v>104</v>
      </c>
      <c r="C3355" s="0" t="n">
        <v>156</v>
      </c>
      <c r="D3355" s="0" t="n">
        <v>3</v>
      </c>
      <c r="E3355" s="0" t="str">
        <f aca="false">INDEX(lot!$B$2:$B$1201,MATCH(B3355,lot!$A$2:$A$1201,0))</f>
        <v>SUP-E</v>
      </c>
      <c r="F3355" s="3" t="n">
        <f aca="false">YEAR(A3355)*100+MONTH(A3355)</f>
        <v>202608</v>
      </c>
    </row>
    <row r="3356" customFormat="false" ht="15" hidden="false" customHeight="false" outlineLevel="0" collapsed="false">
      <c r="A3356" s="2" t="n">
        <v>46246</v>
      </c>
      <c r="B3356" s="3" t="s">
        <v>131</v>
      </c>
      <c r="C3356" s="0" t="n">
        <v>94</v>
      </c>
      <c r="D3356" s="0" t="n">
        <v>2</v>
      </c>
      <c r="E3356" s="0" t="str">
        <f aca="false">INDEX(lot!$B$2:$B$1201,MATCH(B3356,lot!$A$2:$A$1201,0))</f>
        <v>SUP-E</v>
      </c>
      <c r="F3356" s="3" t="n">
        <f aca="false">YEAR(A3356)*100+MONTH(A3356)</f>
        <v>202608</v>
      </c>
    </row>
    <row r="3357" customFormat="false" ht="15" hidden="false" customHeight="false" outlineLevel="0" collapsed="false">
      <c r="A3357" s="2" t="n">
        <v>46246</v>
      </c>
      <c r="B3357" s="3" t="s">
        <v>262</v>
      </c>
      <c r="C3357" s="0" t="n">
        <v>150</v>
      </c>
      <c r="D3357" s="0" t="n">
        <v>1</v>
      </c>
      <c r="E3357" s="0" t="str">
        <f aca="false">INDEX(lot!$B$2:$B$1201,MATCH(B3357,lot!$A$2:$A$1201,0))</f>
        <v>SUP-E</v>
      </c>
      <c r="F3357" s="3" t="n">
        <f aca="false">YEAR(A3357)*100+MONTH(A3357)</f>
        <v>202608</v>
      </c>
    </row>
    <row r="3358" customFormat="false" ht="15" hidden="false" customHeight="false" outlineLevel="0" collapsed="false">
      <c r="A3358" s="2" t="n">
        <v>46246</v>
      </c>
      <c r="B3358" s="3" t="s">
        <v>262</v>
      </c>
      <c r="C3358" s="0" t="n">
        <v>123</v>
      </c>
      <c r="D3358" s="0" t="n">
        <v>2</v>
      </c>
      <c r="E3358" s="0" t="str">
        <f aca="false">INDEX(lot!$B$2:$B$1201,MATCH(B3358,lot!$A$2:$A$1201,0))</f>
        <v>SUP-E</v>
      </c>
      <c r="F3358" s="3" t="n">
        <f aca="false">YEAR(A3358)*100+MONTH(A3358)</f>
        <v>202608</v>
      </c>
    </row>
    <row r="3359" customFormat="false" ht="15" hidden="false" customHeight="false" outlineLevel="0" collapsed="false">
      <c r="A3359" s="2" t="n">
        <v>46246</v>
      </c>
      <c r="B3359" s="3" t="s">
        <v>280</v>
      </c>
      <c r="C3359" s="0" t="n">
        <v>76</v>
      </c>
      <c r="D3359" s="0" t="n">
        <v>0</v>
      </c>
      <c r="E3359" s="0" t="str">
        <f aca="false">INDEX(lot!$B$2:$B$1201,MATCH(B3359,lot!$A$2:$A$1201,0))</f>
        <v>SUP-A</v>
      </c>
      <c r="F3359" s="3" t="n">
        <f aca="false">YEAR(A3359)*100+MONTH(A3359)</f>
        <v>202608</v>
      </c>
    </row>
    <row r="3360" customFormat="false" ht="15" hidden="false" customHeight="false" outlineLevel="0" collapsed="false">
      <c r="A3360" s="2" t="n">
        <v>46246</v>
      </c>
      <c r="B3360" s="3" t="s">
        <v>280</v>
      </c>
      <c r="C3360" s="0" t="n">
        <v>122</v>
      </c>
      <c r="D3360" s="0" t="n">
        <v>2</v>
      </c>
      <c r="E3360" s="0" t="str">
        <f aca="false">INDEX(lot!$B$2:$B$1201,MATCH(B3360,lot!$A$2:$A$1201,0))</f>
        <v>SUP-A</v>
      </c>
      <c r="F3360" s="3" t="n">
        <f aca="false">YEAR(A3360)*100+MONTH(A3360)</f>
        <v>202608</v>
      </c>
    </row>
    <row r="3361" customFormat="false" ht="15" hidden="false" customHeight="false" outlineLevel="0" collapsed="false">
      <c r="A3361" s="2" t="n">
        <v>46246</v>
      </c>
      <c r="B3361" s="3" t="s">
        <v>390</v>
      </c>
      <c r="C3361" s="0" t="n">
        <v>174</v>
      </c>
      <c r="D3361" s="0" t="n">
        <v>1</v>
      </c>
      <c r="E3361" s="0" t="str">
        <f aca="false">INDEX(lot!$B$2:$B$1201,MATCH(B3361,lot!$A$2:$A$1201,0))</f>
        <v>SUP-D</v>
      </c>
      <c r="F3361" s="3" t="n">
        <f aca="false">YEAR(A3361)*100+MONTH(A3361)</f>
        <v>202608</v>
      </c>
    </row>
    <row r="3362" customFormat="false" ht="15" hidden="false" customHeight="false" outlineLevel="0" collapsed="false">
      <c r="A3362" s="2" t="n">
        <v>46246</v>
      </c>
      <c r="B3362" s="3" t="s">
        <v>390</v>
      </c>
      <c r="C3362" s="0" t="n">
        <v>238</v>
      </c>
      <c r="D3362" s="0" t="n">
        <v>1</v>
      </c>
      <c r="E3362" s="0" t="str">
        <f aca="false">INDEX(lot!$B$2:$B$1201,MATCH(B3362,lot!$A$2:$A$1201,0))</f>
        <v>SUP-D</v>
      </c>
      <c r="F3362" s="3" t="n">
        <f aca="false">YEAR(A3362)*100+MONTH(A3362)</f>
        <v>202608</v>
      </c>
    </row>
    <row r="3363" customFormat="false" ht="15" hidden="false" customHeight="false" outlineLevel="0" collapsed="false">
      <c r="A3363" s="2" t="n">
        <v>46246</v>
      </c>
      <c r="B3363" s="3" t="s">
        <v>473</v>
      </c>
      <c r="C3363" s="0" t="n">
        <v>233</v>
      </c>
      <c r="D3363" s="0" t="n">
        <v>9</v>
      </c>
      <c r="E3363" s="0" t="str">
        <f aca="false">INDEX(lot!$B$2:$B$1201,MATCH(B3363,lot!$A$2:$A$1201,0))</f>
        <v>SUP-C</v>
      </c>
      <c r="F3363" s="3" t="n">
        <f aca="false">YEAR(A3363)*100+MONTH(A3363)</f>
        <v>202608</v>
      </c>
    </row>
    <row r="3364" customFormat="false" ht="15" hidden="false" customHeight="false" outlineLevel="0" collapsed="false">
      <c r="A3364" s="2" t="n">
        <v>46246</v>
      </c>
      <c r="B3364" s="3" t="s">
        <v>510</v>
      </c>
      <c r="C3364" s="0" t="n">
        <v>178</v>
      </c>
      <c r="D3364" s="0" t="n">
        <v>13</v>
      </c>
      <c r="E3364" s="0" t="str">
        <f aca="false">INDEX(lot!$B$2:$B$1201,MATCH(B3364,lot!$A$2:$A$1201,0))</f>
        <v>SUP-A</v>
      </c>
      <c r="F3364" s="3" t="n">
        <f aca="false">YEAR(A3364)*100+MONTH(A3364)</f>
        <v>202608</v>
      </c>
    </row>
    <row r="3365" customFormat="false" ht="15" hidden="false" customHeight="false" outlineLevel="0" collapsed="false">
      <c r="A3365" s="2" t="n">
        <v>46246</v>
      </c>
      <c r="B3365" s="3" t="s">
        <v>510</v>
      </c>
      <c r="C3365" s="0" t="n">
        <v>154</v>
      </c>
      <c r="D3365" s="0" t="n">
        <v>15</v>
      </c>
      <c r="E3365" s="0" t="str">
        <f aca="false">INDEX(lot!$B$2:$B$1201,MATCH(B3365,lot!$A$2:$A$1201,0))</f>
        <v>SUP-A</v>
      </c>
      <c r="F3365" s="3" t="n">
        <f aca="false">YEAR(A3365)*100+MONTH(A3365)</f>
        <v>202608</v>
      </c>
    </row>
    <row r="3366" customFormat="false" ht="15" hidden="false" customHeight="false" outlineLevel="0" collapsed="false">
      <c r="A3366" s="2" t="n">
        <v>46246</v>
      </c>
      <c r="B3366" s="3" t="s">
        <v>645</v>
      </c>
      <c r="C3366" s="0" t="n">
        <v>138</v>
      </c>
      <c r="D3366" s="0" t="n">
        <v>0</v>
      </c>
      <c r="E3366" s="0" t="str">
        <f aca="false">INDEX(lot!$B$2:$B$1201,MATCH(B3366,lot!$A$2:$A$1201,0))</f>
        <v>SUP-D</v>
      </c>
      <c r="F3366" s="3" t="n">
        <f aca="false">YEAR(A3366)*100+MONTH(A3366)</f>
        <v>202608</v>
      </c>
    </row>
    <row r="3367" customFormat="false" ht="15" hidden="false" customHeight="false" outlineLevel="0" collapsed="false">
      <c r="A3367" s="2" t="n">
        <v>46246</v>
      </c>
      <c r="B3367" s="3" t="s">
        <v>648</v>
      </c>
      <c r="C3367" s="0" t="n">
        <v>218</v>
      </c>
      <c r="D3367" s="0" t="n">
        <v>3</v>
      </c>
      <c r="E3367" s="0" t="str">
        <f aca="false">INDEX(lot!$B$2:$B$1201,MATCH(B3367,lot!$A$2:$A$1201,0))</f>
        <v>SUP-C</v>
      </c>
      <c r="F3367" s="3" t="n">
        <f aca="false">YEAR(A3367)*100+MONTH(A3367)</f>
        <v>202608</v>
      </c>
    </row>
    <row r="3368" customFormat="false" ht="15" hidden="false" customHeight="false" outlineLevel="0" collapsed="false">
      <c r="A3368" s="2" t="n">
        <v>46246</v>
      </c>
      <c r="B3368" s="3" t="s">
        <v>648</v>
      </c>
      <c r="C3368" s="0" t="n">
        <v>87</v>
      </c>
      <c r="D3368" s="0" t="n">
        <v>3</v>
      </c>
      <c r="E3368" s="0" t="str">
        <f aca="false">INDEX(lot!$B$2:$B$1201,MATCH(B3368,lot!$A$2:$A$1201,0))</f>
        <v>SUP-C</v>
      </c>
      <c r="F3368" s="3" t="n">
        <f aca="false">YEAR(A3368)*100+MONTH(A3368)</f>
        <v>202608</v>
      </c>
    </row>
    <row r="3369" customFormat="false" ht="15" hidden="false" customHeight="false" outlineLevel="0" collapsed="false">
      <c r="A3369" s="2" t="n">
        <v>46246</v>
      </c>
      <c r="B3369" s="3" t="s">
        <v>649</v>
      </c>
      <c r="C3369" s="0" t="n">
        <v>168</v>
      </c>
      <c r="D3369" s="0" t="n">
        <v>3</v>
      </c>
      <c r="E3369" s="0" t="str">
        <f aca="false">INDEX(lot!$B$2:$B$1201,MATCH(B3369,lot!$A$2:$A$1201,0))</f>
        <v>SUP-C</v>
      </c>
      <c r="F3369" s="3" t="n">
        <f aca="false">YEAR(A3369)*100+MONTH(A3369)</f>
        <v>202608</v>
      </c>
    </row>
    <row r="3370" customFormat="false" ht="15" hidden="false" customHeight="false" outlineLevel="0" collapsed="false">
      <c r="A3370" s="2" t="n">
        <v>46246</v>
      </c>
      <c r="B3370" s="3" t="s">
        <v>651</v>
      </c>
      <c r="C3370" s="0" t="n">
        <v>249</v>
      </c>
      <c r="D3370" s="0" t="n">
        <v>2</v>
      </c>
      <c r="E3370" s="0" t="str">
        <f aca="false">INDEX(lot!$B$2:$B$1201,MATCH(B3370,lot!$A$2:$A$1201,0))</f>
        <v>SUP-D</v>
      </c>
      <c r="F3370" s="3" t="n">
        <f aca="false">YEAR(A3370)*100+MONTH(A3370)</f>
        <v>202608</v>
      </c>
    </row>
    <row r="3371" customFormat="false" ht="15" hidden="false" customHeight="false" outlineLevel="0" collapsed="false">
      <c r="A3371" s="2" t="n">
        <v>46246</v>
      </c>
      <c r="B3371" s="3" t="s">
        <v>651</v>
      </c>
      <c r="C3371" s="0" t="n">
        <v>114</v>
      </c>
      <c r="D3371" s="0" t="n">
        <v>1</v>
      </c>
      <c r="E3371" s="0" t="str">
        <f aca="false">INDEX(lot!$B$2:$B$1201,MATCH(B3371,lot!$A$2:$A$1201,0))</f>
        <v>SUP-D</v>
      </c>
      <c r="F3371" s="3" t="n">
        <f aca="false">YEAR(A3371)*100+MONTH(A3371)</f>
        <v>202608</v>
      </c>
    </row>
    <row r="3372" customFormat="false" ht="15" hidden="false" customHeight="false" outlineLevel="0" collapsed="false">
      <c r="A3372" s="2" t="n">
        <v>46246</v>
      </c>
      <c r="B3372" s="3" t="s">
        <v>685</v>
      </c>
      <c r="C3372" s="0" t="n">
        <v>72</v>
      </c>
      <c r="D3372" s="0" t="n">
        <v>0</v>
      </c>
      <c r="E3372" s="0" t="str">
        <f aca="false">INDEX(lot!$B$2:$B$1201,MATCH(B3372,lot!$A$2:$A$1201,0))</f>
        <v>SUP-D</v>
      </c>
      <c r="F3372" s="3" t="n">
        <f aca="false">YEAR(A3372)*100+MONTH(A3372)</f>
        <v>202608</v>
      </c>
    </row>
    <row r="3373" customFormat="false" ht="15" hidden="false" customHeight="false" outlineLevel="0" collapsed="false">
      <c r="A3373" s="2" t="n">
        <v>46246</v>
      </c>
      <c r="B3373" s="3" t="s">
        <v>702</v>
      </c>
      <c r="C3373" s="0" t="n">
        <v>168</v>
      </c>
      <c r="D3373" s="0" t="n">
        <v>1</v>
      </c>
      <c r="E3373" s="0" t="str">
        <f aca="false">INDEX(lot!$B$2:$B$1201,MATCH(B3373,lot!$A$2:$A$1201,0))</f>
        <v>SUP-D</v>
      </c>
      <c r="F3373" s="3" t="n">
        <f aca="false">YEAR(A3373)*100+MONTH(A3373)</f>
        <v>202608</v>
      </c>
    </row>
    <row r="3374" customFormat="false" ht="15" hidden="false" customHeight="false" outlineLevel="0" collapsed="false">
      <c r="A3374" s="2" t="n">
        <v>46246</v>
      </c>
      <c r="B3374" s="3" t="s">
        <v>726</v>
      </c>
      <c r="C3374" s="0" t="n">
        <v>116</v>
      </c>
      <c r="D3374" s="0" t="n">
        <v>1</v>
      </c>
      <c r="E3374" s="0" t="str">
        <f aca="false">INDEX(lot!$B$2:$B$1201,MATCH(B3374,lot!$A$2:$A$1201,0))</f>
        <v>SUP-E</v>
      </c>
      <c r="F3374" s="3" t="n">
        <f aca="false">YEAR(A3374)*100+MONTH(A3374)</f>
        <v>202608</v>
      </c>
    </row>
    <row r="3375" customFormat="false" ht="15" hidden="false" customHeight="false" outlineLevel="0" collapsed="false">
      <c r="A3375" s="2" t="n">
        <v>46246</v>
      </c>
      <c r="B3375" s="3" t="s">
        <v>726</v>
      </c>
      <c r="C3375" s="0" t="n">
        <v>128</v>
      </c>
      <c r="D3375" s="0" t="n">
        <v>5</v>
      </c>
      <c r="E3375" s="0" t="str">
        <f aca="false">INDEX(lot!$B$2:$B$1201,MATCH(B3375,lot!$A$2:$A$1201,0))</f>
        <v>SUP-E</v>
      </c>
      <c r="F3375" s="3" t="n">
        <f aca="false">YEAR(A3375)*100+MONTH(A3375)</f>
        <v>202608</v>
      </c>
    </row>
    <row r="3376" customFormat="false" ht="15" hidden="false" customHeight="false" outlineLevel="0" collapsed="false">
      <c r="A3376" s="2" t="n">
        <v>46246</v>
      </c>
      <c r="B3376" s="3" t="s">
        <v>820</v>
      </c>
      <c r="C3376" s="0" t="n">
        <v>179</v>
      </c>
      <c r="D3376" s="0" t="n">
        <v>1</v>
      </c>
      <c r="E3376" s="0" t="str">
        <f aca="false">INDEX(lot!$B$2:$B$1201,MATCH(B3376,lot!$A$2:$A$1201,0))</f>
        <v>SUP-E</v>
      </c>
      <c r="F3376" s="3" t="n">
        <f aca="false">YEAR(A3376)*100+MONTH(A3376)</f>
        <v>202608</v>
      </c>
    </row>
    <row r="3377" customFormat="false" ht="15" hidden="false" customHeight="false" outlineLevel="0" collapsed="false">
      <c r="A3377" s="2" t="n">
        <v>46246</v>
      </c>
      <c r="B3377" s="3" t="s">
        <v>820</v>
      </c>
      <c r="C3377" s="0" t="n">
        <v>233</v>
      </c>
      <c r="D3377" s="0" t="n">
        <v>2</v>
      </c>
      <c r="E3377" s="0" t="str">
        <f aca="false">INDEX(lot!$B$2:$B$1201,MATCH(B3377,lot!$A$2:$A$1201,0))</f>
        <v>SUP-E</v>
      </c>
      <c r="F3377" s="3" t="n">
        <f aca="false">YEAR(A3377)*100+MONTH(A3377)</f>
        <v>202608</v>
      </c>
    </row>
    <row r="3378" customFormat="false" ht="15" hidden="false" customHeight="false" outlineLevel="0" collapsed="false">
      <c r="A3378" s="2" t="n">
        <v>46246</v>
      </c>
      <c r="B3378" s="3" t="s">
        <v>926</v>
      </c>
      <c r="C3378" s="0" t="n">
        <v>202</v>
      </c>
      <c r="D3378" s="0" t="n">
        <v>4</v>
      </c>
      <c r="E3378" s="0" t="str">
        <f aca="false">INDEX(lot!$B$2:$B$1201,MATCH(B3378,lot!$A$2:$A$1201,0))</f>
        <v>SUP-C</v>
      </c>
      <c r="F3378" s="3" t="n">
        <f aca="false">YEAR(A3378)*100+MONTH(A3378)</f>
        <v>202608</v>
      </c>
    </row>
    <row r="3379" customFormat="false" ht="15" hidden="false" customHeight="false" outlineLevel="0" collapsed="false">
      <c r="A3379" s="2" t="n">
        <v>46246</v>
      </c>
      <c r="B3379" s="3" t="s">
        <v>926</v>
      </c>
      <c r="C3379" s="0" t="n">
        <v>171</v>
      </c>
      <c r="D3379" s="0" t="n">
        <v>3</v>
      </c>
      <c r="E3379" s="0" t="str">
        <f aca="false">INDEX(lot!$B$2:$B$1201,MATCH(B3379,lot!$A$2:$A$1201,0))</f>
        <v>SUP-C</v>
      </c>
      <c r="F3379" s="3" t="n">
        <f aca="false">YEAR(A3379)*100+MONTH(A3379)</f>
        <v>202608</v>
      </c>
    </row>
    <row r="3380" customFormat="false" ht="15" hidden="false" customHeight="false" outlineLevel="0" collapsed="false">
      <c r="A3380" s="2" t="n">
        <v>46246</v>
      </c>
      <c r="B3380" s="3" t="s">
        <v>983</v>
      </c>
      <c r="C3380" s="0" t="n">
        <v>105</v>
      </c>
      <c r="D3380" s="0" t="n">
        <v>2</v>
      </c>
      <c r="E3380" s="0" t="str">
        <f aca="false">INDEX(lot!$B$2:$B$1201,MATCH(B3380,lot!$A$2:$A$1201,0))</f>
        <v>SUP-E</v>
      </c>
      <c r="F3380" s="3" t="n">
        <f aca="false">YEAR(A3380)*100+MONTH(A3380)</f>
        <v>202608</v>
      </c>
    </row>
    <row r="3381" customFormat="false" ht="15" hidden="false" customHeight="false" outlineLevel="0" collapsed="false">
      <c r="A3381" s="2" t="n">
        <v>46246</v>
      </c>
      <c r="B3381" s="3" t="s">
        <v>983</v>
      </c>
      <c r="C3381" s="0" t="n">
        <v>235</v>
      </c>
      <c r="D3381" s="0" t="n">
        <v>2</v>
      </c>
      <c r="E3381" s="0" t="str">
        <f aca="false">INDEX(lot!$B$2:$B$1201,MATCH(B3381,lot!$A$2:$A$1201,0))</f>
        <v>SUP-E</v>
      </c>
      <c r="F3381" s="3" t="n">
        <f aca="false">YEAR(A3381)*100+MONTH(A3381)</f>
        <v>202608</v>
      </c>
    </row>
    <row r="3382" customFormat="false" ht="15" hidden="false" customHeight="false" outlineLevel="0" collapsed="false">
      <c r="A3382" s="2" t="n">
        <v>46246</v>
      </c>
      <c r="B3382" s="3" t="s">
        <v>1138</v>
      </c>
      <c r="C3382" s="0" t="n">
        <v>157</v>
      </c>
      <c r="D3382" s="0" t="n">
        <v>4</v>
      </c>
      <c r="E3382" s="0" t="str">
        <f aca="false">INDEX(lot!$B$2:$B$1201,MATCH(B3382,lot!$A$2:$A$1201,0))</f>
        <v>SUP-C</v>
      </c>
      <c r="F3382" s="3" t="n">
        <f aca="false">YEAR(A3382)*100+MONTH(A3382)</f>
        <v>202608</v>
      </c>
    </row>
    <row r="3383" customFormat="false" ht="15" hidden="false" customHeight="false" outlineLevel="0" collapsed="false">
      <c r="A3383" s="2" t="n">
        <v>46246</v>
      </c>
      <c r="B3383" s="3" t="s">
        <v>1138</v>
      </c>
      <c r="C3383" s="0" t="n">
        <v>181</v>
      </c>
      <c r="D3383" s="0" t="n">
        <v>6</v>
      </c>
      <c r="E3383" s="0" t="str">
        <f aca="false">INDEX(lot!$B$2:$B$1201,MATCH(B3383,lot!$A$2:$A$1201,0))</f>
        <v>SUP-C</v>
      </c>
      <c r="F3383" s="3" t="n">
        <f aca="false">YEAR(A3383)*100+MONTH(A3383)</f>
        <v>202608</v>
      </c>
    </row>
    <row r="3384" customFormat="false" ht="15" hidden="false" customHeight="false" outlineLevel="0" collapsed="false">
      <c r="A3384" s="2" t="n">
        <v>46247</v>
      </c>
      <c r="B3384" s="3" t="s">
        <v>104</v>
      </c>
      <c r="C3384" s="0" t="n">
        <v>132</v>
      </c>
      <c r="D3384" s="0" t="n">
        <v>2</v>
      </c>
      <c r="E3384" s="0" t="str">
        <f aca="false">INDEX(lot!$B$2:$B$1201,MATCH(B3384,lot!$A$2:$A$1201,0))</f>
        <v>SUP-E</v>
      </c>
      <c r="F3384" s="3" t="n">
        <f aca="false">YEAR(A3384)*100+MONTH(A3384)</f>
        <v>202608</v>
      </c>
    </row>
    <row r="3385" customFormat="false" ht="15" hidden="false" customHeight="false" outlineLevel="0" collapsed="false">
      <c r="A3385" s="2" t="n">
        <v>46247</v>
      </c>
      <c r="B3385" s="3" t="s">
        <v>104</v>
      </c>
      <c r="C3385" s="0" t="n">
        <v>122</v>
      </c>
      <c r="D3385" s="0" t="n">
        <v>1</v>
      </c>
      <c r="E3385" s="0" t="str">
        <f aca="false">INDEX(lot!$B$2:$B$1201,MATCH(B3385,lot!$A$2:$A$1201,0))</f>
        <v>SUP-E</v>
      </c>
      <c r="F3385" s="3" t="n">
        <f aca="false">YEAR(A3385)*100+MONTH(A3385)</f>
        <v>202608</v>
      </c>
    </row>
    <row r="3386" customFormat="false" ht="15" hidden="false" customHeight="false" outlineLevel="0" collapsed="false">
      <c r="A3386" s="2" t="n">
        <v>46247</v>
      </c>
      <c r="B3386" s="3" t="s">
        <v>262</v>
      </c>
      <c r="C3386" s="0" t="n">
        <v>249</v>
      </c>
      <c r="D3386" s="0" t="n">
        <v>1</v>
      </c>
      <c r="E3386" s="0" t="str">
        <f aca="false">INDEX(lot!$B$2:$B$1201,MATCH(B3386,lot!$A$2:$A$1201,0))</f>
        <v>SUP-E</v>
      </c>
      <c r="F3386" s="3" t="n">
        <f aca="false">YEAR(A3386)*100+MONTH(A3386)</f>
        <v>202608</v>
      </c>
    </row>
    <row r="3387" customFormat="false" ht="15" hidden="false" customHeight="false" outlineLevel="0" collapsed="false">
      <c r="A3387" s="2" t="n">
        <v>46247</v>
      </c>
      <c r="B3387" s="3" t="s">
        <v>648</v>
      </c>
      <c r="C3387" s="0" t="n">
        <v>143</v>
      </c>
      <c r="D3387" s="0" t="n">
        <v>2</v>
      </c>
      <c r="E3387" s="0" t="str">
        <f aca="false">INDEX(lot!$B$2:$B$1201,MATCH(B3387,lot!$A$2:$A$1201,0))</f>
        <v>SUP-C</v>
      </c>
      <c r="F3387" s="3" t="n">
        <f aca="false">YEAR(A3387)*100+MONTH(A3387)</f>
        <v>202608</v>
      </c>
    </row>
    <row r="3388" customFormat="false" ht="15" hidden="false" customHeight="false" outlineLevel="0" collapsed="false">
      <c r="A3388" s="2" t="n">
        <v>46247</v>
      </c>
      <c r="B3388" s="3" t="s">
        <v>648</v>
      </c>
      <c r="C3388" s="0" t="n">
        <v>84</v>
      </c>
      <c r="D3388" s="0" t="n">
        <v>2</v>
      </c>
      <c r="E3388" s="0" t="str">
        <f aca="false">INDEX(lot!$B$2:$B$1201,MATCH(B3388,lot!$A$2:$A$1201,0))</f>
        <v>SUP-C</v>
      </c>
      <c r="F3388" s="3" t="n">
        <f aca="false">YEAR(A3388)*100+MONTH(A3388)</f>
        <v>202608</v>
      </c>
    </row>
    <row r="3389" customFormat="false" ht="15" hidden="false" customHeight="false" outlineLevel="0" collapsed="false">
      <c r="A3389" s="2" t="n">
        <v>46247</v>
      </c>
      <c r="B3389" s="3" t="s">
        <v>649</v>
      </c>
      <c r="C3389" s="0" t="n">
        <v>219</v>
      </c>
      <c r="D3389" s="0" t="n">
        <v>8</v>
      </c>
      <c r="E3389" s="0" t="str">
        <f aca="false">INDEX(lot!$B$2:$B$1201,MATCH(B3389,lot!$A$2:$A$1201,0))</f>
        <v>SUP-C</v>
      </c>
      <c r="F3389" s="3" t="n">
        <f aca="false">YEAR(A3389)*100+MONTH(A3389)</f>
        <v>202608</v>
      </c>
    </row>
    <row r="3390" customFormat="false" ht="15" hidden="false" customHeight="false" outlineLevel="0" collapsed="false">
      <c r="A3390" s="2" t="n">
        <v>46247</v>
      </c>
      <c r="B3390" s="3" t="s">
        <v>649</v>
      </c>
      <c r="C3390" s="0" t="n">
        <v>182</v>
      </c>
      <c r="D3390" s="0" t="n">
        <v>6</v>
      </c>
      <c r="E3390" s="0" t="str">
        <f aca="false">INDEX(lot!$B$2:$B$1201,MATCH(B3390,lot!$A$2:$A$1201,0))</f>
        <v>SUP-C</v>
      </c>
      <c r="F3390" s="3" t="n">
        <f aca="false">YEAR(A3390)*100+MONTH(A3390)</f>
        <v>202608</v>
      </c>
    </row>
    <row r="3391" customFormat="false" ht="15" hidden="false" customHeight="false" outlineLevel="0" collapsed="false">
      <c r="A3391" s="2" t="n">
        <v>46247</v>
      </c>
      <c r="B3391" s="3" t="s">
        <v>702</v>
      </c>
      <c r="C3391" s="0" t="n">
        <v>145</v>
      </c>
      <c r="D3391" s="0" t="n">
        <v>1</v>
      </c>
      <c r="E3391" s="0" t="str">
        <f aca="false">INDEX(lot!$B$2:$B$1201,MATCH(B3391,lot!$A$2:$A$1201,0))</f>
        <v>SUP-D</v>
      </c>
      <c r="F3391" s="3" t="n">
        <f aca="false">YEAR(A3391)*100+MONTH(A3391)</f>
        <v>202608</v>
      </c>
    </row>
    <row r="3392" customFormat="false" ht="15" hidden="false" customHeight="false" outlineLevel="0" collapsed="false">
      <c r="A3392" s="2" t="n">
        <v>46247</v>
      </c>
      <c r="B3392" s="3" t="s">
        <v>702</v>
      </c>
      <c r="C3392" s="0" t="n">
        <v>79</v>
      </c>
      <c r="D3392" s="0" t="n">
        <v>1</v>
      </c>
      <c r="E3392" s="0" t="str">
        <f aca="false">INDEX(lot!$B$2:$B$1201,MATCH(B3392,lot!$A$2:$A$1201,0))</f>
        <v>SUP-D</v>
      </c>
      <c r="F3392" s="3" t="n">
        <f aca="false">YEAR(A3392)*100+MONTH(A3392)</f>
        <v>202608</v>
      </c>
    </row>
    <row r="3393" customFormat="false" ht="15" hidden="false" customHeight="false" outlineLevel="0" collapsed="false">
      <c r="A3393" s="2" t="n">
        <v>46247</v>
      </c>
      <c r="B3393" s="3" t="s">
        <v>715</v>
      </c>
      <c r="C3393" s="0" t="n">
        <v>74</v>
      </c>
      <c r="D3393" s="0" t="n">
        <v>7</v>
      </c>
      <c r="E3393" s="0" t="str">
        <f aca="false">INDEX(lot!$B$2:$B$1201,MATCH(B3393,lot!$A$2:$A$1201,0))</f>
        <v>SUP-E</v>
      </c>
      <c r="F3393" s="3" t="n">
        <f aca="false">YEAR(A3393)*100+MONTH(A3393)</f>
        <v>202608</v>
      </c>
    </row>
    <row r="3394" customFormat="false" ht="15" hidden="false" customHeight="false" outlineLevel="0" collapsed="false">
      <c r="A3394" s="2" t="n">
        <v>46247</v>
      </c>
      <c r="B3394" s="3" t="s">
        <v>715</v>
      </c>
      <c r="C3394" s="0" t="n">
        <v>248</v>
      </c>
      <c r="D3394" s="0" t="n">
        <v>8</v>
      </c>
      <c r="E3394" s="0" t="str">
        <f aca="false">INDEX(lot!$B$2:$B$1201,MATCH(B3394,lot!$A$2:$A$1201,0))</f>
        <v>SUP-E</v>
      </c>
      <c r="F3394" s="3" t="n">
        <f aca="false">YEAR(A3394)*100+MONTH(A3394)</f>
        <v>202608</v>
      </c>
    </row>
    <row r="3395" customFormat="false" ht="15" hidden="false" customHeight="false" outlineLevel="0" collapsed="false">
      <c r="A3395" s="2" t="n">
        <v>46247</v>
      </c>
      <c r="B3395" s="3" t="s">
        <v>726</v>
      </c>
      <c r="C3395" s="0" t="n">
        <v>204</v>
      </c>
      <c r="D3395" s="0" t="n">
        <v>2</v>
      </c>
      <c r="E3395" s="0" t="str">
        <f aca="false">INDEX(lot!$B$2:$B$1201,MATCH(B3395,lot!$A$2:$A$1201,0))</f>
        <v>SUP-E</v>
      </c>
      <c r="F3395" s="3" t="n">
        <f aca="false">YEAR(A3395)*100+MONTH(A3395)</f>
        <v>202608</v>
      </c>
    </row>
    <row r="3396" customFormat="false" ht="15" hidden="false" customHeight="false" outlineLevel="0" collapsed="false">
      <c r="A3396" s="2" t="n">
        <v>46247</v>
      </c>
      <c r="B3396" s="3" t="s">
        <v>726</v>
      </c>
      <c r="C3396" s="0" t="n">
        <v>158</v>
      </c>
      <c r="D3396" s="0" t="n">
        <v>1</v>
      </c>
      <c r="E3396" s="0" t="str">
        <f aca="false">INDEX(lot!$B$2:$B$1201,MATCH(B3396,lot!$A$2:$A$1201,0))</f>
        <v>SUP-E</v>
      </c>
      <c r="F3396" s="3" t="n">
        <f aca="false">YEAR(A3396)*100+MONTH(A3396)</f>
        <v>202608</v>
      </c>
    </row>
    <row r="3397" customFormat="false" ht="15" hidden="false" customHeight="false" outlineLevel="0" collapsed="false">
      <c r="A3397" s="2" t="n">
        <v>46247</v>
      </c>
      <c r="B3397" s="3" t="s">
        <v>820</v>
      </c>
      <c r="C3397" s="0" t="n">
        <v>126</v>
      </c>
      <c r="D3397" s="0" t="n">
        <v>1</v>
      </c>
      <c r="E3397" s="0" t="str">
        <f aca="false">INDEX(lot!$B$2:$B$1201,MATCH(B3397,lot!$A$2:$A$1201,0))</f>
        <v>SUP-E</v>
      </c>
      <c r="F3397" s="3" t="n">
        <f aca="false">YEAR(A3397)*100+MONTH(A3397)</f>
        <v>202608</v>
      </c>
    </row>
    <row r="3398" customFormat="false" ht="15" hidden="false" customHeight="false" outlineLevel="0" collapsed="false">
      <c r="A3398" s="2" t="n">
        <v>46247</v>
      </c>
      <c r="B3398" s="3" t="s">
        <v>820</v>
      </c>
      <c r="C3398" s="0" t="n">
        <v>147</v>
      </c>
      <c r="D3398" s="0" t="n">
        <v>1</v>
      </c>
      <c r="E3398" s="0" t="str">
        <f aca="false">INDEX(lot!$B$2:$B$1201,MATCH(B3398,lot!$A$2:$A$1201,0))</f>
        <v>SUP-E</v>
      </c>
      <c r="F3398" s="3" t="n">
        <f aca="false">YEAR(A3398)*100+MONTH(A3398)</f>
        <v>202608</v>
      </c>
    </row>
    <row r="3399" customFormat="false" ht="15" hidden="false" customHeight="false" outlineLevel="0" collapsed="false">
      <c r="A3399" s="2" t="n">
        <v>46247</v>
      </c>
      <c r="B3399" s="3" t="s">
        <v>926</v>
      </c>
      <c r="C3399" s="0" t="n">
        <v>152</v>
      </c>
      <c r="D3399" s="0" t="n">
        <v>5</v>
      </c>
      <c r="E3399" s="0" t="str">
        <f aca="false">INDEX(lot!$B$2:$B$1201,MATCH(B3399,lot!$A$2:$A$1201,0))</f>
        <v>SUP-C</v>
      </c>
      <c r="F3399" s="3" t="n">
        <f aca="false">YEAR(A3399)*100+MONTH(A3399)</f>
        <v>202608</v>
      </c>
    </row>
    <row r="3400" customFormat="false" ht="15" hidden="false" customHeight="false" outlineLevel="0" collapsed="false">
      <c r="A3400" s="2" t="n">
        <v>46247</v>
      </c>
      <c r="B3400" s="3" t="s">
        <v>926</v>
      </c>
      <c r="C3400" s="0" t="n">
        <v>104</v>
      </c>
      <c r="D3400" s="0" t="n">
        <v>5</v>
      </c>
      <c r="E3400" s="0" t="str">
        <f aca="false">INDEX(lot!$B$2:$B$1201,MATCH(B3400,lot!$A$2:$A$1201,0))</f>
        <v>SUP-C</v>
      </c>
      <c r="F3400" s="3" t="n">
        <f aca="false">YEAR(A3400)*100+MONTH(A3400)</f>
        <v>202608</v>
      </c>
    </row>
    <row r="3401" customFormat="false" ht="15" hidden="false" customHeight="false" outlineLevel="0" collapsed="false">
      <c r="A3401" s="2" t="n">
        <v>46247</v>
      </c>
      <c r="B3401" s="3" t="s">
        <v>966</v>
      </c>
      <c r="C3401" s="0" t="n">
        <v>233</v>
      </c>
      <c r="D3401" s="0" t="n">
        <v>3</v>
      </c>
      <c r="E3401" s="0" t="str">
        <f aca="false">INDEX(lot!$B$2:$B$1201,MATCH(B3401,lot!$A$2:$A$1201,0))</f>
        <v>SUP-E</v>
      </c>
      <c r="F3401" s="3" t="n">
        <f aca="false">YEAR(A3401)*100+MONTH(A3401)</f>
        <v>202608</v>
      </c>
    </row>
    <row r="3402" customFormat="false" ht="15" hidden="false" customHeight="false" outlineLevel="0" collapsed="false">
      <c r="A3402" s="2" t="n">
        <v>46247</v>
      </c>
      <c r="B3402" s="3" t="s">
        <v>966</v>
      </c>
      <c r="C3402" s="0" t="n">
        <v>251</v>
      </c>
      <c r="D3402" s="0" t="n">
        <v>1</v>
      </c>
      <c r="E3402" s="0" t="str">
        <f aca="false">INDEX(lot!$B$2:$B$1201,MATCH(B3402,lot!$A$2:$A$1201,0))</f>
        <v>SUP-E</v>
      </c>
      <c r="F3402" s="3" t="n">
        <f aca="false">YEAR(A3402)*100+MONTH(A3402)</f>
        <v>202608</v>
      </c>
    </row>
    <row r="3403" customFormat="false" ht="15" hidden="false" customHeight="false" outlineLevel="0" collapsed="false">
      <c r="A3403" s="2" t="n">
        <v>46247</v>
      </c>
      <c r="B3403" s="3" t="s">
        <v>983</v>
      </c>
      <c r="C3403" s="0" t="n">
        <v>187</v>
      </c>
      <c r="D3403" s="0" t="n">
        <v>2</v>
      </c>
      <c r="E3403" s="0" t="str">
        <f aca="false">INDEX(lot!$B$2:$B$1201,MATCH(B3403,lot!$A$2:$A$1201,0))</f>
        <v>SUP-E</v>
      </c>
      <c r="F3403" s="3" t="n">
        <f aca="false">YEAR(A3403)*100+MONTH(A3403)</f>
        <v>202608</v>
      </c>
    </row>
    <row r="3404" customFormat="false" ht="15" hidden="false" customHeight="false" outlineLevel="0" collapsed="false">
      <c r="A3404" s="2" t="n">
        <v>46247</v>
      </c>
      <c r="B3404" s="3" t="s">
        <v>983</v>
      </c>
      <c r="C3404" s="0" t="n">
        <v>252</v>
      </c>
      <c r="D3404" s="0" t="n">
        <v>2</v>
      </c>
      <c r="E3404" s="0" t="str">
        <f aca="false">INDEX(lot!$B$2:$B$1201,MATCH(B3404,lot!$A$2:$A$1201,0))</f>
        <v>SUP-E</v>
      </c>
      <c r="F3404" s="3" t="n">
        <f aca="false">YEAR(A3404)*100+MONTH(A3404)</f>
        <v>202608</v>
      </c>
    </row>
    <row r="3405" customFormat="false" ht="15" hidden="false" customHeight="false" outlineLevel="0" collapsed="false">
      <c r="A3405" s="2" t="n">
        <v>46247</v>
      </c>
      <c r="B3405" s="3" t="s">
        <v>1022</v>
      </c>
      <c r="C3405" s="0" t="n">
        <v>196</v>
      </c>
      <c r="D3405" s="0" t="n">
        <v>3</v>
      </c>
      <c r="E3405" s="0" t="str">
        <f aca="false">INDEX(lot!$B$2:$B$1201,MATCH(B3405,lot!$A$2:$A$1201,0))</f>
        <v>SUP-A</v>
      </c>
      <c r="F3405" s="3" t="n">
        <f aca="false">YEAR(A3405)*100+MONTH(A3405)</f>
        <v>202608</v>
      </c>
    </row>
    <row r="3406" customFormat="false" ht="15" hidden="false" customHeight="false" outlineLevel="0" collapsed="false">
      <c r="A3406" s="2" t="n">
        <v>46247</v>
      </c>
      <c r="B3406" s="3" t="s">
        <v>1022</v>
      </c>
      <c r="C3406" s="0" t="n">
        <v>240</v>
      </c>
      <c r="D3406" s="0" t="n">
        <v>5</v>
      </c>
      <c r="E3406" s="0" t="str">
        <f aca="false">INDEX(lot!$B$2:$B$1201,MATCH(B3406,lot!$A$2:$A$1201,0))</f>
        <v>SUP-A</v>
      </c>
      <c r="F3406" s="3" t="n">
        <f aca="false">YEAR(A3406)*100+MONTH(A3406)</f>
        <v>202608</v>
      </c>
    </row>
    <row r="3407" customFormat="false" ht="15" hidden="false" customHeight="false" outlineLevel="0" collapsed="false">
      <c r="A3407" s="2" t="n">
        <v>46247</v>
      </c>
      <c r="B3407" s="3" t="s">
        <v>1138</v>
      </c>
      <c r="C3407" s="0" t="n">
        <v>115</v>
      </c>
      <c r="D3407" s="0" t="n">
        <v>5</v>
      </c>
      <c r="E3407" s="0" t="str">
        <f aca="false">INDEX(lot!$B$2:$B$1201,MATCH(B3407,lot!$A$2:$A$1201,0))</f>
        <v>SUP-C</v>
      </c>
      <c r="F3407" s="3" t="n">
        <f aca="false">YEAR(A3407)*100+MONTH(A3407)</f>
        <v>202608</v>
      </c>
    </row>
    <row r="3408" customFormat="false" ht="15" hidden="false" customHeight="false" outlineLevel="0" collapsed="false">
      <c r="A3408" s="2" t="n">
        <v>46247</v>
      </c>
      <c r="B3408" s="3" t="s">
        <v>1166</v>
      </c>
      <c r="C3408" s="0" t="n">
        <v>225</v>
      </c>
      <c r="D3408" s="0" t="n">
        <v>3</v>
      </c>
      <c r="E3408" s="0" t="str">
        <f aca="false">INDEX(lot!$B$2:$B$1201,MATCH(B3408,lot!$A$2:$A$1201,0))</f>
        <v>SUP-D</v>
      </c>
      <c r="F3408" s="3" t="n">
        <f aca="false">YEAR(A3408)*100+MONTH(A3408)</f>
        <v>202608</v>
      </c>
    </row>
    <row r="3409" customFormat="false" ht="15" hidden="false" customHeight="false" outlineLevel="0" collapsed="false">
      <c r="A3409" s="2" t="n">
        <v>46248</v>
      </c>
      <c r="B3409" s="3" t="s">
        <v>87</v>
      </c>
      <c r="C3409" s="0" t="n">
        <v>231</v>
      </c>
      <c r="D3409" s="0" t="n">
        <v>2</v>
      </c>
      <c r="E3409" s="0" t="str">
        <f aca="false">INDEX(lot!$B$2:$B$1201,MATCH(B3409,lot!$A$2:$A$1201,0))</f>
        <v>SUP-D</v>
      </c>
      <c r="F3409" s="3" t="n">
        <f aca="false">YEAR(A3409)*100+MONTH(A3409)</f>
        <v>202608</v>
      </c>
    </row>
    <row r="3410" customFormat="false" ht="15" hidden="false" customHeight="false" outlineLevel="0" collapsed="false">
      <c r="A3410" s="2" t="n">
        <v>46248</v>
      </c>
      <c r="B3410" s="3" t="s">
        <v>104</v>
      </c>
      <c r="C3410" s="0" t="n">
        <v>248</v>
      </c>
      <c r="D3410" s="0" t="n">
        <v>3</v>
      </c>
      <c r="E3410" s="0" t="str">
        <f aca="false">INDEX(lot!$B$2:$B$1201,MATCH(B3410,lot!$A$2:$A$1201,0))</f>
        <v>SUP-E</v>
      </c>
      <c r="F3410" s="3" t="n">
        <f aca="false">YEAR(A3410)*100+MONTH(A3410)</f>
        <v>202608</v>
      </c>
    </row>
    <row r="3411" customFormat="false" ht="15" hidden="false" customHeight="false" outlineLevel="0" collapsed="false">
      <c r="A3411" s="2" t="n">
        <v>46248</v>
      </c>
      <c r="B3411" s="3" t="s">
        <v>104</v>
      </c>
      <c r="C3411" s="0" t="n">
        <v>113</v>
      </c>
      <c r="D3411" s="0" t="n">
        <v>0</v>
      </c>
      <c r="E3411" s="0" t="str">
        <f aca="false">INDEX(lot!$B$2:$B$1201,MATCH(B3411,lot!$A$2:$A$1201,0))</f>
        <v>SUP-E</v>
      </c>
      <c r="F3411" s="3" t="n">
        <f aca="false">YEAR(A3411)*100+MONTH(A3411)</f>
        <v>202608</v>
      </c>
    </row>
    <row r="3412" customFormat="false" ht="15" hidden="false" customHeight="false" outlineLevel="0" collapsed="false">
      <c r="A3412" s="2" t="n">
        <v>46248</v>
      </c>
      <c r="B3412" s="3" t="s">
        <v>272</v>
      </c>
      <c r="C3412" s="0" t="n">
        <v>123</v>
      </c>
      <c r="D3412" s="0" t="n">
        <v>2</v>
      </c>
      <c r="E3412" s="0" t="str">
        <f aca="false">INDEX(lot!$B$2:$B$1201,MATCH(B3412,lot!$A$2:$A$1201,0))</f>
        <v>SUP-E</v>
      </c>
      <c r="F3412" s="3" t="n">
        <f aca="false">YEAR(A3412)*100+MONTH(A3412)</f>
        <v>202608</v>
      </c>
    </row>
    <row r="3413" customFormat="false" ht="15" hidden="false" customHeight="false" outlineLevel="0" collapsed="false">
      <c r="A3413" s="2" t="n">
        <v>46248</v>
      </c>
      <c r="B3413" s="3" t="s">
        <v>394</v>
      </c>
      <c r="C3413" s="0" t="n">
        <v>210</v>
      </c>
      <c r="D3413" s="0" t="n">
        <v>0</v>
      </c>
      <c r="E3413" s="0" t="str">
        <f aca="false">INDEX(lot!$B$2:$B$1201,MATCH(B3413,lot!$A$2:$A$1201,0))</f>
        <v>SUP-D</v>
      </c>
      <c r="F3413" s="3" t="n">
        <f aca="false">YEAR(A3413)*100+MONTH(A3413)</f>
        <v>202608</v>
      </c>
    </row>
    <row r="3414" customFormat="false" ht="15" hidden="false" customHeight="false" outlineLevel="0" collapsed="false">
      <c r="A3414" s="2" t="n">
        <v>46248</v>
      </c>
      <c r="B3414" s="3" t="s">
        <v>394</v>
      </c>
      <c r="C3414" s="0" t="n">
        <v>226</v>
      </c>
      <c r="D3414" s="0" t="n">
        <v>2</v>
      </c>
      <c r="E3414" s="0" t="str">
        <f aca="false">INDEX(lot!$B$2:$B$1201,MATCH(B3414,lot!$A$2:$A$1201,0))</f>
        <v>SUP-D</v>
      </c>
      <c r="F3414" s="3" t="n">
        <f aca="false">YEAR(A3414)*100+MONTH(A3414)</f>
        <v>202608</v>
      </c>
    </row>
    <row r="3415" customFormat="false" ht="15" hidden="false" customHeight="false" outlineLevel="0" collapsed="false">
      <c r="A3415" s="2" t="n">
        <v>46248</v>
      </c>
      <c r="B3415" s="3" t="s">
        <v>466</v>
      </c>
      <c r="C3415" s="0" t="n">
        <v>134</v>
      </c>
      <c r="D3415" s="0" t="n">
        <v>1</v>
      </c>
      <c r="E3415" s="0" t="str">
        <f aca="false">INDEX(lot!$B$2:$B$1201,MATCH(B3415,lot!$A$2:$A$1201,0))</f>
        <v>SUP-D</v>
      </c>
      <c r="F3415" s="3" t="n">
        <f aca="false">YEAR(A3415)*100+MONTH(A3415)</f>
        <v>202608</v>
      </c>
    </row>
    <row r="3416" customFormat="false" ht="15" hidden="false" customHeight="false" outlineLevel="0" collapsed="false">
      <c r="A3416" s="2" t="n">
        <v>46248</v>
      </c>
      <c r="B3416" s="3" t="s">
        <v>466</v>
      </c>
      <c r="C3416" s="0" t="n">
        <v>233</v>
      </c>
      <c r="D3416" s="0" t="n">
        <v>3</v>
      </c>
      <c r="E3416" s="0" t="str">
        <f aca="false">INDEX(lot!$B$2:$B$1201,MATCH(B3416,lot!$A$2:$A$1201,0))</f>
        <v>SUP-D</v>
      </c>
      <c r="F3416" s="3" t="n">
        <f aca="false">YEAR(A3416)*100+MONTH(A3416)</f>
        <v>202608</v>
      </c>
    </row>
    <row r="3417" customFormat="false" ht="15" hidden="false" customHeight="false" outlineLevel="0" collapsed="false">
      <c r="A3417" s="2" t="n">
        <v>46248</v>
      </c>
      <c r="B3417" s="3" t="s">
        <v>506</v>
      </c>
      <c r="C3417" s="0" t="n">
        <v>179</v>
      </c>
      <c r="D3417" s="0" t="n">
        <v>4</v>
      </c>
      <c r="E3417" s="0" t="str">
        <f aca="false">INDEX(lot!$B$2:$B$1201,MATCH(B3417,lot!$A$2:$A$1201,0))</f>
        <v>SUP-C</v>
      </c>
      <c r="F3417" s="3" t="n">
        <f aca="false">YEAR(A3417)*100+MONTH(A3417)</f>
        <v>202608</v>
      </c>
    </row>
    <row r="3418" customFormat="false" ht="15" hidden="false" customHeight="false" outlineLevel="0" collapsed="false">
      <c r="A3418" s="2" t="n">
        <v>46248</v>
      </c>
      <c r="B3418" s="3" t="s">
        <v>506</v>
      </c>
      <c r="C3418" s="0" t="n">
        <v>248</v>
      </c>
      <c r="D3418" s="0" t="n">
        <v>6</v>
      </c>
      <c r="E3418" s="0" t="str">
        <f aca="false">INDEX(lot!$B$2:$B$1201,MATCH(B3418,lot!$A$2:$A$1201,0))</f>
        <v>SUP-C</v>
      </c>
      <c r="F3418" s="3" t="n">
        <f aca="false">YEAR(A3418)*100+MONTH(A3418)</f>
        <v>202608</v>
      </c>
    </row>
    <row r="3419" customFormat="false" ht="15" hidden="false" customHeight="false" outlineLevel="0" collapsed="false">
      <c r="A3419" s="2" t="n">
        <v>46248</v>
      </c>
      <c r="B3419" s="3" t="s">
        <v>532</v>
      </c>
      <c r="C3419" s="0" t="n">
        <v>89</v>
      </c>
      <c r="D3419" s="0" t="n">
        <v>1</v>
      </c>
      <c r="E3419" s="0" t="str">
        <f aca="false">INDEX(lot!$B$2:$B$1201,MATCH(B3419,lot!$A$2:$A$1201,0))</f>
        <v>SUP-D</v>
      </c>
      <c r="F3419" s="3" t="n">
        <f aca="false">YEAR(A3419)*100+MONTH(A3419)</f>
        <v>202608</v>
      </c>
    </row>
    <row r="3420" customFormat="false" ht="15" hidden="false" customHeight="false" outlineLevel="0" collapsed="false">
      <c r="A3420" s="2" t="n">
        <v>46248</v>
      </c>
      <c r="B3420" s="3" t="s">
        <v>532</v>
      </c>
      <c r="C3420" s="0" t="n">
        <v>212</v>
      </c>
      <c r="D3420" s="0" t="n">
        <v>2</v>
      </c>
      <c r="E3420" s="0" t="str">
        <f aca="false">INDEX(lot!$B$2:$B$1201,MATCH(B3420,lot!$A$2:$A$1201,0))</f>
        <v>SUP-D</v>
      </c>
      <c r="F3420" s="3" t="n">
        <f aca="false">YEAR(A3420)*100+MONTH(A3420)</f>
        <v>202608</v>
      </c>
    </row>
    <row r="3421" customFormat="false" ht="15" hidden="false" customHeight="false" outlineLevel="0" collapsed="false">
      <c r="A3421" s="2" t="n">
        <v>46248</v>
      </c>
      <c r="B3421" s="3" t="s">
        <v>544</v>
      </c>
      <c r="C3421" s="0" t="n">
        <v>249</v>
      </c>
      <c r="D3421" s="0" t="n">
        <v>2</v>
      </c>
      <c r="E3421" s="0" t="str">
        <f aca="false">INDEX(lot!$B$2:$B$1201,MATCH(B3421,lot!$A$2:$A$1201,0))</f>
        <v>SUP-D</v>
      </c>
      <c r="F3421" s="3" t="n">
        <f aca="false">YEAR(A3421)*100+MONTH(A3421)</f>
        <v>202608</v>
      </c>
    </row>
    <row r="3422" customFormat="false" ht="15" hidden="false" customHeight="false" outlineLevel="0" collapsed="false">
      <c r="A3422" s="2" t="n">
        <v>46248</v>
      </c>
      <c r="B3422" s="3" t="s">
        <v>648</v>
      </c>
      <c r="C3422" s="0" t="n">
        <v>56</v>
      </c>
      <c r="D3422" s="0" t="n">
        <v>0</v>
      </c>
      <c r="E3422" s="0" t="str">
        <f aca="false">INDEX(lot!$B$2:$B$1201,MATCH(B3422,lot!$A$2:$A$1201,0))</f>
        <v>SUP-C</v>
      </c>
      <c r="F3422" s="3" t="n">
        <f aca="false">YEAR(A3422)*100+MONTH(A3422)</f>
        <v>202608</v>
      </c>
    </row>
    <row r="3423" customFormat="false" ht="15" hidden="false" customHeight="false" outlineLevel="0" collapsed="false">
      <c r="A3423" s="2" t="n">
        <v>46248</v>
      </c>
      <c r="B3423" s="3" t="s">
        <v>702</v>
      </c>
      <c r="C3423" s="0" t="n">
        <v>136</v>
      </c>
      <c r="D3423" s="0" t="n">
        <v>1</v>
      </c>
      <c r="E3423" s="0" t="str">
        <f aca="false">INDEX(lot!$B$2:$B$1201,MATCH(B3423,lot!$A$2:$A$1201,0))</f>
        <v>SUP-D</v>
      </c>
      <c r="F3423" s="3" t="n">
        <f aca="false">YEAR(A3423)*100+MONTH(A3423)</f>
        <v>202608</v>
      </c>
    </row>
    <row r="3424" customFormat="false" ht="15" hidden="false" customHeight="false" outlineLevel="0" collapsed="false">
      <c r="A3424" s="2" t="n">
        <v>46248</v>
      </c>
      <c r="B3424" s="3" t="s">
        <v>702</v>
      </c>
      <c r="C3424" s="0" t="n">
        <v>120</v>
      </c>
      <c r="D3424" s="0" t="n">
        <v>3</v>
      </c>
      <c r="E3424" s="0" t="str">
        <f aca="false">INDEX(lot!$B$2:$B$1201,MATCH(B3424,lot!$A$2:$A$1201,0))</f>
        <v>SUP-D</v>
      </c>
      <c r="F3424" s="3" t="n">
        <f aca="false">YEAR(A3424)*100+MONTH(A3424)</f>
        <v>202608</v>
      </c>
    </row>
    <row r="3425" customFormat="false" ht="15" hidden="false" customHeight="false" outlineLevel="0" collapsed="false">
      <c r="A3425" s="2" t="n">
        <v>46248</v>
      </c>
      <c r="B3425" s="3" t="s">
        <v>715</v>
      </c>
      <c r="C3425" s="0" t="n">
        <v>123</v>
      </c>
      <c r="D3425" s="0" t="n">
        <v>6</v>
      </c>
      <c r="E3425" s="0" t="str">
        <f aca="false">INDEX(lot!$B$2:$B$1201,MATCH(B3425,lot!$A$2:$A$1201,0))</f>
        <v>SUP-E</v>
      </c>
      <c r="F3425" s="3" t="n">
        <f aca="false">YEAR(A3425)*100+MONTH(A3425)</f>
        <v>202608</v>
      </c>
    </row>
    <row r="3426" customFormat="false" ht="15" hidden="false" customHeight="false" outlineLevel="0" collapsed="false">
      <c r="A3426" s="2" t="n">
        <v>46248</v>
      </c>
      <c r="B3426" s="3" t="s">
        <v>715</v>
      </c>
      <c r="C3426" s="0" t="n">
        <v>242</v>
      </c>
      <c r="D3426" s="0" t="n">
        <v>8</v>
      </c>
      <c r="E3426" s="0" t="str">
        <f aca="false">INDEX(lot!$B$2:$B$1201,MATCH(B3426,lot!$A$2:$A$1201,0))</f>
        <v>SUP-E</v>
      </c>
      <c r="F3426" s="3" t="n">
        <f aca="false">YEAR(A3426)*100+MONTH(A3426)</f>
        <v>202608</v>
      </c>
    </row>
    <row r="3427" customFormat="false" ht="15" hidden="false" customHeight="false" outlineLevel="0" collapsed="false">
      <c r="A3427" s="2" t="n">
        <v>46248</v>
      </c>
      <c r="B3427" s="3" t="s">
        <v>720</v>
      </c>
      <c r="C3427" s="0" t="n">
        <v>159</v>
      </c>
      <c r="D3427" s="0" t="n">
        <v>1</v>
      </c>
      <c r="E3427" s="0" t="str">
        <f aca="false">INDEX(lot!$B$2:$B$1201,MATCH(B3427,lot!$A$2:$A$1201,0))</f>
        <v>SUP-E</v>
      </c>
      <c r="F3427" s="3" t="n">
        <f aca="false">YEAR(A3427)*100+MONTH(A3427)</f>
        <v>202608</v>
      </c>
    </row>
    <row r="3428" customFormat="false" ht="15" hidden="false" customHeight="false" outlineLevel="0" collapsed="false">
      <c r="A3428" s="2" t="n">
        <v>46248</v>
      </c>
      <c r="B3428" s="3" t="s">
        <v>726</v>
      </c>
      <c r="C3428" s="0" t="n">
        <v>66</v>
      </c>
      <c r="D3428" s="0" t="n">
        <v>2</v>
      </c>
      <c r="E3428" s="0" t="str">
        <f aca="false">INDEX(lot!$B$2:$B$1201,MATCH(B3428,lot!$A$2:$A$1201,0))</f>
        <v>SUP-E</v>
      </c>
      <c r="F3428" s="3" t="n">
        <f aca="false">YEAR(A3428)*100+MONTH(A3428)</f>
        <v>202608</v>
      </c>
    </row>
    <row r="3429" customFormat="false" ht="15" hidden="false" customHeight="false" outlineLevel="0" collapsed="false">
      <c r="A3429" s="2" t="n">
        <v>46248</v>
      </c>
      <c r="B3429" s="3" t="s">
        <v>726</v>
      </c>
      <c r="C3429" s="0" t="n">
        <v>117</v>
      </c>
      <c r="D3429" s="0" t="n">
        <v>1</v>
      </c>
      <c r="E3429" s="0" t="str">
        <f aca="false">INDEX(lot!$B$2:$B$1201,MATCH(B3429,lot!$A$2:$A$1201,0))</f>
        <v>SUP-E</v>
      </c>
      <c r="F3429" s="3" t="n">
        <f aca="false">YEAR(A3429)*100+MONTH(A3429)</f>
        <v>202608</v>
      </c>
    </row>
    <row r="3430" customFormat="false" ht="15" hidden="false" customHeight="false" outlineLevel="0" collapsed="false">
      <c r="A3430" s="2" t="n">
        <v>46248</v>
      </c>
      <c r="B3430" s="3" t="s">
        <v>740</v>
      </c>
      <c r="C3430" s="0" t="n">
        <v>88</v>
      </c>
      <c r="D3430" s="0" t="n">
        <v>0</v>
      </c>
      <c r="E3430" s="0" t="str">
        <f aca="false">INDEX(lot!$B$2:$B$1201,MATCH(B3430,lot!$A$2:$A$1201,0))</f>
        <v>SUP-E</v>
      </c>
      <c r="F3430" s="3" t="n">
        <f aca="false">YEAR(A3430)*100+MONTH(A3430)</f>
        <v>202608</v>
      </c>
    </row>
    <row r="3431" customFormat="false" ht="15" hidden="false" customHeight="false" outlineLevel="0" collapsed="false">
      <c r="A3431" s="2" t="n">
        <v>46248</v>
      </c>
      <c r="B3431" s="3" t="s">
        <v>751</v>
      </c>
      <c r="C3431" s="0" t="n">
        <v>110</v>
      </c>
      <c r="D3431" s="0" t="n">
        <v>1</v>
      </c>
      <c r="E3431" s="0" t="str">
        <f aca="false">INDEX(lot!$B$2:$B$1201,MATCH(B3431,lot!$A$2:$A$1201,0))</f>
        <v>SUP-D</v>
      </c>
      <c r="F3431" s="3" t="n">
        <f aca="false">YEAR(A3431)*100+MONTH(A3431)</f>
        <v>202608</v>
      </c>
    </row>
    <row r="3432" customFormat="false" ht="15" hidden="false" customHeight="false" outlineLevel="0" collapsed="false">
      <c r="A3432" s="2" t="n">
        <v>46248</v>
      </c>
      <c r="B3432" s="3" t="s">
        <v>809</v>
      </c>
      <c r="C3432" s="0" t="n">
        <v>219</v>
      </c>
      <c r="D3432" s="0" t="n">
        <v>6</v>
      </c>
      <c r="E3432" s="0" t="str">
        <f aca="false">INDEX(lot!$B$2:$B$1201,MATCH(B3432,lot!$A$2:$A$1201,0))</f>
        <v>SUP-A</v>
      </c>
      <c r="F3432" s="3" t="n">
        <f aca="false">YEAR(A3432)*100+MONTH(A3432)</f>
        <v>202608</v>
      </c>
    </row>
    <row r="3433" customFormat="false" ht="15" hidden="false" customHeight="false" outlineLevel="0" collapsed="false">
      <c r="A3433" s="2" t="n">
        <v>46248</v>
      </c>
      <c r="B3433" s="3" t="s">
        <v>809</v>
      </c>
      <c r="C3433" s="0" t="n">
        <v>213</v>
      </c>
      <c r="D3433" s="0" t="n">
        <v>10</v>
      </c>
      <c r="E3433" s="0" t="str">
        <f aca="false">INDEX(lot!$B$2:$B$1201,MATCH(B3433,lot!$A$2:$A$1201,0))</f>
        <v>SUP-A</v>
      </c>
      <c r="F3433" s="3" t="n">
        <f aca="false">YEAR(A3433)*100+MONTH(A3433)</f>
        <v>202608</v>
      </c>
    </row>
    <row r="3434" customFormat="false" ht="15" hidden="false" customHeight="false" outlineLevel="0" collapsed="false">
      <c r="A3434" s="2" t="n">
        <v>46248</v>
      </c>
      <c r="B3434" s="3" t="s">
        <v>820</v>
      </c>
      <c r="C3434" s="0" t="n">
        <v>185</v>
      </c>
      <c r="D3434" s="0" t="n">
        <v>4</v>
      </c>
      <c r="E3434" s="0" t="str">
        <f aca="false">INDEX(lot!$B$2:$B$1201,MATCH(B3434,lot!$A$2:$A$1201,0))</f>
        <v>SUP-E</v>
      </c>
      <c r="F3434" s="3" t="n">
        <f aca="false">YEAR(A3434)*100+MONTH(A3434)</f>
        <v>202608</v>
      </c>
    </row>
    <row r="3435" customFormat="false" ht="15" hidden="false" customHeight="false" outlineLevel="0" collapsed="false">
      <c r="A3435" s="2" t="n">
        <v>46248</v>
      </c>
      <c r="B3435" s="3" t="s">
        <v>874</v>
      </c>
      <c r="C3435" s="0" t="n">
        <v>121</v>
      </c>
      <c r="D3435" s="0" t="n">
        <v>1</v>
      </c>
      <c r="E3435" s="0" t="str">
        <f aca="false">INDEX(lot!$B$2:$B$1201,MATCH(B3435,lot!$A$2:$A$1201,0))</f>
        <v>SUP-A</v>
      </c>
      <c r="F3435" s="3" t="n">
        <f aca="false">YEAR(A3435)*100+MONTH(A3435)</f>
        <v>202608</v>
      </c>
    </row>
    <row r="3436" customFormat="false" ht="15" hidden="false" customHeight="false" outlineLevel="0" collapsed="false">
      <c r="A3436" s="2" t="n">
        <v>46248</v>
      </c>
      <c r="B3436" s="3" t="s">
        <v>874</v>
      </c>
      <c r="C3436" s="0" t="n">
        <v>116</v>
      </c>
      <c r="D3436" s="0" t="n">
        <v>2</v>
      </c>
      <c r="E3436" s="0" t="str">
        <f aca="false">INDEX(lot!$B$2:$B$1201,MATCH(B3436,lot!$A$2:$A$1201,0))</f>
        <v>SUP-A</v>
      </c>
      <c r="F3436" s="3" t="n">
        <f aca="false">YEAR(A3436)*100+MONTH(A3436)</f>
        <v>202608</v>
      </c>
    </row>
    <row r="3437" customFormat="false" ht="15" hidden="false" customHeight="false" outlineLevel="0" collapsed="false">
      <c r="A3437" s="2" t="n">
        <v>46248</v>
      </c>
      <c r="B3437" s="3" t="s">
        <v>966</v>
      </c>
      <c r="C3437" s="0" t="n">
        <v>149</v>
      </c>
      <c r="D3437" s="0" t="n">
        <v>1</v>
      </c>
      <c r="E3437" s="0" t="str">
        <f aca="false">INDEX(lot!$B$2:$B$1201,MATCH(B3437,lot!$A$2:$A$1201,0))</f>
        <v>SUP-E</v>
      </c>
      <c r="F3437" s="3" t="n">
        <f aca="false">YEAR(A3437)*100+MONTH(A3437)</f>
        <v>202608</v>
      </c>
    </row>
    <row r="3438" customFormat="false" ht="15" hidden="false" customHeight="false" outlineLevel="0" collapsed="false">
      <c r="A3438" s="2" t="n">
        <v>46248</v>
      </c>
      <c r="B3438" s="3" t="s">
        <v>966</v>
      </c>
      <c r="C3438" s="0" t="n">
        <v>127</v>
      </c>
      <c r="D3438" s="0" t="n">
        <v>2</v>
      </c>
      <c r="E3438" s="0" t="str">
        <f aca="false">INDEX(lot!$B$2:$B$1201,MATCH(B3438,lot!$A$2:$A$1201,0))</f>
        <v>SUP-E</v>
      </c>
      <c r="F3438" s="3" t="n">
        <f aca="false">YEAR(A3438)*100+MONTH(A3438)</f>
        <v>202608</v>
      </c>
    </row>
    <row r="3439" customFormat="false" ht="15" hidden="false" customHeight="false" outlineLevel="0" collapsed="false">
      <c r="A3439" s="2" t="n">
        <v>46248</v>
      </c>
      <c r="B3439" s="3" t="s">
        <v>1022</v>
      </c>
      <c r="C3439" s="0" t="n">
        <v>160</v>
      </c>
      <c r="D3439" s="0" t="n">
        <v>3</v>
      </c>
      <c r="E3439" s="0" t="str">
        <f aca="false">INDEX(lot!$B$2:$B$1201,MATCH(B3439,lot!$A$2:$A$1201,0))</f>
        <v>SUP-A</v>
      </c>
      <c r="F3439" s="3" t="n">
        <f aca="false">YEAR(A3439)*100+MONTH(A3439)</f>
        <v>202608</v>
      </c>
    </row>
    <row r="3440" customFormat="false" ht="15" hidden="false" customHeight="false" outlineLevel="0" collapsed="false">
      <c r="A3440" s="2" t="n">
        <v>46248</v>
      </c>
      <c r="B3440" s="3" t="s">
        <v>1022</v>
      </c>
      <c r="C3440" s="0" t="n">
        <v>100</v>
      </c>
      <c r="D3440" s="0" t="n">
        <v>1</v>
      </c>
      <c r="E3440" s="0" t="str">
        <f aca="false">INDEX(lot!$B$2:$B$1201,MATCH(B3440,lot!$A$2:$A$1201,0))</f>
        <v>SUP-A</v>
      </c>
      <c r="F3440" s="3" t="n">
        <f aca="false">YEAR(A3440)*100+MONTH(A3440)</f>
        <v>202608</v>
      </c>
    </row>
    <row r="3441" customFormat="false" ht="15" hidden="false" customHeight="false" outlineLevel="0" collapsed="false">
      <c r="A3441" s="2" t="n">
        <v>46248</v>
      </c>
      <c r="B3441" s="3" t="s">
        <v>1071</v>
      </c>
      <c r="C3441" s="0" t="n">
        <v>156</v>
      </c>
      <c r="D3441" s="0" t="n">
        <v>3</v>
      </c>
      <c r="E3441" s="0" t="str">
        <f aca="false">INDEX(lot!$B$2:$B$1201,MATCH(B3441,lot!$A$2:$A$1201,0))</f>
        <v>SUP-D</v>
      </c>
      <c r="F3441" s="3" t="n">
        <f aca="false">YEAR(A3441)*100+MONTH(A3441)</f>
        <v>202608</v>
      </c>
    </row>
    <row r="3442" customFormat="false" ht="15" hidden="false" customHeight="false" outlineLevel="0" collapsed="false">
      <c r="A3442" s="2" t="n">
        <v>46248</v>
      </c>
      <c r="B3442" s="3" t="s">
        <v>1097</v>
      </c>
      <c r="C3442" s="0" t="n">
        <v>98</v>
      </c>
      <c r="D3442" s="0" t="n">
        <v>4</v>
      </c>
      <c r="E3442" s="0" t="str">
        <f aca="false">INDEX(lot!$B$2:$B$1201,MATCH(B3442,lot!$A$2:$A$1201,0))</f>
        <v>SUP-C</v>
      </c>
      <c r="F3442" s="3" t="n">
        <f aca="false">YEAR(A3442)*100+MONTH(A3442)</f>
        <v>202608</v>
      </c>
    </row>
    <row r="3443" customFormat="false" ht="15" hidden="false" customHeight="false" outlineLevel="0" collapsed="false">
      <c r="A3443" s="2" t="n">
        <v>46248</v>
      </c>
      <c r="B3443" s="3" t="s">
        <v>1097</v>
      </c>
      <c r="C3443" s="0" t="n">
        <v>220</v>
      </c>
      <c r="D3443" s="0" t="n">
        <v>3</v>
      </c>
      <c r="E3443" s="0" t="str">
        <f aca="false">INDEX(lot!$B$2:$B$1201,MATCH(B3443,lot!$A$2:$A$1201,0))</f>
        <v>SUP-C</v>
      </c>
      <c r="F3443" s="3" t="n">
        <f aca="false">YEAR(A3443)*100+MONTH(A3443)</f>
        <v>202608</v>
      </c>
    </row>
    <row r="3444" customFormat="false" ht="15" hidden="false" customHeight="false" outlineLevel="0" collapsed="false">
      <c r="A3444" s="2" t="n">
        <v>46248</v>
      </c>
      <c r="B3444" s="3" t="s">
        <v>1138</v>
      </c>
      <c r="C3444" s="0" t="n">
        <v>205</v>
      </c>
      <c r="D3444" s="0" t="n">
        <v>5</v>
      </c>
      <c r="E3444" s="0" t="str">
        <f aca="false">INDEX(lot!$B$2:$B$1201,MATCH(B3444,lot!$A$2:$A$1201,0))</f>
        <v>SUP-C</v>
      </c>
      <c r="F3444" s="3" t="n">
        <f aca="false">YEAR(A3444)*100+MONTH(A3444)</f>
        <v>202608</v>
      </c>
    </row>
    <row r="3445" customFormat="false" ht="15" hidden="false" customHeight="false" outlineLevel="0" collapsed="false">
      <c r="A3445" s="2" t="n">
        <v>46248</v>
      </c>
      <c r="B3445" s="3" t="s">
        <v>1138</v>
      </c>
      <c r="C3445" s="0" t="n">
        <v>103</v>
      </c>
      <c r="D3445" s="0" t="n">
        <v>1</v>
      </c>
      <c r="E3445" s="0" t="str">
        <f aca="false">INDEX(lot!$B$2:$B$1201,MATCH(B3445,lot!$A$2:$A$1201,0))</f>
        <v>SUP-C</v>
      </c>
      <c r="F3445" s="3" t="n">
        <f aca="false">YEAR(A3445)*100+MONTH(A3445)</f>
        <v>202608</v>
      </c>
    </row>
    <row r="3446" customFormat="false" ht="15" hidden="false" customHeight="false" outlineLevel="0" collapsed="false">
      <c r="A3446" s="2" t="n">
        <v>46248</v>
      </c>
      <c r="B3446" s="3" t="s">
        <v>1166</v>
      </c>
      <c r="C3446" s="0" t="n">
        <v>111</v>
      </c>
      <c r="D3446" s="0" t="n">
        <v>0</v>
      </c>
      <c r="E3446" s="0" t="str">
        <f aca="false">INDEX(lot!$B$2:$B$1201,MATCH(B3446,lot!$A$2:$A$1201,0))</f>
        <v>SUP-D</v>
      </c>
      <c r="F3446" s="3" t="n">
        <f aca="false">YEAR(A3446)*100+MONTH(A3446)</f>
        <v>202608</v>
      </c>
    </row>
    <row r="3447" customFormat="false" ht="15" hidden="false" customHeight="false" outlineLevel="0" collapsed="false">
      <c r="A3447" s="2" t="n">
        <v>46251</v>
      </c>
      <c r="B3447" s="3" t="s">
        <v>87</v>
      </c>
      <c r="C3447" s="0" t="n">
        <v>74</v>
      </c>
      <c r="D3447" s="0" t="n">
        <v>1</v>
      </c>
      <c r="E3447" s="0" t="str">
        <f aca="false">INDEX(lot!$B$2:$B$1201,MATCH(B3447,lot!$A$2:$A$1201,0))</f>
        <v>SUP-D</v>
      </c>
      <c r="F3447" s="3" t="n">
        <f aca="false">YEAR(A3447)*100+MONTH(A3447)</f>
        <v>202608</v>
      </c>
    </row>
    <row r="3448" customFormat="false" ht="15" hidden="false" customHeight="false" outlineLevel="0" collapsed="false">
      <c r="A3448" s="2" t="n">
        <v>46251</v>
      </c>
      <c r="B3448" s="3" t="s">
        <v>272</v>
      </c>
      <c r="C3448" s="0" t="n">
        <v>158</v>
      </c>
      <c r="D3448" s="0" t="n">
        <v>2</v>
      </c>
      <c r="E3448" s="0" t="str">
        <f aca="false">INDEX(lot!$B$2:$B$1201,MATCH(B3448,lot!$A$2:$A$1201,0))</f>
        <v>SUP-E</v>
      </c>
      <c r="F3448" s="3" t="n">
        <f aca="false">YEAR(A3448)*100+MONTH(A3448)</f>
        <v>202608</v>
      </c>
    </row>
    <row r="3449" customFormat="false" ht="15" hidden="false" customHeight="false" outlineLevel="0" collapsed="false">
      <c r="A3449" s="2" t="n">
        <v>46251</v>
      </c>
      <c r="B3449" s="3" t="s">
        <v>272</v>
      </c>
      <c r="C3449" s="0" t="n">
        <v>167</v>
      </c>
      <c r="D3449" s="0" t="n">
        <v>3</v>
      </c>
      <c r="E3449" s="0" t="str">
        <f aca="false">INDEX(lot!$B$2:$B$1201,MATCH(B3449,lot!$A$2:$A$1201,0))</f>
        <v>SUP-E</v>
      </c>
      <c r="F3449" s="3" t="n">
        <f aca="false">YEAR(A3449)*100+MONTH(A3449)</f>
        <v>202608</v>
      </c>
    </row>
    <row r="3450" customFormat="false" ht="15" hidden="false" customHeight="false" outlineLevel="0" collapsed="false">
      <c r="A3450" s="2" t="n">
        <v>46251</v>
      </c>
      <c r="B3450" s="3" t="s">
        <v>337</v>
      </c>
      <c r="C3450" s="0" t="n">
        <v>207</v>
      </c>
      <c r="D3450" s="0" t="n">
        <v>9</v>
      </c>
      <c r="E3450" s="0" t="str">
        <f aca="false">INDEX(lot!$B$2:$B$1201,MATCH(B3450,lot!$A$2:$A$1201,0))</f>
        <v>SUP-A</v>
      </c>
      <c r="F3450" s="3" t="n">
        <f aca="false">YEAR(A3450)*100+MONTH(A3450)</f>
        <v>202608</v>
      </c>
    </row>
    <row r="3451" customFormat="false" ht="15" hidden="false" customHeight="false" outlineLevel="0" collapsed="false">
      <c r="A3451" s="2" t="n">
        <v>46251</v>
      </c>
      <c r="B3451" s="3" t="s">
        <v>337</v>
      </c>
      <c r="C3451" s="0" t="n">
        <v>133</v>
      </c>
      <c r="D3451" s="0" t="n">
        <v>3</v>
      </c>
      <c r="E3451" s="0" t="str">
        <f aca="false">INDEX(lot!$B$2:$B$1201,MATCH(B3451,lot!$A$2:$A$1201,0))</f>
        <v>SUP-A</v>
      </c>
      <c r="F3451" s="3" t="n">
        <f aca="false">YEAR(A3451)*100+MONTH(A3451)</f>
        <v>202608</v>
      </c>
    </row>
    <row r="3452" customFormat="false" ht="15" hidden="false" customHeight="false" outlineLevel="0" collapsed="false">
      <c r="A3452" s="2" t="n">
        <v>46251</v>
      </c>
      <c r="B3452" s="3" t="s">
        <v>353</v>
      </c>
      <c r="C3452" s="0" t="n">
        <v>174</v>
      </c>
      <c r="D3452" s="0" t="n">
        <v>4</v>
      </c>
      <c r="E3452" s="0" t="str">
        <f aca="false">INDEX(lot!$B$2:$B$1201,MATCH(B3452,lot!$A$2:$A$1201,0))</f>
        <v>SUP-D</v>
      </c>
      <c r="F3452" s="3" t="n">
        <f aca="false">YEAR(A3452)*100+MONTH(A3452)</f>
        <v>202608</v>
      </c>
    </row>
    <row r="3453" customFormat="false" ht="15" hidden="false" customHeight="false" outlineLevel="0" collapsed="false">
      <c r="A3453" s="2" t="n">
        <v>46251</v>
      </c>
      <c r="B3453" s="3" t="s">
        <v>353</v>
      </c>
      <c r="C3453" s="0" t="n">
        <v>147</v>
      </c>
      <c r="D3453" s="0" t="n">
        <v>0</v>
      </c>
      <c r="E3453" s="0" t="str">
        <f aca="false">INDEX(lot!$B$2:$B$1201,MATCH(B3453,lot!$A$2:$A$1201,0))</f>
        <v>SUP-D</v>
      </c>
      <c r="F3453" s="3" t="n">
        <f aca="false">YEAR(A3453)*100+MONTH(A3453)</f>
        <v>202608</v>
      </c>
    </row>
    <row r="3454" customFormat="false" ht="15" hidden="false" customHeight="false" outlineLevel="0" collapsed="false">
      <c r="A3454" s="2" t="n">
        <v>46251</v>
      </c>
      <c r="B3454" s="3" t="s">
        <v>413</v>
      </c>
      <c r="C3454" s="0" t="n">
        <v>228</v>
      </c>
      <c r="D3454" s="0" t="n">
        <v>1</v>
      </c>
      <c r="E3454" s="0" t="str">
        <f aca="false">INDEX(lot!$B$2:$B$1201,MATCH(B3454,lot!$A$2:$A$1201,0))</f>
        <v>SUP-E</v>
      </c>
      <c r="F3454" s="3" t="n">
        <f aca="false">YEAR(A3454)*100+MONTH(A3454)</f>
        <v>202608</v>
      </c>
    </row>
    <row r="3455" customFormat="false" ht="15" hidden="false" customHeight="false" outlineLevel="0" collapsed="false">
      <c r="A3455" s="2" t="n">
        <v>46251</v>
      </c>
      <c r="B3455" s="3" t="s">
        <v>413</v>
      </c>
      <c r="C3455" s="0" t="n">
        <v>243</v>
      </c>
      <c r="D3455" s="0" t="n">
        <v>3</v>
      </c>
      <c r="E3455" s="0" t="str">
        <f aca="false">INDEX(lot!$B$2:$B$1201,MATCH(B3455,lot!$A$2:$A$1201,0))</f>
        <v>SUP-E</v>
      </c>
      <c r="F3455" s="3" t="n">
        <f aca="false">YEAR(A3455)*100+MONTH(A3455)</f>
        <v>202608</v>
      </c>
    </row>
    <row r="3456" customFormat="false" ht="15" hidden="false" customHeight="false" outlineLevel="0" collapsed="false">
      <c r="A3456" s="2" t="n">
        <v>46251</v>
      </c>
      <c r="B3456" s="3" t="s">
        <v>466</v>
      </c>
      <c r="C3456" s="0" t="n">
        <v>191</v>
      </c>
      <c r="D3456" s="0" t="n">
        <v>2</v>
      </c>
      <c r="E3456" s="0" t="str">
        <f aca="false">INDEX(lot!$B$2:$B$1201,MATCH(B3456,lot!$A$2:$A$1201,0))</f>
        <v>SUP-D</v>
      </c>
      <c r="F3456" s="3" t="n">
        <f aca="false">YEAR(A3456)*100+MONTH(A3456)</f>
        <v>202608</v>
      </c>
    </row>
    <row r="3457" customFormat="false" ht="15" hidden="false" customHeight="false" outlineLevel="0" collapsed="false">
      <c r="A3457" s="2" t="n">
        <v>46251</v>
      </c>
      <c r="B3457" s="3" t="s">
        <v>466</v>
      </c>
      <c r="C3457" s="0" t="n">
        <v>83</v>
      </c>
      <c r="D3457" s="0" t="n">
        <v>1</v>
      </c>
      <c r="E3457" s="0" t="str">
        <f aca="false">INDEX(lot!$B$2:$B$1201,MATCH(B3457,lot!$A$2:$A$1201,0))</f>
        <v>SUP-D</v>
      </c>
      <c r="F3457" s="3" t="n">
        <f aca="false">YEAR(A3457)*100+MONTH(A3457)</f>
        <v>202608</v>
      </c>
    </row>
    <row r="3458" customFormat="false" ht="15" hidden="false" customHeight="false" outlineLevel="0" collapsed="false">
      <c r="A3458" s="2" t="n">
        <v>46251</v>
      </c>
      <c r="B3458" s="3" t="s">
        <v>532</v>
      </c>
      <c r="C3458" s="0" t="n">
        <v>76</v>
      </c>
      <c r="D3458" s="0" t="n">
        <v>0</v>
      </c>
      <c r="E3458" s="0" t="str">
        <f aca="false">INDEX(lot!$B$2:$B$1201,MATCH(B3458,lot!$A$2:$A$1201,0))</f>
        <v>SUP-D</v>
      </c>
      <c r="F3458" s="3" t="n">
        <f aca="false">YEAR(A3458)*100+MONTH(A3458)</f>
        <v>202608</v>
      </c>
    </row>
    <row r="3459" customFormat="false" ht="15" hidden="false" customHeight="false" outlineLevel="0" collapsed="false">
      <c r="A3459" s="2" t="n">
        <v>46251</v>
      </c>
      <c r="B3459" s="3" t="s">
        <v>544</v>
      </c>
      <c r="C3459" s="0" t="n">
        <v>246</v>
      </c>
      <c r="D3459" s="0" t="n">
        <v>2</v>
      </c>
      <c r="E3459" s="0" t="str">
        <f aca="false">INDEX(lot!$B$2:$B$1201,MATCH(B3459,lot!$A$2:$A$1201,0))</f>
        <v>SUP-D</v>
      </c>
      <c r="F3459" s="3" t="n">
        <f aca="false">YEAR(A3459)*100+MONTH(A3459)</f>
        <v>202608</v>
      </c>
    </row>
    <row r="3460" customFormat="false" ht="15" hidden="false" customHeight="false" outlineLevel="0" collapsed="false">
      <c r="A3460" s="2" t="n">
        <v>46251</v>
      </c>
      <c r="B3460" s="3" t="s">
        <v>545</v>
      </c>
      <c r="C3460" s="0" t="n">
        <v>99</v>
      </c>
      <c r="D3460" s="0" t="n">
        <v>0</v>
      </c>
      <c r="E3460" s="0" t="str">
        <f aca="false">INDEX(lot!$B$2:$B$1201,MATCH(B3460,lot!$A$2:$A$1201,0))</f>
        <v>SUP-E</v>
      </c>
      <c r="F3460" s="3" t="n">
        <f aca="false">YEAR(A3460)*100+MONTH(A3460)</f>
        <v>202608</v>
      </c>
    </row>
    <row r="3461" customFormat="false" ht="15" hidden="false" customHeight="false" outlineLevel="0" collapsed="false">
      <c r="A3461" s="2" t="n">
        <v>46251</v>
      </c>
      <c r="B3461" s="3" t="s">
        <v>715</v>
      </c>
      <c r="C3461" s="0" t="n">
        <v>203</v>
      </c>
      <c r="D3461" s="0" t="n">
        <v>5</v>
      </c>
      <c r="E3461" s="0" t="str">
        <f aca="false">INDEX(lot!$B$2:$B$1201,MATCH(B3461,lot!$A$2:$A$1201,0))</f>
        <v>SUP-E</v>
      </c>
      <c r="F3461" s="3" t="n">
        <f aca="false">YEAR(A3461)*100+MONTH(A3461)</f>
        <v>202608</v>
      </c>
    </row>
    <row r="3462" customFormat="false" ht="15" hidden="false" customHeight="false" outlineLevel="0" collapsed="false">
      <c r="A3462" s="2" t="n">
        <v>46251</v>
      </c>
      <c r="B3462" s="3" t="s">
        <v>715</v>
      </c>
      <c r="C3462" s="0" t="n">
        <v>76</v>
      </c>
      <c r="D3462" s="0" t="n">
        <v>7</v>
      </c>
      <c r="E3462" s="0" t="str">
        <f aca="false">INDEX(lot!$B$2:$B$1201,MATCH(B3462,lot!$A$2:$A$1201,0))</f>
        <v>SUP-E</v>
      </c>
      <c r="F3462" s="3" t="n">
        <f aca="false">YEAR(A3462)*100+MONTH(A3462)</f>
        <v>202608</v>
      </c>
    </row>
    <row r="3463" customFormat="false" ht="15" hidden="false" customHeight="false" outlineLevel="0" collapsed="false">
      <c r="A3463" s="2" t="n">
        <v>46251</v>
      </c>
      <c r="B3463" s="3" t="s">
        <v>740</v>
      </c>
      <c r="C3463" s="0" t="n">
        <v>92</v>
      </c>
      <c r="D3463" s="0" t="n">
        <v>0</v>
      </c>
      <c r="E3463" s="0" t="str">
        <f aca="false">INDEX(lot!$B$2:$B$1201,MATCH(B3463,lot!$A$2:$A$1201,0))</f>
        <v>SUP-E</v>
      </c>
      <c r="F3463" s="3" t="n">
        <f aca="false">YEAR(A3463)*100+MONTH(A3463)</f>
        <v>202608</v>
      </c>
    </row>
    <row r="3464" customFormat="false" ht="15" hidden="false" customHeight="false" outlineLevel="0" collapsed="false">
      <c r="A3464" s="2" t="n">
        <v>46251</v>
      </c>
      <c r="B3464" s="3" t="s">
        <v>751</v>
      </c>
      <c r="C3464" s="0" t="n">
        <v>173</v>
      </c>
      <c r="D3464" s="0" t="n">
        <v>3</v>
      </c>
      <c r="E3464" s="0" t="str">
        <f aca="false">INDEX(lot!$B$2:$B$1201,MATCH(B3464,lot!$A$2:$A$1201,0))</f>
        <v>SUP-D</v>
      </c>
      <c r="F3464" s="3" t="n">
        <f aca="false">YEAR(A3464)*100+MONTH(A3464)</f>
        <v>202608</v>
      </c>
    </row>
    <row r="3465" customFormat="false" ht="15" hidden="false" customHeight="false" outlineLevel="0" collapsed="false">
      <c r="A3465" s="2" t="n">
        <v>46251</v>
      </c>
      <c r="B3465" s="3" t="s">
        <v>874</v>
      </c>
      <c r="C3465" s="0" t="n">
        <v>144</v>
      </c>
      <c r="D3465" s="0" t="n">
        <v>4</v>
      </c>
      <c r="E3465" s="0" t="str">
        <f aca="false">INDEX(lot!$B$2:$B$1201,MATCH(B3465,lot!$A$2:$A$1201,0))</f>
        <v>SUP-A</v>
      </c>
      <c r="F3465" s="3" t="n">
        <f aca="false">YEAR(A3465)*100+MONTH(A3465)</f>
        <v>202608</v>
      </c>
    </row>
    <row r="3466" customFormat="false" ht="15" hidden="false" customHeight="false" outlineLevel="0" collapsed="false">
      <c r="A3466" s="2" t="n">
        <v>46251</v>
      </c>
      <c r="B3466" s="3" t="s">
        <v>1022</v>
      </c>
      <c r="C3466" s="0" t="n">
        <v>238</v>
      </c>
      <c r="D3466" s="0" t="n">
        <v>5</v>
      </c>
      <c r="E3466" s="0" t="str">
        <f aca="false">INDEX(lot!$B$2:$B$1201,MATCH(B3466,lot!$A$2:$A$1201,0))</f>
        <v>SUP-A</v>
      </c>
      <c r="F3466" s="3" t="n">
        <f aca="false">YEAR(A3466)*100+MONTH(A3466)</f>
        <v>202608</v>
      </c>
    </row>
    <row r="3467" customFormat="false" ht="15" hidden="false" customHeight="false" outlineLevel="0" collapsed="false">
      <c r="A3467" s="2" t="n">
        <v>46251</v>
      </c>
      <c r="B3467" s="3" t="s">
        <v>1025</v>
      </c>
      <c r="C3467" s="0" t="n">
        <v>126</v>
      </c>
      <c r="D3467" s="0" t="n">
        <v>4</v>
      </c>
      <c r="E3467" s="0" t="str">
        <f aca="false">INDEX(lot!$B$2:$B$1201,MATCH(B3467,lot!$A$2:$A$1201,0))</f>
        <v>SUP-A</v>
      </c>
      <c r="F3467" s="3" t="n">
        <f aca="false">YEAR(A3467)*100+MONTH(A3467)</f>
        <v>202608</v>
      </c>
    </row>
    <row r="3468" customFormat="false" ht="15" hidden="false" customHeight="false" outlineLevel="0" collapsed="false">
      <c r="A3468" s="2" t="n">
        <v>46251</v>
      </c>
      <c r="B3468" s="3" t="s">
        <v>1041</v>
      </c>
      <c r="C3468" s="0" t="n">
        <v>189</v>
      </c>
      <c r="D3468" s="0" t="n">
        <v>3</v>
      </c>
      <c r="E3468" s="0" t="str">
        <f aca="false">INDEX(lot!$B$2:$B$1201,MATCH(B3468,lot!$A$2:$A$1201,0))</f>
        <v>SUP-D</v>
      </c>
      <c r="F3468" s="3" t="n">
        <f aca="false">YEAR(A3468)*100+MONTH(A3468)</f>
        <v>202608</v>
      </c>
    </row>
    <row r="3469" customFormat="false" ht="15" hidden="false" customHeight="false" outlineLevel="0" collapsed="false">
      <c r="A3469" s="2" t="n">
        <v>46251</v>
      </c>
      <c r="B3469" s="3" t="s">
        <v>1041</v>
      </c>
      <c r="C3469" s="0" t="n">
        <v>236</v>
      </c>
      <c r="D3469" s="0" t="n">
        <v>2</v>
      </c>
      <c r="E3469" s="0" t="str">
        <f aca="false">INDEX(lot!$B$2:$B$1201,MATCH(B3469,lot!$A$2:$A$1201,0))</f>
        <v>SUP-D</v>
      </c>
      <c r="F3469" s="3" t="n">
        <f aca="false">YEAR(A3469)*100+MONTH(A3469)</f>
        <v>202608</v>
      </c>
    </row>
    <row r="3470" customFormat="false" ht="15" hidden="false" customHeight="false" outlineLevel="0" collapsed="false">
      <c r="A3470" s="2" t="n">
        <v>46251</v>
      </c>
      <c r="B3470" s="3" t="s">
        <v>1042</v>
      </c>
      <c r="C3470" s="0" t="n">
        <v>97</v>
      </c>
      <c r="D3470" s="0" t="n">
        <v>1</v>
      </c>
      <c r="E3470" s="0" t="str">
        <f aca="false">INDEX(lot!$B$2:$B$1201,MATCH(B3470,lot!$A$2:$A$1201,0))</f>
        <v>SUP-C</v>
      </c>
      <c r="F3470" s="3" t="n">
        <f aca="false">YEAR(A3470)*100+MONTH(A3470)</f>
        <v>202608</v>
      </c>
    </row>
    <row r="3471" customFormat="false" ht="15" hidden="false" customHeight="false" outlineLevel="0" collapsed="false">
      <c r="A3471" s="2" t="n">
        <v>46251</v>
      </c>
      <c r="B3471" s="3" t="s">
        <v>1097</v>
      </c>
      <c r="C3471" s="0" t="n">
        <v>236</v>
      </c>
      <c r="D3471" s="0" t="n">
        <v>8</v>
      </c>
      <c r="E3471" s="0" t="str">
        <f aca="false">INDEX(lot!$B$2:$B$1201,MATCH(B3471,lot!$A$2:$A$1201,0))</f>
        <v>SUP-C</v>
      </c>
      <c r="F3471" s="3" t="n">
        <f aca="false">YEAR(A3471)*100+MONTH(A3471)</f>
        <v>202608</v>
      </c>
    </row>
    <row r="3472" customFormat="false" ht="15" hidden="false" customHeight="false" outlineLevel="0" collapsed="false">
      <c r="A3472" s="2" t="n">
        <v>46251</v>
      </c>
      <c r="B3472" s="3" t="s">
        <v>1097</v>
      </c>
      <c r="C3472" s="0" t="n">
        <v>116</v>
      </c>
      <c r="D3472" s="0" t="n">
        <v>3</v>
      </c>
      <c r="E3472" s="0" t="str">
        <f aca="false">INDEX(lot!$B$2:$B$1201,MATCH(B3472,lot!$A$2:$A$1201,0))</f>
        <v>SUP-C</v>
      </c>
      <c r="F3472" s="3" t="n">
        <f aca="false">YEAR(A3472)*100+MONTH(A3472)</f>
        <v>202608</v>
      </c>
    </row>
    <row r="3473" customFormat="false" ht="15" hidden="false" customHeight="false" outlineLevel="0" collapsed="false">
      <c r="A3473" s="2" t="n">
        <v>46252</v>
      </c>
      <c r="B3473" s="3" t="s">
        <v>87</v>
      </c>
      <c r="C3473" s="0" t="n">
        <v>142</v>
      </c>
      <c r="D3473" s="0" t="n">
        <v>1</v>
      </c>
      <c r="E3473" s="0" t="str">
        <f aca="false">INDEX(lot!$B$2:$B$1201,MATCH(B3473,lot!$A$2:$A$1201,0))</f>
        <v>SUP-D</v>
      </c>
      <c r="F3473" s="3" t="n">
        <f aca="false">YEAR(A3473)*100+MONTH(A3473)</f>
        <v>202608</v>
      </c>
    </row>
    <row r="3474" customFormat="false" ht="15" hidden="false" customHeight="false" outlineLevel="0" collapsed="false">
      <c r="A3474" s="2" t="n">
        <v>46252</v>
      </c>
      <c r="B3474" s="3" t="s">
        <v>87</v>
      </c>
      <c r="C3474" s="0" t="n">
        <v>172</v>
      </c>
      <c r="D3474" s="0" t="n">
        <v>1</v>
      </c>
      <c r="E3474" s="0" t="str">
        <f aca="false">INDEX(lot!$B$2:$B$1201,MATCH(B3474,lot!$A$2:$A$1201,0))</f>
        <v>SUP-D</v>
      </c>
      <c r="F3474" s="3" t="n">
        <f aca="false">YEAR(A3474)*100+MONTH(A3474)</f>
        <v>202608</v>
      </c>
    </row>
    <row r="3475" customFormat="false" ht="15" hidden="false" customHeight="false" outlineLevel="0" collapsed="false">
      <c r="A3475" s="2" t="n">
        <v>46252</v>
      </c>
      <c r="B3475" s="3" t="s">
        <v>151</v>
      </c>
      <c r="C3475" s="0" t="n">
        <v>141</v>
      </c>
      <c r="D3475" s="0" t="n">
        <v>2</v>
      </c>
      <c r="E3475" s="0" t="str">
        <f aca="false">INDEX(lot!$B$2:$B$1201,MATCH(B3475,lot!$A$2:$A$1201,0))</f>
        <v>SUP-E</v>
      </c>
      <c r="F3475" s="3" t="n">
        <f aca="false">YEAR(A3475)*100+MONTH(A3475)</f>
        <v>202608</v>
      </c>
    </row>
    <row r="3476" customFormat="false" ht="15" hidden="false" customHeight="false" outlineLevel="0" collapsed="false">
      <c r="A3476" s="2" t="n">
        <v>46252</v>
      </c>
      <c r="B3476" s="3" t="s">
        <v>151</v>
      </c>
      <c r="C3476" s="0" t="n">
        <v>200</v>
      </c>
      <c r="D3476" s="0" t="n">
        <v>4</v>
      </c>
      <c r="E3476" s="0" t="str">
        <f aca="false">INDEX(lot!$B$2:$B$1201,MATCH(B3476,lot!$A$2:$A$1201,0))</f>
        <v>SUP-E</v>
      </c>
      <c r="F3476" s="3" t="n">
        <f aca="false">YEAR(A3476)*100+MONTH(A3476)</f>
        <v>202608</v>
      </c>
    </row>
    <row r="3477" customFormat="false" ht="15" hidden="false" customHeight="false" outlineLevel="0" collapsed="false">
      <c r="A3477" s="2" t="n">
        <v>46252</v>
      </c>
      <c r="B3477" s="3" t="s">
        <v>337</v>
      </c>
      <c r="C3477" s="0" t="n">
        <v>188</v>
      </c>
      <c r="D3477" s="0" t="n">
        <v>3</v>
      </c>
      <c r="E3477" s="0" t="str">
        <f aca="false">INDEX(lot!$B$2:$B$1201,MATCH(B3477,lot!$A$2:$A$1201,0))</f>
        <v>SUP-A</v>
      </c>
      <c r="F3477" s="3" t="n">
        <f aca="false">YEAR(A3477)*100+MONTH(A3477)</f>
        <v>202608</v>
      </c>
    </row>
    <row r="3478" customFormat="false" ht="15" hidden="false" customHeight="false" outlineLevel="0" collapsed="false">
      <c r="A3478" s="2" t="n">
        <v>46252</v>
      </c>
      <c r="B3478" s="3" t="s">
        <v>353</v>
      </c>
      <c r="C3478" s="0" t="n">
        <v>224</v>
      </c>
      <c r="D3478" s="0" t="n">
        <v>3</v>
      </c>
      <c r="E3478" s="0" t="str">
        <f aca="false">INDEX(lot!$B$2:$B$1201,MATCH(B3478,lot!$A$2:$A$1201,0))</f>
        <v>SUP-D</v>
      </c>
      <c r="F3478" s="3" t="n">
        <f aca="false">YEAR(A3478)*100+MONTH(A3478)</f>
        <v>202608</v>
      </c>
    </row>
    <row r="3479" customFormat="false" ht="15" hidden="false" customHeight="false" outlineLevel="0" collapsed="false">
      <c r="A3479" s="2" t="n">
        <v>46252</v>
      </c>
      <c r="B3479" s="3" t="s">
        <v>413</v>
      </c>
      <c r="C3479" s="0" t="n">
        <v>147</v>
      </c>
      <c r="D3479" s="0" t="n">
        <v>0</v>
      </c>
      <c r="E3479" s="0" t="str">
        <f aca="false">INDEX(lot!$B$2:$B$1201,MATCH(B3479,lot!$A$2:$A$1201,0))</f>
        <v>SUP-E</v>
      </c>
      <c r="F3479" s="3" t="n">
        <f aca="false">YEAR(A3479)*100+MONTH(A3479)</f>
        <v>202608</v>
      </c>
    </row>
    <row r="3480" customFormat="false" ht="15" hidden="false" customHeight="false" outlineLevel="0" collapsed="false">
      <c r="A3480" s="2" t="n">
        <v>46252</v>
      </c>
      <c r="B3480" s="3" t="s">
        <v>466</v>
      </c>
      <c r="C3480" s="0" t="n">
        <v>178</v>
      </c>
      <c r="D3480" s="0" t="n">
        <v>3</v>
      </c>
      <c r="E3480" s="0" t="str">
        <f aca="false">INDEX(lot!$B$2:$B$1201,MATCH(B3480,lot!$A$2:$A$1201,0))</f>
        <v>SUP-D</v>
      </c>
      <c r="F3480" s="3" t="n">
        <f aca="false">YEAR(A3480)*100+MONTH(A3480)</f>
        <v>202608</v>
      </c>
    </row>
    <row r="3481" customFormat="false" ht="15" hidden="false" customHeight="false" outlineLevel="0" collapsed="false">
      <c r="A3481" s="2" t="n">
        <v>46252</v>
      </c>
      <c r="B3481" s="3" t="s">
        <v>545</v>
      </c>
      <c r="C3481" s="0" t="n">
        <v>242</v>
      </c>
      <c r="D3481" s="0" t="n">
        <v>1</v>
      </c>
      <c r="E3481" s="0" t="str">
        <f aca="false">INDEX(lot!$B$2:$B$1201,MATCH(B3481,lot!$A$2:$A$1201,0))</f>
        <v>SUP-E</v>
      </c>
      <c r="F3481" s="3" t="n">
        <f aca="false">YEAR(A3481)*100+MONTH(A3481)</f>
        <v>202608</v>
      </c>
    </row>
    <row r="3482" customFormat="false" ht="15" hidden="false" customHeight="false" outlineLevel="0" collapsed="false">
      <c r="A3482" s="2" t="n">
        <v>46252</v>
      </c>
      <c r="B3482" s="3" t="s">
        <v>545</v>
      </c>
      <c r="C3482" s="0" t="n">
        <v>123</v>
      </c>
      <c r="D3482" s="0" t="n">
        <v>1</v>
      </c>
      <c r="E3482" s="0" t="str">
        <f aca="false">INDEX(lot!$B$2:$B$1201,MATCH(B3482,lot!$A$2:$A$1201,0))</f>
        <v>SUP-E</v>
      </c>
      <c r="F3482" s="3" t="n">
        <f aca="false">YEAR(A3482)*100+MONTH(A3482)</f>
        <v>202608</v>
      </c>
    </row>
    <row r="3483" customFormat="false" ht="15" hidden="false" customHeight="false" outlineLevel="0" collapsed="false">
      <c r="A3483" s="2" t="n">
        <v>46252</v>
      </c>
      <c r="B3483" s="3" t="s">
        <v>637</v>
      </c>
      <c r="C3483" s="0" t="n">
        <v>187</v>
      </c>
      <c r="D3483" s="0" t="n">
        <v>1</v>
      </c>
      <c r="E3483" s="0" t="str">
        <f aca="false">INDEX(lot!$B$2:$B$1201,MATCH(B3483,lot!$A$2:$A$1201,0))</f>
        <v>SUP-D</v>
      </c>
      <c r="F3483" s="3" t="n">
        <f aca="false">YEAR(A3483)*100+MONTH(A3483)</f>
        <v>202608</v>
      </c>
    </row>
    <row r="3484" customFormat="false" ht="15" hidden="false" customHeight="false" outlineLevel="0" collapsed="false">
      <c r="A3484" s="2" t="n">
        <v>46252</v>
      </c>
      <c r="B3484" s="3" t="s">
        <v>637</v>
      </c>
      <c r="C3484" s="0" t="n">
        <v>168</v>
      </c>
      <c r="D3484" s="0" t="n">
        <v>1</v>
      </c>
      <c r="E3484" s="0" t="str">
        <f aca="false">INDEX(lot!$B$2:$B$1201,MATCH(B3484,lot!$A$2:$A$1201,0))</f>
        <v>SUP-D</v>
      </c>
      <c r="F3484" s="3" t="n">
        <f aca="false">YEAR(A3484)*100+MONTH(A3484)</f>
        <v>202608</v>
      </c>
    </row>
    <row r="3485" customFormat="false" ht="15" hidden="false" customHeight="false" outlineLevel="0" collapsed="false">
      <c r="A3485" s="2" t="n">
        <v>46252</v>
      </c>
      <c r="B3485" s="3" t="s">
        <v>751</v>
      </c>
      <c r="C3485" s="0" t="n">
        <v>88</v>
      </c>
      <c r="D3485" s="0" t="n">
        <v>2</v>
      </c>
      <c r="E3485" s="0" t="str">
        <f aca="false">INDEX(lot!$B$2:$B$1201,MATCH(B3485,lot!$A$2:$A$1201,0))</f>
        <v>SUP-D</v>
      </c>
      <c r="F3485" s="3" t="n">
        <f aca="false">YEAR(A3485)*100+MONTH(A3485)</f>
        <v>202608</v>
      </c>
    </row>
    <row r="3486" customFormat="false" ht="15" hidden="false" customHeight="false" outlineLevel="0" collapsed="false">
      <c r="A3486" s="2" t="n">
        <v>46252</v>
      </c>
      <c r="B3486" s="3" t="s">
        <v>1041</v>
      </c>
      <c r="C3486" s="0" t="n">
        <v>155</v>
      </c>
      <c r="D3486" s="0" t="n">
        <v>2</v>
      </c>
      <c r="E3486" s="0" t="str">
        <f aca="false">INDEX(lot!$B$2:$B$1201,MATCH(B3486,lot!$A$2:$A$1201,0))</f>
        <v>SUP-D</v>
      </c>
      <c r="F3486" s="3" t="n">
        <f aca="false">YEAR(A3486)*100+MONTH(A3486)</f>
        <v>202608</v>
      </c>
    </row>
    <row r="3487" customFormat="false" ht="15" hidden="false" customHeight="false" outlineLevel="0" collapsed="false">
      <c r="A3487" s="2" t="n">
        <v>46252</v>
      </c>
      <c r="B3487" s="3" t="s">
        <v>1042</v>
      </c>
      <c r="C3487" s="0" t="n">
        <v>173</v>
      </c>
      <c r="D3487" s="0" t="n">
        <v>4</v>
      </c>
      <c r="E3487" s="0" t="str">
        <f aca="false">INDEX(lot!$B$2:$B$1201,MATCH(B3487,lot!$A$2:$A$1201,0))</f>
        <v>SUP-C</v>
      </c>
      <c r="F3487" s="3" t="n">
        <f aca="false">YEAR(A3487)*100+MONTH(A3487)</f>
        <v>202608</v>
      </c>
    </row>
    <row r="3488" customFormat="false" ht="15" hidden="false" customHeight="false" outlineLevel="0" collapsed="false">
      <c r="A3488" s="2" t="n">
        <v>46252</v>
      </c>
      <c r="B3488" s="3" t="s">
        <v>1097</v>
      </c>
      <c r="C3488" s="0" t="n">
        <v>72</v>
      </c>
      <c r="D3488" s="0" t="n">
        <v>2</v>
      </c>
      <c r="E3488" s="0" t="str">
        <f aca="false">INDEX(lot!$B$2:$B$1201,MATCH(B3488,lot!$A$2:$A$1201,0))</f>
        <v>SUP-C</v>
      </c>
      <c r="F3488" s="3" t="n">
        <f aca="false">YEAR(A3488)*100+MONTH(A3488)</f>
        <v>202608</v>
      </c>
    </row>
    <row r="3489" customFormat="false" ht="15" hidden="false" customHeight="false" outlineLevel="0" collapsed="false">
      <c r="A3489" s="2" t="n">
        <v>46252</v>
      </c>
      <c r="B3489" s="3" t="s">
        <v>1097</v>
      </c>
      <c r="C3489" s="0" t="n">
        <v>180</v>
      </c>
      <c r="D3489" s="0" t="n">
        <v>2</v>
      </c>
      <c r="E3489" s="0" t="str">
        <f aca="false">INDEX(lot!$B$2:$B$1201,MATCH(B3489,lot!$A$2:$A$1201,0))</f>
        <v>SUP-C</v>
      </c>
      <c r="F3489" s="3" t="n">
        <f aca="false">YEAR(A3489)*100+MONTH(A3489)</f>
        <v>202608</v>
      </c>
    </row>
    <row r="3490" customFormat="false" ht="15" hidden="false" customHeight="false" outlineLevel="0" collapsed="false">
      <c r="A3490" s="2" t="n">
        <v>46252</v>
      </c>
      <c r="B3490" s="3" t="s">
        <v>1113</v>
      </c>
      <c r="C3490" s="0" t="n">
        <v>111</v>
      </c>
      <c r="D3490" s="0" t="n">
        <v>1</v>
      </c>
      <c r="E3490" s="0" t="str">
        <f aca="false">INDEX(lot!$B$2:$B$1201,MATCH(B3490,lot!$A$2:$A$1201,0))</f>
        <v>SUP-A</v>
      </c>
      <c r="F3490" s="3" t="n">
        <f aca="false">YEAR(A3490)*100+MONTH(A3490)</f>
        <v>202608</v>
      </c>
    </row>
    <row r="3491" customFormat="false" ht="15" hidden="false" customHeight="false" outlineLevel="0" collapsed="false">
      <c r="A3491" s="2" t="n">
        <v>46252</v>
      </c>
      <c r="B3491" s="3" t="s">
        <v>1163</v>
      </c>
      <c r="C3491" s="0" t="n">
        <v>78</v>
      </c>
      <c r="D3491" s="0" t="n">
        <v>2</v>
      </c>
      <c r="E3491" s="0" t="str">
        <f aca="false">INDEX(lot!$B$2:$B$1201,MATCH(B3491,lot!$A$2:$A$1201,0))</f>
        <v>SUP-A</v>
      </c>
      <c r="F3491" s="3" t="n">
        <f aca="false">YEAR(A3491)*100+MONTH(A3491)</f>
        <v>202608</v>
      </c>
    </row>
    <row r="3492" customFormat="false" ht="15" hidden="false" customHeight="false" outlineLevel="0" collapsed="false">
      <c r="A3492" s="2" t="n">
        <v>46252</v>
      </c>
      <c r="B3492" s="3" t="s">
        <v>1163</v>
      </c>
      <c r="C3492" s="0" t="n">
        <v>79</v>
      </c>
      <c r="D3492" s="0" t="n">
        <v>1</v>
      </c>
      <c r="E3492" s="0" t="str">
        <f aca="false">INDEX(lot!$B$2:$B$1201,MATCH(B3492,lot!$A$2:$A$1201,0))</f>
        <v>SUP-A</v>
      </c>
      <c r="F3492" s="3" t="n">
        <f aca="false">YEAR(A3492)*100+MONTH(A3492)</f>
        <v>202608</v>
      </c>
    </row>
    <row r="3493" customFormat="false" ht="15" hidden="false" customHeight="false" outlineLevel="0" collapsed="false">
      <c r="A3493" s="2" t="n">
        <v>46253</v>
      </c>
      <c r="B3493" s="3" t="s">
        <v>74</v>
      </c>
      <c r="C3493" s="0" t="n">
        <v>87</v>
      </c>
      <c r="D3493" s="0" t="n">
        <v>0</v>
      </c>
      <c r="E3493" s="0" t="str">
        <f aca="false">INDEX(lot!$B$2:$B$1201,MATCH(B3493,lot!$A$2:$A$1201,0))</f>
        <v>SUP-E</v>
      </c>
      <c r="F3493" s="3" t="n">
        <f aca="false">YEAR(A3493)*100+MONTH(A3493)</f>
        <v>202608</v>
      </c>
    </row>
    <row r="3494" customFormat="false" ht="15" hidden="false" customHeight="false" outlineLevel="0" collapsed="false">
      <c r="A3494" s="2" t="n">
        <v>46253</v>
      </c>
      <c r="B3494" s="3" t="s">
        <v>74</v>
      </c>
      <c r="C3494" s="0" t="n">
        <v>157</v>
      </c>
      <c r="D3494" s="0" t="n">
        <v>0</v>
      </c>
      <c r="E3494" s="0" t="str">
        <f aca="false">INDEX(lot!$B$2:$B$1201,MATCH(B3494,lot!$A$2:$A$1201,0))</f>
        <v>SUP-E</v>
      </c>
      <c r="F3494" s="3" t="n">
        <f aca="false">YEAR(A3494)*100+MONTH(A3494)</f>
        <v>202608</v>
      </c>
    </row>
    <row r="3495" customFormat="false" ht="15" hidden="false" customHeight="false" outlineLevel="0" collapsed="false">
      <c r="A3495" s="2" t="n">
        <v>46253</v>
      </c>
      <c r="B3495" s="3" t="s">
        <v>149</v>
      </c>
      <c r="C3495" s="0" t="n">
        <v>74</v>
      </c>
      <c r="D3495" s="0" t="n">
        <v>1</v>
      </c>
      <c r="E3495" s="0" t="str">
        <f aca="false">INDEX(lot!$B$2:$B$1201,MATCH(B3495,lot!$A$2:$A$1201,0))</f>
        <v>SUP-E</v>
      </c>
      <c r="F3495" s="3" t="n">
        <f aca="false">YEAR(A3495)*100+MONTH(A3495)</f>
        <v>202608</v>
      </c>
    </row>
    <row r="3496" customFormat="false" ht="15" hidden="false" customHeight="false" outlineLevel="0" collapsed="false">
      <c r="A3496" s="2" t="n">
        <v>46253</v>
      </c>
      <c r="B3496" s="3" t="s">
        <v>151</v>
      </c>
      <c r="C3496" s="0" t="n">
        <v>188</v>
      </c>
      <c r="D3496" s="0" t="n">
        <v>2</v>
      </c>
      <c r="E3496" s="0" t="str">
        <f aca="false">INDEX(lot!$B$2:$B$1201,MATCH(B3496,lot!$A$2:$A$1201,0))</f>
        <v>SUP-E</v>
      </c>
      <c r="F3496" s="3" t="n">
        <f aca="false">YEAR(A3496)*100+MONTH(A3496)</f>
        <v>202608</v>
      </c>
    </row>
    <row r="3497" customFormat="false" ht="15" hidden="false" customHeight="false" outlineLevel="0" collapsed="false">
      <c r="A3497" s="2" t="n">
        <v>46253</v>
      </c>
      <c r="B3497" s="3" t="s">
        <v>151</v>
      </c>
      <c r="C3497" s="0" t="n">
        <v>119</v>
      </c>
      <c r="D3497" s="0" t="n">
        <v>2</v>
      </c>
      <c r="E3497" s="0" t="str">
        <f aca="false">INDEX(lot!$B$2:$B$1201,MATCH(B3497,lot!$A$2:$A$1201,0))</f>
        <v>SUP-E</v>
      </c>
      <c r="F3497" s="3" t="n">
        <f aca="false">YEAR(A3497)*100+MONTH(A3497)</f>
        <v>202608</v>
      </c>
    </row>
    <row r="3498" customFormat="false" ht="15" hidden="false" customHeight="false" outlineLevel="0" collapsed="false">
      <c r="A3498" s="2" t="n">
        <v>46253</v>
      </c>
      <c r="B3498" s="3" t="s">
        <v>316</v>
      </c>
      <c r="C3498" s="0" t="n">
        <v>251</v>
      </c>
      <c r="D3498" s="0" t="n">
        <v>1</v>
      </c>
      <c r="E3498" s="0" t="str">
        <f aca="false">INDEX(lot!$B$2:$B$1201,MATCH(B3498,lot!$A$2:$A$1201,0))</f>
        <v>SUP-D</v>
      </c>
      <c r="F3498" s="3" t="n">
        <f aca="false">YEAR(A3498)*100+MONTH(A3498)</f>
        <v>202608</v>
      </c>
    </row>
    <row r="3499" customFormat="false" ht="15" hidden="false" customHeight="false" outlineLevel="0" collapsed="false">
      <c r="A3499" s="2" t="n">
        <v>46253</v>
      </c>
      <c r="B3499" s="3" t="s">
        <v>337</v>
      </c>
      <c r="C3499" s="0" t="n">
        <v>135</v>
      </c>
      <c r="D3499" s="0" t="n">
        <v>3</v>
      </c>
      <c r="E3499" s="0" t="str">
        <f aca="false">INDEX(lot!$B$2:$B$1201,MATCH(B3499,lot!$A$2:$A$1201,0))</f>
        <v>SUP-A</v>
      </c>
      <c r="F3499" s="3" t="n">
        <f aca="false">YEAR(A3499)*100+MONTH(A3499)</f>
        <v>202608</v>
      </c>
    </row>
    <row r="3500" customFormat="false" ht="15" hidden="false" customHeight="false" outlineLevel="0" collapsed="false">
      <c r="A3500" s="2" t="n">
        <v>46253</v>
      </c>
      <c r="B3500" s="3" t="s">
        <v>353</v>
      </c>
      <c r="C3500" s="0" t="n">
        <v>121</v>
      </c>
      <c r="D3500" s="0" t="n">
        <v>2</v>
      </c>
      <c r="E3500" s="0" t="str">
        <f aca="false">INDEX(lot!$B$2:$B$1201,MATCH(B3500,lot!$A$2:$A$1201,0))</f>
        <v>SUP-D</v>
      </c>
      <c r="F3500" s="3" t="n">
        <f aca="false">YEAR(A3500)*100+MONTH(A3500)</f>
        <v>202608</v>
      </c>
    </row>
    <row r="3501" customFormat="false" ht="15" hidden="false" customHeight="false" outlineLevel="0" collapsed="false">
      <c r="A3501" s="2" t="n">
        <v>46253</v>
      </c>
      <c r="B3501" s="3" t="s">
        <v>353</v>
      </c>
      <c r="C3501" s="0" t="n">
        <v>187</v>
      </c>
      <c r="D3501" s="0" t="n">
        <v>1</v>
      </c>
      <c r="E3501" s="0" t="str">
        <f aca="false">INDEX(lot!$B$2:$B$1201,MATCH(B3501,lot!$A$2:$A$1201,0))</f>
        <v>SUP-D</v>
      </c>
      <c r="F3501" s="3" t="n">
        <f aca="false">YEAR(A3501)*100+MONTH(A3501)</f>
        <v>202608</v>
      </c>
    </row>
    <row r="3502" customFormat="false" ht="15" hidden="false" customHeight="false" outlineLevel="0" collapsed="false">
      <c r="A3502" s="2" t="n">
        <v>46253</v>
      </c>
      <c r="B3502" s="3" t="s">
        <v>413</v>
      </c>
      <c r="C3502" s="0" t="n">
        <v>136</v>
      </c>
      <c r="D3502" s="0" t="n">
        <v>0</v>
      </c>
      <c r="E3502" s="0" t="str">
        <f aca="false">INDEX(lot!$B$2:$B$1201,MATCH(B3502,lot!$A$2:$A$1201,0))</f>
        <v>SUP-E</v>
      </c>
      <c r="F3502" s="3" t="n">
        <f aca="false">YEAR(A3502)*100+MONTH(A3502)</f>
        <v>202608</v>
      </c>
    </row>
    <row r="3503" customFormat="false" ht="15" hidden="false" customHeight="false" outlineLevel="0" collapsed="false">
      <c r="A3503" s="2" t="n">
        <v>46253</v>
      </c>
      <c r="B3503" s="3" t="s">
        <v>484</v>
      </c>
      <c r="C3503" s="0" t="n">
        <v>150</v>
      </c>
      <c r="D3503" s="0" t="n">
        <v>0</v>
      </c>
      <c r="E3503" s="0" t="str">
        <f aca="false">INDEX(lot!$B$2:$B$1201,MATCH(B3503,lot!$A$2:$A$1201,0))</f>
        <v>SUP-D</v>
      </c>
      <c r="F3503" s="3" t="n">
        <f aca="false">YEAR(A3503)*100+MONTH(A3503)</f>
        <v>202608</v>
      </c>
    </row>
    <row r="3504" customFormat="false" ht="15" hidden="false" customHeight="false" outlineLevel="0" collapsed="false">
      <c r="A3504" s="2" t="n">
        <v>46253</v>
      </c>
      <c r="B3504" s="3" t="s">
        <v>484</v>
      </c>
      <c r="C3504" s="0" t="n">
        <v>133</v>
      </c>
      <c r="D3504" s="0" t="n">
        <v>1</v>
      </c>
      <c r="E3504" s="0" t="str">
        <f aca="false">INDEX(lot!$B$2:$B$1201,MATCH(B3504,lot!$A$2:$A$1201,0))</f>
        <v>SUP-D</v>
      </c>
      <c r="F3504" s="3" t="n">
        <f aca="false">YEAR(A3504)*100+MONTH(A3504)</f>
        <v>202608</v>
      </c>
    </row>
    <row r="3505" customFormat="false" ht="15" hidden="false" customHeight="false" outlineLevel="0" collapsed="false">
      <c r="A3505" s="2" t="n">
        <v>46253</v>
      </c>
      <c r="B3505" s="3" t="s">
        <v>545</v>
      </c>
      <c r="C3505" s="0" t="n">
        <v>231</v>
      </c>
      <c r="D3505" s="0" t="n">
        <v>3</v>
      </c>
      <c r="E3505" s="0" t="str">
        <f aca="false">INDEX(lot!$B$2:$B$1201,MATCH(B3505,lot!$A$2:$A$1201,0))</f>
        <v>SUP-E</v>
      </c>
      <c r="F3505" s="3" t="n">
        <f aca="false">YEAR(A3505)*100+MONTH(A3505)</f>
        <v>202608</v>
      </c>
    </row>
    <row r="3506" customFormat="false" ht="15" hidden="false" customHeight="false" outlineLevel="0" collapsed="false">
      <c r="A3506" s="2" t="n">
        <v>46253</v>
      </c>
      <c r="B3506" s="3" t="s">
        <v>545</v>
      </c>
      <c r="C3506" s="0" t="n">
        <v>250</v>
      </c>
      <c r="D3506" s="0" t="n">
        <v>3</v>
      </c>
      <c r="E3506" s="0" t="str">
        <f aca="false">INDEX(lot!$B$2:$B$1201,MATCH(B3506,lot!$A$2:$A$1201,0))</f>
        <v>SUP-E</v>
      </c>
      <c r="F3506" s="3" t="n">
        <f aca="false">YEAR(A3506)*100+MONTH(A3506)</f>
        <v>202608</v>
      </c>
    </row>
    <row r="3507" customFormat="false" ht="15" hidden="false" customHeight="false" outlineLevel="0" collapsed="false">
      <c r="A3507" s="2" t="n">
        <v>46253</v>
      </c>
      <c r="B3507" s="3" t="s">
        <v>637</v>
      </c>
      <c r="C3507" s="0" t="n">
        <v>183</v>
      </c>
      <c r="D3507" s="0" t="n">
        <v>1</v>
      </c>
      <c r="E3507" s="0" t="str">
        <f aca="false">INDEX(lot!$B$2:$B$1201,MATCH(B3507,lot!$A$2:$A$1201,0))</f>
        <v>SUP-D</v>
      </c>
      <c r="F3507" s="3" t="n">
        <f aca="false">YEAR(A3507)*100+MONTH(A3507)</f>
        <v>202608</v>
      </c>
    </row>
    <row r="3508" customFormat="false" ht="15" hidden="false" customHeight="false" outlineLevel="0" collapsed="false">
      <c r="A3508" s="2" t="n">
        <v>46253</v>
      </c>
      <c r="B3508" s="3" t="s">
        <v>637</v>
      </c>
      <c r="C3508" s="0" t="n">
        <v>141</v>
      </c>
      <c r="D3508" s="0" t="n">
        <v>1</v>
      </c>
      <c r="E3508" s="0" t="str">
        <f aca="false">INDEX(lot!$B$2:$B$1201,MATCH(B3508,lot!$A$2:$A$1201,0))</f>
        <v>SUP-D</v>
      </c>
      <c r="F3508" s="3" t="n">
        <f aca="false">YEAR(A3508)*100+MONTH(A3508)</f>
        <v>202608</v>
      </c>
    </row>
    <row r="3509" customFormat="false" ht="15" hidden="false" customHeight="false" outlineLevel="0" collapsed="false">
      <c r="A3509" s="2" t="n">
        <v>46253</v>
      </c>
      <c r="B3509" s="3" t="s">
        <v>657</v>
      </c>
      <c r="C3509" s="0" t="n">
        <v>127</v>
      </c>
      <c r="D3509" s="0" t="n">
        <v>4</v>
      </c>
      <c r="E3509" s="0" t="str">
        <f aca="false">INDEX(lot!$B$2:$B$1201,MATCH(B3509,lot!$A$2:$A$1201,0))</f>
        <v>SUP-C</v>
      </c>
      <c r="F3509" s="3" t="n">
        <f aca="false">YEAR(A3509)*100+MONTH(A3509)</f>
        <v>202608</v>
      </c>
    </row>
    <row r="3510" customFormat="false" ht="15" hidden="false" customHeight="false" outlineLevel="0" collapsed="false">
      <c r="A3510" s="2" t="n">
        <v>46253</v>
      </c>
      <c r="B3510" s="3" t="s">
        <v>657</v>
      </c>
      <c r="C3510" s="0" t="n">
        <v>231</v>
      </c>
      <c r="D3510" s="0" t="n">
        <v>5</v>
      </c>
      <c r="E3510" s="0" t="str">
        <f aca="false">INDEX(lot!$B$2:$B$1201,MATCH(B3510,lot!$A$2:$A$1201,0))</f>
        <v>SUP-C</v>
      </c>
      <c r="F3510" s="3" t="n">
        <f aca="false">YEAR(A3510)*100+MONTH(A3510)</f>
        <v>202608</v>
      </c>
    </row>
    <row r="3511" customFormat="false" ht="15" hidden="false" customHeight="false" outlineLevel="0" collapsed="false">
      <c r="A3511" s="2" t="n">
        <v>46253</v>
      </c>
      <c r="B3511" s="3" t="s">
        <v>952</v>
      </c>
      <c r="C3511" s="0" t="n">
        <v>105</v>
      </c>
      <c r="D3511" s="0" t="n">
        <v>0</v>
      </c>
      <c r="E3511" s="0" t="str">
        <f aca="false">INDEX(lot!$B$2:$B$1201,MATCH(B3511,lot!$A$2:$A$1201,0))</f>
        <v>SUP-D</v>
      </c>
      <c r="F3511" s="3" t="n">
        <f aca="false">YEAR(A3511)*100+MONTH(A3511)</f>
        <v>202608</v>
      </c>
    </row>
    <row r="3512" customFormat="false" ht="15" hidden="false" customHeight="false" outlineLevel="0" collapsed="false">
      <c r="A3512" s="2" t="n">
        <v>46253</v>
      </c>
      <c r="B3512" s="3" t="s">
        <v>1042</v>
      </c>
      <c r="C3512" s="0" t="n">
        <v>92</v>
      </c>
      <c r="D3512" s="0" t="n">
        <v>3</v>
      </c>
      <c r="E3512" s="0" t="str">
        <f aca="false">INDEX(lot!$B$2:$B$1201,MATCH(B3512,lot!$A$2:$A$1201,0))</f>
        <v>SUP-C</v>
      </c>
      <c r="F3512" s="3" t="n">
        <f aca="false">YEAR(A3512)*100+MONTH(A3512)</f>
        <v>202608</v>
      </c>
    </row>
    <row r="3513" customFormat="false" ht="15" hidden="false" customHeight="false" outlineLevel="0" collapsed="false">
      <c r="A3513" s="2" t="n">
        <v>46253</v>
      </c>
      <c r="B3513" s="3" t="s">
        <v>1042</v>
      </c>
      <c r="C3513" s="0" t="n">
        <v>160</v>
      </c>
      <c r="D3513" s="0" t="n">
        <v>5</v>
      </c>
      <c r="E3513" s="0" t="str">
        <f aca="false">INDEX(lot!$B$2:$B$1201,MATCH(B3513,lot!$A$2:$A$1201,0))</f>
        <v>SUP-C</v>
      </c>
      <c r="F3513" s="3" t="n">
        <f aca="false">YEAR(A3513)*100+MONTH(A3513)</f>
        <v>202608</v>
      </c>
    </row>
    <row r="3514" customFormat="false" ht="15" hidden="false" customHeight="false" outlineLevel="0" collapsed="false">
      <c r="A3514" s="2" t="n">
        <v>46253</v>
      </c>
      <c r="B3514" s="3" t="s">
        <v>1048</v>
      </c>
      <c r="C3514" s="0" t="n">
        <v>247</v>
      </c>
      <c r="D3514" s="0" t="n">
        <v>3</v>
      </c>
      <c r="E3514" s="0" t="str">
        <f aca="false">INDEX(lot!$B$2:$B$1201,MATCH(B3514,lot!$A$2:$A$1201,0))</f>
        <v>SUP-D</v>
      </c>
      <c r="F3514" s="3" t="n">
        <f aca="false">YEAR(A3514)*100+MONTH(A3514)</f>
        <v>202608</v>
      </c>
    </row>
    <row r="3515" customFormat="false" ht="15" hidden="false" customHeight="false" outlineLevel="0" collapsed="false">
      <c r="A3515" s="2" t="n">
        <v>46253</v>
      </c>
      <c r="B3515" s="3" t="s">
        <v>1163</v>
      </c>
      <c r="C3515" s="0" t="n">
        <v>86</v>
      </c>
      <c r="D3515" s="0" t="n">
        <v>3</v>
      </c>
      <c r="E3515" s="0" t="str">
        <f aca="false">INDEX(lot!$B$2:$B$1201,MATCH(B3515,lot!$A$2:$A$1201,0))</f>
        <v>SUP-A</v>
      </c>
      <c r="F3515" s="3" t="n">
        <f aca="false">YEAR(A3515)*100+MONTH(A3515)</f>
        <v>202608</v>
      </c>
    </row>
    <row r="3516" customFormat="false" ht="15" hidden="false" customHeight="false" outlineLevel="0" collapsed="false">
      <c r="A3516" s="2" t="n">
        <v>46254</v>
      </c>
      <c r="B3516" s="3" t="s">
        <v>149</v>
      </c>
      <c r="C3516" s="0" t="n">
        <v>210</v>
      </c>
      <c r="D3516" s="0" t="n">
        <v>0</v>
      </c>
      <c r="E3516" s="0" t="str">
        <f aca="false">INDEX(lot!$B$2:$B$1201,MATCH(B3516,lot!$A$2:$A$1201,0))</f>
        <v>SUP-E</v>
      </c>
      <c r="F3516" s="3" t="n">
        <f aca="false">YEAR(A3516)*100+MONTH(A3516)</f>
        <v>202608</v>
      </c>
    </row>
    <row r="3517" customFormat="false" ht="15" hidden="false" customHeight="false" outlineLevel="0" collapsed="false">
      <c r="A3517" s="2" t="n">
        <v>46254</v>
      </c>
      <c r="B3517" s="3" t="s">
        <v>220</v>
      </c>
      <c r="C3517" s="0" t="n">
        <v>201</v>
      </c>
      <c r="D3517" s="0" t="n">
        <v>5</v>
      </c>
      <c r="E3517" s="0" t="str">
        <f aca="false">INDEX(lot!$B$2:$B$1201,MATCH(B3517,lot!$A$2:$A$1201,0))</f>
        <v>SUP-A</v>
      </c>
      <c r="F3517" s="3" t="n">
        <f aca="false">YEAR(A3517)*100+MONTH(A3517)</f>
        <v>202608</v>
      </c>
    </row>
    <row r="3518" customFormat="false" ht="15" hidden="false" customHeight="false" outlineLevel="0" collapsed="false">
      <c r="A3518" s="2" t="n">
        <v>46254</v>
      </c>
      <c r="B3518" s="3" t="s">
        <v>316</v>
      </c>
      <c r="C3518" s="0" t="n">
        <v>175</v>
      </c>
      <c r="D3518" s="0" t="n">
        <v>5</v>
      </c>
      <c r="E3518" s="0" t="str">
        <f aca="false">INDEX(lot!$B$2:$B$1201,MATCH(B3518,lot!$A$2:$A$1201,0))</f>
        <v>SUP-D</v>
      </c>
      <c r="F3518" s="3" t="n">
        <f aca="false">YEAR(A3518)*100+MONTH(A3518)</f>
        <v>202608</v>
      </c>
    </row>
    <row r="3519" customFormat="false" ht="15" hidden="false" customHeight="false" outlineLevel="0" collapsed="false">
      <c r="A3519" s="2" t="n">
        <v>46254</v>
      </c>
      <c r="B3519" s="3" t="s">
        <v>316</v>
      </c>
      <c r="C3519" s="0" t="n">
        <v>130</v>
      </c>
      <c r="D3519" s="0" t="n">
        <v>2</v>
      </c>
      <c r="E3519" s="0" t="str">
        <f aca="false">INDEX(lot!$B$2:$B$1201,MATCH(B3519,lot!$A$2:$A$1201,0))</f>
        <v>SUP-D</v>
      </c>
      <c r="F3519" s="3" t="n">
        <f aca="false">YEAR(A3519)*100+MONTH(A3519)</f>
        <v>202608</v>
      </c>
    </row>
    <row r="3520" customFormat="false" ht="15" hidden="false" customHeight="false" outlineLevel="0" collapsed="false">
      <c r="A3520" s="2" t="n">
        <v>46254</v>
      </c>
      <c r="B3520" s="3" t="s">
        <v>375</v>
      </c>
      <c r="C3520" s="0" t="n">
        <v>199</v>
      </c>
      <c r="D3520" s="0" t="n">
        <v>5</v>
      </c>
      <c r="E3520" s="0" t="str">
        <f aca="false">INDEX(lot!$B$2:$B$1201,MATCH(B3520,lot!$A$2:$A$1201,0))</f>
        <v>SUP-A</v>
      </c>
      <c r="F3520" s="3" t="n">
        <f aca="false">YEAR(A3520)*100+MONTH(A3520)</f>
        <v>202608</v>
      </c>
    </row>
    <row r="3521" customFormat="false" ht="15" hidden="false" customHeight="false" outlineLevel="0" collapsed="false">
      <c r="A3521" s="2" t="n">
        <v>46254</v>
      </c>
      <c r="B3521" s="3" t="s">
        <v>375</v>
      </c>
      <c r="C3521" s="0" t="n">
        <v>231</v>
      </c>
      <c r="D3521" s="0" t="n">
        <v>3</v>
      </c>
      <c r="E3521" s="0" t="str">
        <f aca="false">INDEX(lot!$B$2:$B$1201,MATCH(B3521,lot!$A$2:$A$1201,0))</f>
        <v>SUP-A</v>
      </c>
      <c r="F3521" s="3" t="n">
        <f aca="false">YEAR(A3521)*100+MONTH(A3521)</f>
        <v>202608</v>
      </c>
    </row>
    <row r="3522" customFormat="false" ht="15" hidden="false" customHeight="false" outlineLevel="0" collapsed="false">
      <c r="A3522" s="2" t="n">
        <v>46254</v>
      </c>
      <c r="B3522" s="3" t="s">
        <v>405</v>
      </c>
      <c r="C3522" s="0" t="n">
        <v>150</v>
      </c>
      <c r="D3522" s="0" t="n">
        <v>2</v>
      </c>
      <c r="E3522" s="0" t="str">
        <f aca="false">INDEX(lot!$B$2:$B$1201,MATCH(B3522,lot!$A$2:$A$1201,0))</f>
        <v>SUP-D</v>
      </c>
      <c r="F3522" s="3" t="n">
        <f aca="false">YEAR(A3522)*100+MONTH(A3522)</f>
        <v>202608</v>
      </c>
    </row>
    <row r="3523" customFormat="false" ht="15" hidden="false" customHeight="false" outlineLevel="0" collapsed="false">
      <c r="A3523" s="2" t="n">
        <v>46254</v>
      </c>
      <c r="B3523" s="3" t="s">
        <v>484</v>
      </c>
      <c r="C3523" s="0" t="n">
        <v>137</v>
      </c>
      <c r="D3523" s="0" t="n">
        <v>0</v>
      </c>
      <c r="E3523" s="0" t="str">
        <f aca="false">INDEX(lot!$B$2:$B$1201,MATCH(B3523,lot!$A$2:$A$1201,0))</f>
        <v>SUP-D</v>
      </c>
      <c r="F3523" s="3" t="n">
        <f aca="false">YEAR(A3523)*100+MONTH(A3523)</f>
        <v>202608</v>
      </c>
    </row>
    <row r="3524" customFormat="false" ht="15" hidden="false" customHeight="false" outlineLevel="0" collapsed="false">
      <c r="A3524" s="2" t="n">
        <v>46254</v>
      </c>
      <c r="B3524" s="3" t="s">
        <v>565</v>
      </c>
      <c r="C3524" s="0" t="n">
        <v>155</v>
      </c>
      <c r="D3524" s="0" t="n">
        <v>1</v>
      </c>
      <c r="E3524" s="0" t="str">
        <f aca="false">INDEX(lot!$B$2:$B$1201,MATCH(B3524,lot!$A$2:$A$1201,0))</f>
        <v>SUP-E</v>
      </c>
      <c r="F3524" s="3" t="n">
        <f aca="false">YEAR(A3524)*100+MONTH(A3524)</f>
        <v>202608</v>
      </c>
    </row>
    <row r="3525" customFormat="false" ht="15" hidden="false" customHeight="false" outlineLevel="0" collapsed="false">
      <c r="A3525" s="2" t="n">
        <v>46254</v>
      </c>
      <c r="B3525" s="3" t="s">
        <v>572</v>
      </c>
      <c r="C3525" s="0" t="n">
        <v>222</v>
      </c>
      <c r="D3525" s="0" t="n">
        <v>2</v>
      </c>
      <c r="E3525" s="0" t="str">
        <f aca="false">INDEX(lot!$B$2:$B$1201,MATCH(B3525,lot!$A$2:$A$1201,0))</f>
        <v>SUP-E</v>
      </c>
      <c r="F3525" s="3" t="n">
        <f aca="false">YEAR(A3525)*100+MONTH(A3525)</f>
        <v>202608</v>
      </c>
    </row>
    <row r="3526" customFormat="false" ht="15" hidden="false" customHeight="false" outlineLevel="0" collapsed="false">
      <c r="A3526" s="2" t="n">
        <v>46254</v>
      </c>
      <c r="B3526" s="3" t="s">
        <v>572</v>
      </c>
      <c r="C3526" s="0" t="n">
        <v>159</v>
      </c>
      <c r="D3526" s="0" t="n">
        <v>4</v>
      </c>
      <c r="E3526" s="0" t="str">
        <f aca="false">INDEX(lot!$B$2:$B$1201,MATCH(B3526,lot!$A$2:$A$1201,0))</f>
        <v>SUP-E</v>
      </c>
      <c r="F3526" s="3" t="n">
        <f aca="false">YEAR(A3526)*100+MONTH(A3526)</f>
        <v>202608</v>
      </c>
    </row>
    <row r="3527" customFormat="false" ht="15" hidden="false" customHeight="false" outlineLevel="0" collapsed="false">
      <c r="A3527" s="2" t="n">
        <v>46254</v>
      </c>
      <c r="B3527" s="3" t="s">
        <v>637</v>
      </c>
      <c r="C3527" s="0" t="n">
        <v>172</v>
      </c>
      <c r="D3527" s="0" t="n">
        <v>0</v>
      </c>
      <c r="E3527" s="0" t="str">
        <f aca="false">INDEX(lot!$B$2:$B$1201,MATCH(B3527,lot!$A$2:$A$1201,0))</f>
        <v>SUP-D</v>
      </c>
      <c r="F3527" s="3" t="n">
        <f aca="false">YEAR(A3527)*100+MONTH(A3527)</f>
        <v>202608</v>
      </c>
    </row>
    <row r="3528" customFormat="false" ht="15" hidden="false" customHeight="false" outlineLevel="0" collapsed="false">
      <c r="A3528" s="2" t="n">
        <v>46254</v>
      </c>
      <c r="B3528" s="3" t="s">
        <v>657</v>
      </c>
      <c r="C3528" s="0" t="n">
        <v>84</v>
      </c>
      <c r="D3528" s="0" t="n">
        <v>3</v>
      </c>
      <c r="E3528" s="0" t="str">
        <f aca="false">INDEX(lot!$B$2:$B$1201,MATCH(B3528,lot!$A$2:$A$1201,0))</f>
        <v>SUP-C</v>
      </c>
      <c r="F3528" s="3" t="n">
        <f aca="false">YEAR(A3528)*100+MONTH(A3528)</f>
        <v>202608</v>
      </c>
    </row>
    <row r="3529" customFormat="false" ht="15" hidden="false" customHeight="false" outlineLevel="0" collapsed="false">
      <c r="A3529" s="2" t="n">
        <v>46254</v>
      </c>
      <c r="B3529" s="3" t="s">
        <v>687</v>
      </c>
      <c r="C3529" s="0" t="n">
        <v>84</v>
      </c>
      <c r="D3529" s="0" t="n">
        <v>1</v>
      </c>
      <c r="E3529" s="0" t="str">
        <f aca="false">INDEX(lot!$B$2:$B$1201,MATCH(B3529,lot!$A$2:$A$1201,0))</f>
        <v>SUP-D</v>
      </c>
      <c r="F3529" s="3" t="n">
        <f aca="false">YEAR(A3529)*100+MONTH(A3529)</f>
        <v>202608</v>
      </c>
    </row>
    <row r="3530" customFormat="false" ht="15" hidden="false" customHeight="false" outlineLevel="0" collapsed="false">
      <c r="A3530" s="2" t="n">
        <v>46254</v>
      </c>
      <c r="B3530" s="3" t="s">
        <v>687</v>
      </c>
      <c r="C3530" s="0" t="n">
        <v>245</v>
      </c>
      <c r="D3530" s="0" t="n">
        <v>3</v>
      </c>
      <c r="E3530" s="0" t="str">
        <f aca="false">INDEX(lot!$B$2:$B$1201,MATCH(B3530,lot!$A$2:$A$1201,0))</f>
        <v>SUP-D</v>
      </c>
      <c r="F3530" s="3" t="n">
        <f aca="false">YEAR(A3530)*100+MONTH(A3530)</f>
        <v>202608</v>
      </c>
    </row>
    <row r="3531" customFormat="false" ht="15" hidden="false" customHeight="false" outlineLevel="0" collapsed="false">
      <c r="A3531" s="2" t="n">
        <v>46254</v>
      </c>
      <c r="B3531" s="3" t="s">
        <v>767</v>
      </c>
      <c r="C3531" s="0" t="n">
        <v>175</v>
      </c>
      <c r="D3531" s="0" t="n">
        <v>5</v>
      </c>
      <c r="E3531" s="0" t="str">
        <f aca="false">INDEX(lot!$B$2:$B$1201,MATCH(B3531,lot!$A$2:$A$1201,0))</f>
        <v>SUP-C</v>
      </c>
      <c r="F3531" s="3" t="n">
        <f aca="false">YEAR(A3531)*100+MONTH(A3531)</f>
        <v>202608</v>
      </c>
    </row>
    <row r="3532" customFormat="false" ht="15" hidden="false" customHeight="false" outlineLevel="0" collapsed="false">
      <c r="A3532" s="2" t="n">
        <v>46254</v>
      </c>
      <c r="B3532" s="3" t="s">
        <v>885</v>
      </c>
      <c r="C3532" s="0" t="n">
        <v>84</v>
      </c>
      <c r="D3532" s="0" t="n">
        <v>4</v>
      </c>
      <c r="E3532" s="0" t="str">
        <f aca="false">INDEX(lot!$B$2:$B$1201,MATCH(B3532,lot!$A$2:$A$1201,0))</f>
        <v>SUP-C</v>
      </c>
      <c r="F3532" s="3" t="n">
        <f aca="false">YEAR(A3532)*100+MONTH(A3532)</f>
        <v>202608</v>
      </c>
    </row>
    <row r="3533" customFormat="false" ht="15" hidden="false" customHeight="false" outlineLevel="0" collapsed="false">
      <c r="A3533" s="2" t="n">
        <v>46254</v>
      </c>
      <c r="B3533" s="3" t="s">
        <v>907</v>
      </c>
      <c r="C3533" s="0" t="n">
        <v>174</v>
      </c>
      <c r="D3533" s="0" t="n">
        <v>1</v>
      </c>
      <c r="E3533" s="0" t="str">
        <f aca="false">INDEX(lot!$B$2:$B$1201,MATCH(B3533,lot!$A$2:$A$1201,0))</f>
        <v>SUP-D</v>
      </c>
      <c r="F3533" s="3" t="n">
        <f aca="false">YEAR(A3533)*100+MONTH(A3533)</f>
        <v>202608</v>
      </c>
    </row>
    <row r="3534" customFormat="false" ht="15" hidden="false" customHeight="false" outlineLevel="0" collapsed="false">
      <c r="A3534" s="2" t="n">
        <v>46254</v>
      </c>
      <c r="B3534" s="3" t="s">
        <v>952</v>
      </c>
      <c r="C3534" s="0" t="n">
        <v>144</v>
      </c>
      <c r="D3534" s="0" t="n">
        <v>3</v>
      </c>
      <c r="E3534" s="0" t="str">
        <f aca="false">INDEX(lot!$B$2:$B$1201,MATCH(B3534,lot!$A$2:$A$1201,0))</f>
        <v>SUP-D</v>
      </c>
      <c r="F3534" s="3" t="n">
        <f aca="false">YEAR(A3534)*100+MONTH(A3534)</f>
        <v>202608</v>
      </c>
    </row>
    <row r="3535" customFormat="false" ht="15" hidden="false" customHeight="false" outlineLevel="0" collapsed="false">
      <c r="A3535" s="2" t="n">
        <v>46254</v>
      </c>
      <c r="B3535" s="3" t="s">
        <v>952</v>
      </c>
      <c r="C3535" s="0" t="n">
        <v>182</v>
      </c>
      <c r="D3535" s="0" t="n">
        <v>2</v>
      </c>
      <c r="E3535" s="0" t="str">
        <f aca="false">INDEX(lot!$B$2:$B$1201,MATCH(B3535,lot!$A$2:$A$1201,0))</f>
        <v>SUP-D</v>
      </c>
      <c r="F3535" s="3" t="n">
        <f aca="false">YEAR(A3535)*100+MONTH(A3535)</f>
        <v>202608</v>
      </c>
    </row>
    <row r="3536" customFormat="false" ht="15" hidden="false" customHeight="false" outlineLevel="0" collapsed="false">
      <c r="A3536" s="2" t="n">
        <v>46254</v>
      </c>
      <c r="B3536" s="3" t="s">
        <v>953</v>
      </c>
      <c r="C3536" s="0" t="n">
        <v>123</v>
      </c>
      <c r="D3536" s="0" t="n">
        <v>5</v>
      </c>
      <c r="E3536" s="0" t="str">
        <f aca="false">INDEX(lot!$B$2:$B$1201,MATCH(B3536,lot!$A$2:$A$1201,0))</f>
        <v>SUP-C</v>
      </c>
      <c r="F3536" s="3" t="n">
        <f aca="false">YEAR(A3536)*100+MONTH(A3536)</f>
        <v>202608</v>
      </c>
    </row>
    <row r="3537" customFormat="false" ht="15" hidden="false" customHeight="false" outlineLevel="0" collapsed="false">
      <c r="A3537" s="2" t="n">
        <v>46254</v>
      </c>
      <c r="B3537" s="3" t="s">
        <v>953</v>
      </c>
      <c r="C3537" s="0" t="n">
        <v>90</v>
      </c>
      <c r="D3537" s="0" t="n">
        <v>2</v>
      </c>
      <c r="E3537" s="0" t="str">
        <f aca="false">INDEX(lot!$B$2:$B$1201,MATCH(B3537,lot!$A$2:$A$1201,0))</f>
        <v>SUP-C</v>
      </c>
      <c r="F3537" s="3" t="n">
        <f aca="false">YEAR(A3537)*100+MONTH(A3537)</f>
        <v>202608</v>
      </c>
    </row>
    <row r="3538" customFormat="false" ht="15" hidden="false" customHeight="false" outlineLevel="0" collapsed="false">
      <c r="A3538" s="2" t="n">
        <v>46254</v>
      </c>
      <c r="B3538" s="3" t="s">
        <v>1026</v>
      </c>
      <c r="C3538" s="0" t="n">
        <v>129</v>
      </c>
      <c r="D3538" s="0" t="n">
        <v>1</v>
      </c>
      <c r="E3538" s="0" t="str">
        <f aca="false">INDEX(lot!$B$2:$B$1201,MATCH(B3538,lot!$A$2:$A$1201,0))</f>
        <v>SUP-D</v>
      </c>
      <c r="F3538" s="3" t="n">
        <f aca="false">YEAR(A3538)*100+MONTH(A3538)</f>
        <v>202608</v>
      </c>
    </row>
    <row r="3539" customFormat="false" ht="15" hidden="false" customHeight="false" outlineLevel="0" collapsed="false">
      <c r="A3539" s="2" t="n">
        <v>46254</v>
      </c>
      <c r="B3539" s="3" t="s">
        <v>1048</v>
      </c>
      <c r="C3539" s="0" t="n">
        <v>220</v>
      </c>
      <c r="D3539" s="0" t="n">
        <v>4</v>
      </c>
      <c r="E3539" s="0" t="str">
        <f aca="false">INDEX(lot!$B$2:$B$1201,MATCH(B3539,lot!$A$2:$A$1201,0))</f>
        <v>SUP-D</v>
      </c>
      <c r="F3539" s="3" t="n">
        <f aca="false">YEAR(A3539)*100+MONTH(A3539)</f>
        <v>202608</v>
      </c>
    </row>
    <row r="3540" customFormat="false" ht="15" hidden="false" customHeight="false" outlineLevel="0" collapsed="false">
      <c r="A3540" s="2" t="n">
        <v>46254</v>
      </c>
      <c r="B3540" s="3" t="s">
        <v>1048</v>
      </c>
      <c r="C3540" s="0" t="n">
        <v>163</v>
      </c>
      <c r="D3540" s="0" t="n">
        <v>0</v>
      </c>
      <c r="E3540" s="0" t="str">
        <f aca="false">INDEX(lot!$B$2:$B$1201,MATCH(B3540,lot!$A$2:$A$1201,0))</f>
        <v>SUP-D</v>
      </c>
      <c r="F3540" s="3" t="n">
        <f aca="false">YEAR(A3540)*100+MONTH(A3540)</f>
        <v>202608</v>
      </c>
    </row>
    <row r="3541" customFormat="false" ht="15" hidden="false" customHeight="false" outlineLevel="0" collapsed="false">
      <c r="A3541" s="2" t="n">
        <v>46254</v>
      </c>
      <c r="B3541" s="3" t="s">
        <v>1163</v>
      </c>
      <c r="C3541" s="0" t="n">
        <v>167</v>
      </c>
      <c r="D3541" s="0" t="n">
        <v>2</v>
      </c>
      <c r="E3541" s="0" t="str">
        <f aca="false">INDEX(lot!$B$2:$B$1201,MATCH(B3541,lot!$A$2:$A$1201,0))</f>
        <v>SUP-A</v>
      </c>
      <c r="F3541" s="3" t="n">
        <f aca="false">YEAR(A3541)*100+MONTH(A3541)</f>
        <v>202608</v>
      </c>
    </row>
    <row r="3542" customFormat="false" ht="15" hidden="false" customHeight="false" outlineLevel="0" collapsed="false">
      <c r="A3542" s="2" t="n">
        <v>46255</v>
      </c>
      <c r="B3542" s="3" t="s">
        <v>50</v>
      </c>
      <c r="C3542" s="0" t="n">
        <v>63</v>
      </c>
      <c r="D3542" s="0" t="n">
        <v>5</v>
      </c>
      <c r="E3542" s="0" t="str">
        <f aca="false">INDEX(lot!$B$2:$B$1201,MATCH(B3542,lot!$A$2:$A$1201,0))</f>
        <v>SUP-A</v>
      </c>
      <c r="F3542" s="3" t="n">
        <f aca="false">YEAR(A3542)*100+MONTH(A3542)</f>
        <v>202608</v>
      </c>
    </row>
    <row r="3543" customFormat="false" ht="15" hidden="false" customHeight="false" outlineLevel="0" collapsed="false">
      <c r="A3543" s="2" t="n">
        <v>46255</v>
      </c>
      <c r="B3543" s="3" t="s">
        <v>220</v>
      </c>
      <c r="C3543" s="0" t="n">
        <v>144</v>
      </c>
      <c r="D3543" s="0" t="n">
        <v>3</v>
      </c>
      <c r="E3543" s="0" t="str">
        <f aca="false">INDEX(lot!$B$2:$B$1201,MATCH(B3543,lot!$A$2:$A$1201,0))</f>
        <v>SUP-A</v>
      </c>
      <c r="F3543" s="3" t="n">
        <f aca="false">YEAR(A3543)*100+MONTH(A3543)</f>
        <v>202608</v>
      </c>
    </row>
    <row r="3544" customFormat="false" ht="15" hidden="false" customHeight="false" outlineLevel="0" collapsed="false">
      <c r="A3544" s="2" t="n">
        <v>46255</v>
      </c>
      <c r="B3544" s="3" t="s">
        <v>220</v>
      </c>
      <c r="C3544" s="0" t="n">
        <v>112</v>
      </c>
      <c r="D3544" s="0" t="n">
        <v>1</v>
      </c>
      <c r="E3544" s="0" t="str">
        <f aca="false">INDEX(lot!$B$2:$B$1201,MATCH(B3544,lot!$A$2:$A$1201,0))</f>
        <v>SUP-A</v>
      </c>
      <c r="F3544" s="3" t="n">
        <f aca="false">YEAR(A3544)*100+MONTH(A3544)</f>
        <v>202608</v>
      </c>
    </row>
    <row r="3545" customFormat="false" ht="15" hidden="false" customHeight="false" outlineLevel="0" collapsed="false">
      <c r="A3545" s="2" t="n">
        <v>46255</v>
      </c>
      <c r="B3545" s="3" t="s">
        <v>375</v>
      </c>
      <c r="C3545" s="0" t="n">
        <v>123</v>
      </c>
      <c r="D3545" s="0" t="n">
        <v>3</v>
      </c>
      <c r="E3545" s="0" t="str">
        <f aca="false">INDEX(lot!$B$2:$B$1201,MATCH(B3545,lot!$A$2:$A$1201,0))</f>
        <v>SUP-A</v>
      </c>
      <c r="F3545" s="3" t="n">
        <f aca="false">YEAR(A3545)*100+MONTH(A3545)</f>
        <v>202608</v>
      </c>
    </row>
    <row r="3546" customFormat="false" ht="15" hidden="false" customHeight="false" outlineLevel="0" collapsed="false">
      <c r="A3546" s="2" t="n">
        <v>46255</v>
      </c>
      <c r="B3546" s="3" t="s">
        <v>529</v>
      </c>
      <c r="C3546" s="0" t="n">
        <v>147</v>
      </c>
      <c r="D3546" s="0" t="n">
        <v>4</v>
      </c>
      <c r="E3546" s="0" t="str">
        <f aca="false">INDEX(lot!$B$2:$B$1201,MATCH(B3546,lot!$A$2:$A$1201,0))</f>
        <v>SUP-D</v>
      </c>
      <c r="F3546" s="3" t="n">
        <f aca="false">YEAR(A3546)*100+MONTH(A3546)</f>
        <v>202608</v>
      </c>
    </row>
    <row r="3547" customFormat="false" ht="15" hidden="false" customHeight="false" outlineLevel="0" collapsed="false">
      <c r="A3547" s="2" t="n">
        <v>46255</v>
      </c>
      <c r="B3547" s="3" t="s">
        <v>529</v>
      </c>
      <c r="C3547" s="0" t="n">
        <v>94</v>
      </c>
      <c r="D3547" s="0" t="n">
        <v>2</v>
      </c>
      <c r="E3547" s="0" t="str">
        <f aca="false">INDEX(lot!$B$2:$B$1201,MATCH(B3547,lot!$A$2:$A$1201,0))</f>
        <v>SUP-D</v>
      </c>
      <c r="F3547" s="3" t="n">
        <f aca="false">YEAR(A3547)*100+MONTH(A3547)</f>
        <v>202608</v>
      </c>
    </row>
    <row r="3548" customFormat="false" ht="15" hidden="false" customHeight="false" outlineLevel="0" collapsed="false">
      <c r="A3548" s="2" t="n">
        <v>46255</v>
      </c>
      <c r="B3548" s="3" t="s">
        <v>565</v>
      </c>
      <c r="C3548" s="0" t="n">
        <v>248</v>
      </c>
      <c r="D3548" s="0" t="n">
        <v>1</v>
      </c>
      <c r="E3548" s="0" t="str">
        <f aca="false">INDEX(lot!$B$2:$B$1201,MATCH(B3548,lot!$A$2:$A$1201,0))</f>
        <v>SUP-E</v>
      </c>
      <c r="F3548" s="3" t="n">
        <f aca="false">YEAR(A3548)*100+MONTH(A3548)</f>
        <v>202608</v>
      </c>
    </row>
    <row r="3549" customFormat="false" ht="15" hidden="false" customHeight="false" outlineLevel="0" collapsed="false">
      <c r="A3549" s="2" t="n">
        <v>46255</v>
      </c>
      <c r="B3549" s="3" t="s">
        <v>571</v>
      </c>
      <c r="C3549" s="0" t="n">
        <v>144</v>
      </c>
      <c r="D3549" s="0" t="n">
        <v>0</v>
      </c>
      <c r="E3549" s="0" t="str">
        <f aca="false">INDEX(lot!$B$2:$B$1201,MATCH(B3549,lot!$A$2:$A$1201,0))</f>
        <v>SUP-D</v>
      </c>
      <c r="F3549" s="3" t="n">
        <f aca="false">YEAR(A3549)*100+MONTH(A3549)</f>
        <v>202608</v>
      </c>
    </row>
    <row r="3550" customFormat="false" ht="15" hidden="false" customHeight="false" outlineLevel="0" collapsed="false">
      <c r="A3550" s="2" t="n">
        <v>46255</v>
      </c>
      <c r="B3550" s="3" t="s">
        <v>571</v>
      </c>
      <c r="C3550" s="0" t="n">
        <v>241</v>
      </c>
      <c r="D3550" s="0" t="n">
        <v>1</v>
      </c>
      <c r="E3550" s="0" t="str">
        <f aca="false">INDEX(lot!$B$2:$B$1201,MATCH(B3550,lot!$A$2:$A$1201,0))</f>
        <v>SUP-D</v>
      </c>
      <c r="F3550" s="3" t="n">
        <f aca="false">YEAR(A3550)*100+MONTH(A3550)</f>
        <v>202608</v>
      </c>
    </row>
    <row r="3551" customFormat="false" ht="15" hidden="false" customHeight="false" outlineLevel="0" collapsed="false">
      <c r="A3551" s="2" t="n">
        <v>46255</v>
      </c>
      <c r="B3551" s="3" t="s">
        <v>572</v>
      </c>
      <c r="C3551" s="0" t="n">
        <v>234</v>
      </c>
      <c r="D3551" s="0" t="n">
        <v>1</v>
      </c>
      <c r="E3551" s="0" t="str">
        <f aca="false">INDEX(lot!$B$2:$B$1201,MATCH(B3551,lot!$A$2:$A$1201,0))</f>
        <v>SUP-E</v>
      </c>
      <c r="F3551" s="3" t="n">
        <f aca="false">YEAR(A3551)*100+MONTH(A3551)</f>
        <v>202608</v>
      </c>
    </row>
    <row r="3552" customFormat="false" ht="15" hidden="false" customHeight="false" outlineLevel="0" collapsed="false">
      <c r="A3552" s="2" t="n">
        <v>46255</v>
      </c>
      <c r="B3552" s="3" t="s">
        <v>611</v>
      </c>
      <c r="C3552" s="0" t="n">
        <v>135</v>
      </c>
      <c r="D3552" s="0" t="n">
        <v>2</v>
      </c>
      <c r="E3552" s="0" t="str">
        <f aca="false">INDEX(lot!$B$2:$B$1201,MATCH(B3552,lot!$A$2:$A$1201,0))</f>
        <v>SUP-D</v>
      </c>
      <c r="F3552" s="3" t="n">
        <f aca="false">YEAR(A3552)*100+MONTH(A3552)</f>
        <v>202608</v>
      </c>
    </row>
    <row r="3553" customFormat="false" ht="15" hidden="false" customHeight="false" outlineLevel="0" collapsed="false">
      <c r="A3553" s="2" t="n">
        <v>46255</v>
      </c>
      <c r="B3553" s="3" t="s">
        <v>657</v>
      </c>
      <c r="C3553" s="0" t="n">
        <v>171</v>
      </c>
      <c r="D3553" s="0" t="n">
        <v>2</v>
      </c>
      <c r="E3553" s="0" t="str">
        <f aca="false">INDEX(lot!$B$2:$B$1201,MATCH(B3553,lot!$A$2:$A$1201,0))</f>
        <v>SUP-C</v>
      </c>
      <c r="F3553" s="3" t="n">
        <f aca="false">YEAR(A3553)*100+MONTH(A3553)</f>
        <v>202608</v>
      </c>
    </row>
    <row r="3554" customFormat="false" ht="15" hidden="false" customHeight="false" outlineLevel="0" collapsed="false">
      <c r="A3554" s="2" t="n">
        <v>46255</v>
      </c>
      <c r="B3554" s="3" t="s">
        <v>657</v>
      </c>
      <c r="C3554" s="0" t="n">
        <v>227</v>
      </c>
      <c r="D3554" s="0" t="n">
        <v>7</v>
      </c>
      <c r="E3554" s="0" t="str">
        <f aca="false">INDEX(lot!$B$2:$B$1201,MATCH(B3554,lot!$A$2:$A$1201,0))</f>
        <v>SUP-C</v>
      </c>
      <c r="F3554" s="3" t="n">
        <f aca="false">YEAR(A3554)*100+MONTH(A3554)</f>
        <v>202608</v>
      </c>
    </row>
    <row r="3555" customFormat="false" ht="15" hidden="false" customHeight="false" outlineLevel="0" collapsed="false">
      <c r="A3555" s="2" t="n">
        <v>46255</v>
      </c>
      <c r="B3555" s="3" t="s">
        <v>687</v>
      </c>
      <c r="C3555" s="0" t="n">
        <v>189</v>
      </c>
      <c r="D3555" s="0" t="n">
        <v>2</v>
      </c>
      <c r="E3555" s="0" t="str">
        <f aca="false">INDEX(lot!$B$2:$B$1201,MATCH(B3555,lot!$A$2:$A$1201,0))</f>
        <v>SUP-D</v>
      </c>
      <c r="F3555" s="3" t="n">
        <f aca="false">YEAR(A3555)*100+MONTH(A3555)</f>
        <v>202608</v>
      </c>
    </row>
    <row r="3556" customFormat="false" ht="15" hidden="false" customHeight="false" outlineLevel="0" collapsed="false">
      <c r="A3556" s="2" t="n">
        <v>46255</v>
      </c>
      <c r="B3556" s="3" t="s">
        <v>687</v>
      </c>
      <c r="C3556" s="0" t="n">
        <v>114</v>
      </c>
      <c r="D3556" s="0" t="n">
        <v>2</v>
      </c>
      <c r="E3556" s="0" t="str">
        <f aca="false">INDEX(lot!$B$2:$B$1201,MATCH(B3556,lot!$A$2:$A$1201,0))</f>
        <v>SUP-D</v>
      </c>
      <c r="F3556" s="3" t="n">
        <f aca="false">YEAR(A3556)*100+MONTH(A3556)</f>
        <v>202608</v>
      </c>
    </row>
    <row r="3557" customFormat="false" ht="15" hidden="false" customHeight="false" outlineLevel="0" collapsed="false">
      <c r="A3557" s="2" t="n">
        <v>46255</v>
      </c>
      <c r="B3557" s="3" t="s">
        <v>817</v>
      </c>
      <c r="C3557" s="0" t="n">
        <v>191</v>
      </c>
      <c r="D3557" s="0" t="n">
        <v>3</v>
      </c>
      <c r="E3557" s="0" t="str">
        <f aca="false">INDEX(lot!$B$2:$B$1201,MATCH(B3557,lot!$A$2:$A$1201,0))</f>
        <v>SUP-A</v>
      </c>
      <c r="F3557" s="3" t="n">
        <f aca="false">YEAR(A3557)*100+MONTH(A3557)</f>
        <v>202608</v>
      </c>
    </row>
    <row r="3558" customFormat="false" ht="15" hidden="false" customHeight="false" outlineLevel="0" collapsed="false">
      <c r="A3558" s="2" t="n">
        <v>46255</v>
      </c>
      <c r="B3558" s="3" t="s">
        <v>817</v>
      </c>
      <c r="C3558" s="0" t="n">
        <v>102</v>
      </c>
      <c r="D3558" s="0" t="n">
        <v>3</v>
      </c>
      <c r="E3558" s="0" t="str">
        <f aca="false">INDEX(lot!$B$2:$B$1201,MATCH(B3558,lot!$A$2:$A$1201,0))</f>
        <v>SUP-A</v>
      </c>
      <c r="F3558" s="3" t="n">
        <f aca="false">YEAR(A3558)*100+MONTH(A3558)</f>
        <v>202608</v>
      </c>
    </row>
    <row r="3559" customFormat="false" ht="15" hidden="false" customHeight="false" outlineLevel="0" collapsed="false">
      <c r="A3559" s="2" t="n">
        <v>46255</v>
      </c>
      <c r="B3559" s="3" t="s">
        <v>885</v>
      </c>
      <c r="C3559" s="0" t="n">
        <v>136</v>
      </c>
      <c r="D3559" s="0" t="n">
        <v>3</v>
      </c>
      <c r="E3559" s="0" t="str">
        <f aca="false">INDEX(lot!$B$2:$B$1201,MATCH(B3559,lot!$A$2:$A$1201,0))</f>
        <v>SUP-C</v>
      </c>
      <c r="F3559" s="3" t="n">
        <f aca="false">YEAR(A3559)*100+MONTH(A3559)</f>
        <v>202608</v>
      </c>
    </row>
    <row r="3560" customFormat="false" ht="15" hidden="false" customHeight="false" outlineLevel="0" collapsed="false">
      <c r="A3560" s="2" t="n">
        <v>46255</v>
      </c>
      <c r="B3560" s="3" t="s">
        <v>907</v>
      </c>
      <c r="C3560" s="0" t="n">
        <v>168</v>
      </c>
      <c r="D3560" s="0" t="n">
        <v>1</v>
      </c>
      <c r="E3560" s="0" t="str">
        <f aca="false">INDEX(lot!$B$2:$B$1201,MATCH(B3560,lot!$A$2:$A$1201,0))</f>
        <v>SUP-D</v>
      </c>
      <c r="F3560" s="3" t="n">
        <f aca="false">YEAR(A3560)*100+MONTH(A3560)</f>
        <v>202608</v>
      </c>
    </row>
    <row r="3561" customFormat="false" ht="15" hidden="false" customHeight="false" outlineLevel="0" collapsed="false">
      <c r="A3561" s="2" t="n">
        <v>46255</v>
      </c>
      <c r="B3561" s="3" t="s">
        <v>917</v>
      </c>
      <c r="C3561" s="0" t="n">
        <v>144</v>
      </c>
      <c r="D3561" s="0" t="n">
        <v>2</v>
      </c>
      <c r="E3561" s="0" t="str">
        <f aca="false">INDEX(lot!$B$2:$B$1201,MATCH(B3561,lot!$A$2:$A$1201,0))</f>
        <v>SUP-E</v>
      </c>
      <c r="F3561" s="3" t="n">
        <f aca="false">YEAR(A3561)*100+MONTH(A3561)</f>
        <v>202608</v>
      </c>
    </row>
    <row r="3562" customFormat="false" ht="15" hidden="false" customHeight="false" outlineLevel="0" collapsed="false">
      <c r="A3562" s="2" t="n">
        <v>46255</v>
      </c>
      <c r="B3562" s="3" t="s">
        <v>917</v>
      </c>
      <c r="C3562" s="0" t="n">
        <v>87</v>
      </c>
      <c r="D3562" s="0" t="n">
        <v>0</v>
      </c>
      <c r="E3562" s="0" t="str">
        <f aca="false">INDEX(lot!$B$2:$B$1201,MATCH(B3562,lot!$A$2:$A$1201,0))</f>
        <v>SUP-E</v>
      </c>
      <c r="F3562" s="3" t="n">
        <f aca="false">YEAR(A3562)*100+MONTH(A3562)</f>
        <v>202608</v>
      </c>
    </row>
    <row r="3563" customFormat="false" ht="15" hidden="false" customHeight="false" outlineLevel="0" collapsed="false">
      <c r="A3563" s="2" t="n">
        <v>46255</v>
      </c>
      <c r="B3563" s="3" t="s">
        <v>953</v>
      </c>
      <c r="C3563" s="0" t="n">
        <v>148</v>
      </c>
      <c r="D3563" s="0" t="n">
        <v>4</v>
      </c>
      <c r="E3563" s="0" t="str">
        <f aca="false">INDEX(lot!$B$2:$B$1201,MATCH(B3563,lot!$A$2:$A$1201,0))</f>
        <v>SUP-C</v>
      </c>
      <c r="F3563" s="3" t="n">
        <f aca="false">YEAR(A3563)*100+MONTH(A3563)</f>
        <v>202608</v>
      </c>
    </row>
    <row r="3564" customFormat="false" ht="15" hidden="false" customHeight="false" outlineLevel="0" collapsed="false">
      <c r="A3564" s="2" t="n">
        <v>46255</v>
      </c>
      <c r="B3564" s="3" t="s">
        <v>1026</v>
      </c>
      <c r="C3564" s="0" t="n">
        <v>90</v>
      </c>
      <c r="D3564" s="0" t="n">
        <v>1</v>
      </c>
      <c r="E3564" s="0" t="str">
        <f aca="false">INDEX(lot!$B$2:$B$1201,MATCH(B3564,lot!$A$2:$A$1201,0))</f>
        <v>SUP-D</v>
      </c>
      <c r="F3564" s="3" t="n">
        <f aca="false">YEAR(A3564)*100+MONTH(A3564)</f>
        <v>202608</v>
      </c>
    </row>
    <row r="3565" customFormat="false" ht="15" hidden="false" customHeight="false" outlineLevel="0" collapsed="false">
      <c r="A3565" s="2" t="n">
        <v>46255</v>
      </c>
      <c r="B3565" s="3" t="s">
        <v>1093</v>
      </c>
      <c r="C3565" s="0" t="n">
        <v>220</v>
      </c>
      <c r="D3565" s="0" t="n">
        <v>1</v>
      </c>
      <c r="E3565" s="0" t="str">
        <f aca="false">INDEX(lot!$B$2:$B$1201,MATCH(B3565,lot!$A$2:$A$1201,0))</f>
        <v>SUP-D</v>
      </c>
      <c r="F3565" s="3" t="n">
        <f aca="false">YEAR(A3565)*100+MONTH(A3565)</f>
        <v>202608</v>
      </c>
    </row>
    <row r="3566" customFormat="false" ht="15" hidden="false" customHeight="false" outlineLevel="0" collapsed="false">
      <c r="A3566" s="2" t="n">
        <v>46258</v>
      </c>
      <c r="B3566" s="3" t="s">
        <v>50</v>
      </c>
      <c r="C3566" s="0" t="n">
        <v>68</v>
      </c>
      <c r="D3566" s="0" t="n">
        <v>1</v>
      </c>
      <c r="E3566" s="0" t="str">
        <f aca="false">INDEX(lot!$B$2:$B$1201,MATCH(B3566,lot!$A$2:$A$1201,0))</f>
        <v>SUP-A</v>
      </c>
      <c r="F3566" s="3" t="n">
        <f aca="false">YEAR(A3566)*100+MONTH(A3566)</f>
        <v>202608</v>
      </c>
    </row>
    <row r="3567" customFormat="false" ht="15" hidden="false" customHeight="false" outlineLevel="0" collapsed="false">
      <c r="A3567" s="2" t="n">
        <v>46258</v>
      </c>
      <c r="B3567" s="3" t="s">
        <v>220</v>
      </c>
      <c r="C3567" s="0" t="n">
        <v>82</v>
      </c>
      <c r="D3567" s="0" t="n">
        <v>2</v>
      </c>
      <c r="E3567" s="0" t="str">
        <f aca="false">INDEX(lot!$B$2:$B$1201,MATCH(B3567,lot!$A$2:$A$1201,0))</f>
        <v>SUP-A</v>
      </c>
      <c r="F3567" s="3" t="n">
        <f aca="false">YEAR(A3567)*100+MONTH(A3567)</f>
        <v>202608</v>
      </c>
    </row>
    <row r="3568" customFormat="false" ht="15" hidden="false" customHeight="false" outlineLevel="0" collapsed="false">
      <c r="A3568" s="2" t="n">
        <v>46258</v>
      </c>
      <c r="B3568" s="3" t="s">
        <v>220</v>
      </c>
      <c r="C3568" s="0" t="n">
        <v>84</v>
      </c>
      <c r="D3568" s="0" t="n">
        <v>1</v>
      </c>
      <c r="E3568" s="0" t="str">
        <f aca="false">INDEX(lot!$B$2:$B$1201,MATCH(B3568,lot!$A$2:$A$1201,0))</f>
        <v>SUP-A</v>
      </c>
      <c r="F3568" s="3" t="n">
        <f aca="false">YEAR(A3568)*100+MONTH(A3568)</f>
        <v>202608</v>
      </c>
    </row>
    <row r="3569" customFormat="false" ht="15" hidden="false" customHeight="false" outlineLevel="0" collapsed="false">
      <c r="A3569" s="2" t="n">
        <v>46258</v>
      </c>
      <c r="B3569" s="3" t="s">
        <v>375</v>
      </c>
      <c r="C3569" s="0" t="n">
        <v>79</v>
      </c>
      <c r="D3569" s="0" t="n">
        <v>0</v>
      </c>
      <c r="E3569" s="0" t="str">
        <f aca="false">INDEX(lot!$B$2:$B$1201,MATCH(B3569,lot!$A$2:$A$1201,0))</f>
        <v>SUP-A</v>
      </c>
      <c r="F3569" s="3" t="n">
        <f aca="false">YEAR(A3569)*100+MONTH(A3569)</f>
        <v>202608</v>
      </c>
    </row>
    <row r="3570" customFormat="false" ht="15" hidden="false" customHeight="false" outlineLevel="0" collapsed="false">
      <c r="A3570" s="2" t="n">
        <v>46258</v>
      </c>
      <c r="B3570" s="3" t="s">
        <v>571</v>
      </c>
      <c r="C3570" s="0" t="n">
        <v>92</v>
      </c>
      <c r="D3570" s="0" t="n">
        <v>1</v>
      </c>
      <c r="E3570" s="0" t="str">
        <f aca="false">INDEX(lot!$B$2:$B$1201,MATCH(B3570,lot!$A$2:$A$1201,0))</f>
        <v>SUP-D</v>
      </c>
      <c r="F3570" s="3" t="n">
        <f aca="false">YEAR(A3570)*100+MONTH(A3570)</f>
        <v>202608</v>
      </c>
    </row>
    <row r="3571" customFormat="false" ht="15" hidden="false" customHeight="false" outlineLevel="0" collapsed="false">
      <c r="A3571" s="2" t="n">
        <v>46258</v>
      </c>
      <c r="B3571" s="3" t="s">
        <v>611</v>
      </c>
      <c r="C3571" s="0" t="n">
        <v>142</v>
      </c>
      <c r="D3571" s="0" t="n">
        <v>1</v>
      </c>
      <c r="E3571" s="0" t="str">
        <f aca="false">INDEX(lot!$B$2:$B$1201,MATCH(B3571,lot!$A$2:$A$1201,0))</f>
        <v>SUP-D</v>
      </c>
      <c r="F3571" s="3" t="n">
        <f aca="false">YEAR(A3571)*100+MONTH(A3571)</f>
        <v>202608</v>
      </c>
    </row>
    <row r="3572" customFormat="false" ht="15" hidden="false" customHeight="false" outlineLevel="0" collapsed="false">
      <c r="A3572" s="2" t="n">
        <v>46258</v>
      </c>
      <c r="B3572" s="3" t="s">
        <v>611</v>
      </c>
      <c r="C3572" s="0" t="n">
        <v>201</v>
      </c>
      <c r="D3572" s="0" t="n">
        <v>1</v>
      </c>
      <c r="E3572" s="0" t="str">
        <f aca="false">INDEX(lot!$B$2:$B$1201,MATCH(B3572,lot!$A$2:$A$1201,0))</f>
        <v>SUP-D</v>
      </c>
      <c r="F3572" s="3" t="n">
        <f aca="false">YEAR(A3572)*100+MONTH(A3572)</f>
        <v>202608</v>
      </c>
    </row>
    <row r="3573" customFormat="false" ht="15" hidden="false" customHeight="false" outlineLevel="0" collapsed="false">
      <c r="A3573" s="2" t="n">
        <v>46258</v>
      </c>
      <c r="B3573" s="3" t="s">
        <v>687</v>
      </c>
      <c r="C3573" s="0" t="n">
        <v>116</v>
      </c>
      <c r="D3573" s="0" t="n">
        <v>0</v>
      </c>
      <c r="E3573" s="0" t="str">
        <f aca="false">INDEX(lot!$B$2:$B$1201,MATCH(B3573,lot!$A$2:$A$1201,0))</f>
        <v>SUP-D</v>
      </c>
      <c r="F3573" s="3" t="n">
        <f aca="false">YEAR(A3573)*100+MONTH(A3573)</f>
        <v>202608</v>
      </c>
    </row>
    <row r="3574" customFormat="false" ht="15" hidden="false" customHeight="false" outlineLevel="0" collapsed="false">
      <c r="A3574" s="2" t="n">
        <v>46258</v>
      </c>
      <c r="B3574" s="3" t="s">
        <v>687</v>
      </c>
      <c r="C3574" s="0" t="n">
        <v>75</v>
      </c>
      <c r="D3574" s="0" t="n">
        <v>0</v>
      </c>
      <c r="E3574" s="0" t="str">
        <f aca="false">INDEX(lot!$B$2:$B$1201,MATCH(B3574,lot!$A$2:$A$1201,0))</f>
        <v>SUP-D</v>
      </c>
      <c r="F3574" s="3" t="n">
        <f aca="false">YEAR(A3574)*100+MONTH(A3574)</f>
        <v>202608</v>
      </c>
    </row>
    <row r="3575" customFormat="false" ht="15" hidden="false" customHeight="false" outlineLevel="0" collapsed="false">
      <c r="A3575" s="2" t="n">
        <v>46258</v>
      </c>
      <c r="B3575" s="3" t="s">
        <v>885</v>
      </c>
      <c r="C3575" s="0" t="n">
        <v>251</v>
      </c>
      <c r="D3575" s="0" t="n">
        <v>7</v>
      </c>
      <c r="E3575" s="0" t="str">
        <f aca="false">INDEX(lot!$B$2:$B$1201,MATCH(B3575,lot!$A$2:$A$1201,0))</f>
        <v>SUP-C</v>
      </c>
      <c r="F3575" s="3" t="n">
        <f aca="false">YEAR(A3575)*100+MONTH(A3575)</f>
        <v>202608</v>
      </c>
    </row>
    <row r="3576" customFormat="false" ht="15" hidden="false" customHeight="false" outlineLevel="0" collapsed="false">
      <c r="A3576" s="2" t="n">
        <v>46258</v>
      </c>
      <c r="B3576" s="3" t="s">
        <v>953</v>
      </c>
      <c r="C3576" s="0" t="n">
        <v>224</v>
      </c>
      <c r="D3576" s="0" t="n">
        <v>8</v>
      </c>
      <c r="E3576" s="0" t="str">
        <f aca="false">INDEX(lot!$B$2:$B$1201,MATCH(B3576,lot!$A$2:$A$1201,0))</f>
        <v>SUP-C</v>
      </c>
      <c r="F3576" s="3" t="n">
        <f aca="false">YEAR(A3576)*100+MONTH(A3576)</f>
        <v>202608</v>
      </c>
    </row>
    <row r="3577" customFormat="false" ht="15" hidden="false" customHeight="false" outlineLevel="0" collapsed="false">
      <c r="A3577" s="2" t="n">
        <v>46258</v>
      </c>
      <c r="B3577" s="3" t="s">
        <v>953</v>
      </c>
      <c r="C3577" s="0" t="n">
        <v>165</v>
      </c>
      <c r="D3577" s="0" t="n">
        <v>3</v>
      </c>
      <c r="E3577" s="0" t="str">
        <f aca="false">INDEX(lot!$B$2:$B$1201,MATCH(B3577,lot!$A$2:$A$1201,0))</f>
        <v>SUP-C</v>
      </c>
      <c r="F3577" s="3" t="n">
        <f aca="false">YEAR(A3577)*100+MONTH(A3577)</f>
        <v>202608</v>
      </c>
    </row>
    <row r="3578" customFormat="false" ht="15" hidden="false" customHeight="false" outlineLevel="0" collapsed="false">
      <c r="A3578" s="2" t="n">
        <v>46258</v>
      </c>
      <c r="B3578" s="3" t="s">
        <v>1026</v>
      </c>
      <c r="C3578" s="0" t="n">
        <v>222</v>
      </c>
      <c r="D3578" s="0" t="n">
        <v>1</v>
      </c>
      <c r="E3578" s="0" t="str">
        <f aca="false">INDEX(lot!$B$2:$B$1201,MATCH(B3578,lot!$A$2:$A$1201,0))</f>
        <v>SUP-D</v>
      </c>
      <c r="F3578" s="3" t="n">
        <f aca="false">YEAR(A3578)*100+MONTH(A3578)</f>
        <v>202608</v>
      </c>
    </row>
    <row r="3579" customFormat="false" ht="15" hidden="false" customHeight="false" outlineLevel="0" collapsed="false">
      <c r="A3579" s="2" t="n">
        <v>46258</v>
      </c>
      <c r="B3579" s="3" t="s">
        <v>1026</v>
      </c>
      <c r="C3579" s="0" t="n">
        <v>227</v>
      </c>
      <c r="D3579" s="0" t="n">
        <v>3</v>
      </c>
      <c r="E3579" s="0" t="str">
        <f aca="false">INDEX(lot!$B$2:$B$1201,MATCH(B3579,lot!$A$2:$A$1201,0))</f>
        <v>SUP-D</v>
      </c>
      <c r="F3579" s="3" t="n">
        <f aca="false">YEAR(A3579)*100+MONTH(A3579)</f>
        <v>202608</v>
      </c>
    </row>
    <row r="3580" customFormat="false" ht="15" hidden="false" customHeight="false" outlineLevel="0" collapsed="false">
      <c r="A3580" s="2" t="n">
        <v>46258</v>
      </c>
      <c r="B3580" s="3" t="s">
        <v>1093</v>
      </c>
      <c r="C3580" s="0" t="n">
        <v>251</v>
      </c>
      <c r="D3580" s="0" t="n">
        <v>4</v>
      </c>
      <c r="E3580" s="0" t="str">
        <f aca="false">INDEX(lot!$B$2:$B$1201,MATCH(B3580,lot!$A$2:$A$1201,0))</f>
        <v>SUP-D</v>
      </c>
      <c r="F3580" s="3" t="n">
        <f aca="false">YEAR(A3580)*100+MONTH(A3580)</f>
        <v>202608</v>
      </c>
    </row>
    <row r="3581" customFormat="false" ht="15" hidden="false" customHeight="false" outlineLevel="0" collapsed="false">
      <c r="A3581" s="2" t="n">
        <v>46258</v>
      </c>
      <c r="B3581" s="3" t="s">
        <v>1093</v>
      </c>
      <c r="C3581" s="0" t="n">
        <v>148</v>
      </c>
      <c r="D3581" s="0" t="n">
        <v>3</v>
      </c>
      <c r="E3581" s="0" t="str">
        <f aca="false">INDEX(lot!$B$2:$B$1201,MATCH(B3581,lot!$A$2:$A$1201,0))</f>
        <v>SUP-D</v>
      </c>
      <c r="F3581" s="3" t="n">
        <f aca="false">YEAR(A3581)*100+MONTH(A3581)</f>
        <v>202608</v>
      </c>
    </row>
    <row r="3582" customFormat="false" ht="15" hidden="false" customHeight="false" outlineLevel="0" collapsed="false">
      <c r="A3582" s="2" t="n">
        <v>46259</v>
      </c>
      <c r="B3582" s="3" t="s">
        <v>571</v>
      </c>
      <c r="C3582" s="0" t="n">
        <v>113</v>
      </c>
      <c r="D3582" s="0" t="n">
        <v>1</v>
      </c>
      <c r="E3582" s="0" t="str">
        <f aca="false">INDEX(lot!$B$2:$B$1201,MATCH(B3582,lot!$A$2:$A$1201,0))</f>
        <v>SUP-D</v>
      </c>
      <c r="F3582" s="3" t="n">
        <f aca="false">YEAR(A3582)*100+MONTH(A3582)</f>
        <v>202608</v>
      </c>
    </row>
    <row r="3583" customFormat="false" ht="15" hidden="false" customHeight="false" outlineLevel="0" collapsed="false">
      <c r="A3583" s="2" t="n">
        <v>46259</v>
      </c>
      <c r="B3583" s="3" t="s">
        <v>571</v>
      </c>
      <c r="C3583" s="0" t="n">
        <v>136</v>
      </c>
      <c r="D3583" s="0" t="n">
        <v>1</v>
      </c>
      <c r="E3583" s="0" t="str">
        <f aca="false">INDEX(lot!$B$2:$B$1201,MATCH(B3583,lot!$A$2:$A$1201,0))</f>
        <v>SUP-D</v>
      </c>
      <c r="F3583" s="3" t="n">
        <f aca="false">YEAR(A3583)*100+MONTH(A3583)</f>
        <v>202608</v>
      </c>
    </row>
    <row r="3584" customFormat="false" ht="15" hidden="false" customHeight="false" outlineLevel="0" collapsed="false">
      <c r="A3584" s="2" t="n">
        <v>46259</v>
      </c>
      <c r="B3584" s="3" t="s">
        <v>1093</v>
      </c>
      <c r="C3584" s="0" t="n">
        <v>230</v>
      </c>
      <c r="D3584" s="0" t="n">
        <v>4</v>
      </c>
      <c r="E3584" s="0" t="str">
        <f aca="false">INDEX(lot!$B$2:$B$1201,MATCH(B3584,lot!$A$2:$A$1201,0))</f>
        <v>SUP-D</v>
      </c>
      <c r="F3584" s="3" t="n">
        <f aca="false">YEAR(A3584)*100+MONTH(A3584)</f>
        <v>202608</v>
      </c>
    </row>
    <row r="3585" customFormat="false" ht="15" hidden="false" customHeight="false" outlineLevel="0" collapsed="false">
      <c r="A3585" s="2" t="n">
        <v>46259</v>
      </c>
      <c r="B3585" s="3" t="s">
        <v>1093</v>
      </c>
      <c r="C3585" s="0" t="n">
        <v>85</v>
      </c>
      <c r="D3585" s="0" t="n">
        <v>1</v>
      </c>
      <c r="E3585" s="0" t="str">
        <f aca="false">INDEX(lot!$B$2:$B$1201,MATCH(B3585,lot!$A$2:$A$1201,0))</f>
        <v>SUP-D</v>
      </c>
      <c r="F3585" s="3" t="n">
        <f aca="false">YEAR(A3585)*100+MONTH(A3585)</f>
        <v>202608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2026-10-28T16:34:51Z</dcterms:created>
  <dc:creator>openpyxl</dc:creator>
  <dc:description/>
  <dc:language>en-US</dc:language>
  <cp:lastModifiedBy/>
  <dcterms:modified xsi:type="dcterms:W3CDTF">2026-10-28T16:34:52Z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